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° Parcial" sheetId="1" r:id="rId5"/>
    <sheet state="visible" name="2° Parcial" sheetId="2" r:id="rId6"/>
    <sheet state="visible" name="Ex.Final" sheetId="3" r:id="rId7"/>
    <sheet state="visible" name="2° Instancia" sheetId="4" r:id="rId8"/>
    <sheet state="visible" name="Rol de Examen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Es la fecha de 3 días antes del examen.</t>
      </text>
    </comment>
    <comment authorId="0" ref="N9">
      <text>
        <t xml:space="preserve">Es la fecha de la última clase antes del día del examen.</t>
      </text>
    </comment>
    <comment authorId="0" ref="S9">
      <text>
        <t xml:space="preserve">Es la fecha de la última clase antes del día del examen.</t>
      </text>
    </comment>
    <comment authorId="0" ref="H9">
      <text>
        <t xml:space="preserve">Es la fecha de la última clase antes del día del examen.</t>
      </text>
    </comment>
    <comment authorId="0" ref="X9">
      <text>
        <t xml:space="preserve">Es la fecha de la última clase antes del día del examen.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Es la fecha de 3 días antes del examen.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Es la fecha de 3 días antes del examen.</t>
      </text>
    </comment>
  </commentList>
</comments>
</file>

<file path=xl/sharedStrings.xml><?xml version="1.0" encoding="utf-8"?>
<sst xmlns="http://schemas.openxmlformats.org/spreadsheetml/2006/main" count="606" uniqueCount="185">
  <si>
    <t>UNIVERSIDAD TÉCNICA PRIVADA COSMOS</t>
  </si>
  <si>
    <t>CARRERA DE INGENIERÍA DE SONIDO</t>
  </si>
  <si>
    <t>SEDE COCHABAMBA</t>
  </si>
  <si>
    <t>ROL DE EXAMENES - EXAMEN FINAL</t>
  </si>
  <si>
    <t>ROL DE EXAMENES - PRIMER PARCIAL</t>
  </si>
  <si>
    <t>GESTIÓN II/2026</t>
  </si>
  <si>
    <t>ROL DE EXAMENES - SEGUNDO PARCIAL</t>
  </si>
  <si>
    <t>ASIGNATURA</t>
  </si>
  <si>
    <t>CÓDIGO</t>
  </si>
  <si>
    <t>SEMESTRE</t>
  </si>
  <si>
    <t>GRUPO</t>
  </si>
  <si>
    <t>NOMBRE DEL DOCENTE</t>
  </si>
  <si>
    <t>AUTORIDAD RESPONSABLE DEL EXAMEN</t>
  </si>
  <si>
    <t>FECHA DE ENVÍO DE EXAMEN</t>
  </si>
  <si>
    <t>ENTREGA DE EVALUACIONES FORMATIVAS TEÓRICAS (FIRMADAS)</t>
  </si>
  <si>
    <t>FECHA DEL EXAMEN TEÓRICO</t>
  </si>
  <si>
    <t>HORA</t>
  </si>
  <si>
    <t>N° DE EST.</t>
  </si>
  <si>
    <t>USO DE CARTILLA</t>
  </si>
  <si>
    <t>FECHA DEL EXAMEN PRÁCTICO</t>
  </si>
  <si>
    <t>ENTREGA DE EVALUACIONES FORMATIVAS PRÁCTICAS (FIRMADAS)</t>
  </si>
  <si>
    <t>AULA</t>
  </si>
  <si>
    <t>FECHA DE EXAMEN REZAGADO</t>
  </si>
  <si>
    <t>Si</t>
  </si>
  <si>
    <t>CALCULO I</t>
  </si>
  <si>
    <t>SIS-111</t>
  </si>
  <si>
    <t xml:space="preserve">1º </t>
  </si>
  <si>
    <t>TA-01</t>
  </si>
  <si>
    <t>JIMENA GIOVANNA ARNEZ MARTINEZ</t>
  </si>
  <si>
    <t>No</t>
  </si>
  <si>
    <t>A</t>
  </si>
  <si>
    <t>C 101</t>
  </si>
  <si>
    <t>FÍSICA I</t>
  </si>
  <si>
    <t>SIS-112</t>
  </si>
  <si>
    <t>XIMENA WENDY CALIZAYA PEREZ</t>
  </si>
  <si>
    <t>A 103</t>
  </si>
  <si>
    <t>PROGRAMACIÓN I</t>
  </si>
  <si>
    <t>SIS-113</t>
  </si>
  <si>
    <t>ROSMERY LUIZAGA SALINAS</t>
  </si>
  <si>
    <t>C 103</t>
  </si>
  <si>
    <t>ÁLGEBRA</t>
  </si>
  <si>
    <t>SIS-114</t>
  </si>
  <si>
    <t>ELIANA LESLY MICORDIA ROMERO</t>
  </si>
  <si>
    <t>C 305</t>
  </si>
  <si>
    <t>INGLÉS TÉCNICO I</t>
  </si>
  <si>
    <t>SIS-115</t>
  </si>
  <si>
    <t>KARINA PAOLA LOPEZ ECHEVERRIA</t>
  </si>
  <si>
    <t>C 302</t>
  </si>
  <si>
    <t>INTRODUCCIÓN A LAS CIENCIAS DE LA COMPUTACIÓN</t>
  </si>
  <si>
    <t>SIS-116</t>
  </si>
  <si>
    <t>WALTER JOSE CAZAS CASTRO</t>
  </si>
  <si>
    <t>FÍSICA I Y II</t>
  </si>
  <si>
    <t>CALCULO II</t>
  </si>
  <si>
    <t>SIS-121</t>
  </si>
  <si>
    <t xml:space="preserve">2º </t>
  </si>
  <si>
    <t>EDSON LUIS BASCOPE GALARZA</t>
  </si>
  <si>
    <t>C 307</t>
  </si>
  <si>
    <t>FÍSICA II</t>
  </si>
  <si>
    <t>SIS-122</t>
  </si>
  <si>
    <t>JOSE DAVID QUIÑONES COCA</t>
  </si>
  <si>
    <t>PROGRAMACIÓN II</t>
  </si>
  <si>
    <t>SIS-123</t>
  </si>
  <si>
    <t>SOFTWARE</t>
  </si>
  <si>
    <t>ÁLGEBRA LINEAL</t>
  </si>
  <si>
    <t>SIS-124</t>
  </si>
  <si>
    <t>C 205</t>
  </si>
  <si>
    <t>INGLÉS TÉCNICO II</t>
  </si>
  <si>
    <t>SIS-125</t>
  </si>
  <si>
    <t>TALLER DE PROGRAMACIÓN I</t>
  </si>
  <si>
    <t>SIS-126</t>
  </si>
  <si>
    <t>JANETH GIOVANA ALANEZ VILLEGAS</t>
  </si>
  <si>
    <t>DISPOSITIVOS ELECTRÓNICOS</t>
  </si>
  <si>
    <t>SIS-127</t>
  </si>
  <si>
    <t>EDUARDO CARLOS MOSCOSO RICALDI</t>
  </si>
  <si>
    <t>CIRCUITOS</t>
  </si>
  <si>
    <t>ECUACIONES DIFERENCIALES</t>
  </si>
  <si>
    <t>SIS-211</t>
  </si>
  <si>
    <t xml:space="preserve">3º </t>
  </si>
  <si>
    <t>MAURICIO QUIROZ LAFUENTE</t>
  </si>
  <si>
    <t>SISTEMAS DIGITALES</t>
  </si>
  <si>
    <t>SIS-212</t>
  </si>
  <si>
    <t>DANIEL CAMACHO PASTOR</t>
  </si>
  <si>
    <t>FISICA I Y II</t>
  </si>
  <si>
    <t>PROGRAMACIÓN III</t>
  </si>
  <si>
    <t>SIS-213</t>
  </si>
  <si>
    <t>ARIEL DENYS CAMARA ARZE</t>
  </si>
  <si>
    <t>PROGRAMACION</t>
  </si>
  <si>
    <t>PROBALIDAD Y ESTADÍSTICA</t>
  </si>
  <si>
    <t>SIS-214</t>
  </si>
  <si>
    <t>IVETT JACQUELINE TANCARA ZAMBRANA</t>
  </si>
  <si>
    <t>C 102</t>
  </si>
  <si>
    <t>INGLÉS TÉCNICO III</t>
  </si>
  <si>
    <t>SIS-215</t>
  </si>
  <si>
    <t>TALLER DE PROGRAMACIÓN II</t>
  </si>
  <si>
    <t>SIS-216</t>
  </si>
  <si>
    <t>YAMIL YASMANI CRESPO AYALA</t>
  </si>
  <si>
    <t>ÉTICA E INSTRUCCIÓN AL DERECHO INFORMÁTICO</t>
  </si>
  <si>
    <t>SIS-217</t>
  </si>
  <si>
    <t>MARIA DE LOS ANGELES MENESES PARRA</t>
  </si>
  <si>
    <t>MÉTODOS NUMÉRICOS</t>
  </si>
  <si>
    <t>SIS-221</t>
  </si>
  <si>
    <t xml:space="preserve">4º </t>
  </si>
  <si>
    <t>C 301</t>
  </si>
  <si>
    <t>REDACCIÓN, COMUNICACIÓN E INTERCULTURALIDAD</t>
  </si>
  <si>
    <t>SIS-222</t>
  </si>
  <si>
    <t>SISTEMAS OPERATIVOS</t>
  </si>
  <si>
    <t>SIS-223</t>
  </si>
  <si>
    <t>GUSTAVO MAGARIÑOS CAMACHO</t>
  </si>
  <si>
    <t>DISEÑO DE BASE DE DATOS</t>
  </si>
  <si>
    <t>SIS-224</t>
  </si>
  <si>
    <t>INGLÉS TÉCNICO IV</t>
  </si>
  <si>
    <t>SIS-225</t>
  </si>
  <si>
    <t>TALLER DE PROGRAMACIÓN III</t>
  </si>
  <si>
    <t>SIS-226</t>
  </si>
  <si>
    <t>COMPUTACION</t>
  </si>
  <si>
    <t>DISEÑO GRÁFICO Y SISTEMAS DE INFORMACIÓN GEOGRÁFICA</t>
  </si>
  <si>
    <t>SIS-227</t>
  </si>
  <si>
    <t>INVESTIGACIÓN OPERATIVA</t>
  </si>
  <si>
    <t>SIS-311</t>
  </si>
  <si>
    <t xml:space="preserve">5º </t>
  </si>
  <si>
    <t>MICROCONTROLADORES</t>
  </si>
  <si>
    <t>SIS-312</t>
  </si>
  <si>
    <t>JOAQUIN RICARDO ARAOZ JALDIN</t>
  </si>
  <si>
    <t>ARQUITECTURA DE NUEVAS TECNOLÓGIAS</t>
  </si>
  <si>
    <t>SIS-313</t>
  </si>
  <si>
    <t>JANNETH SOFIA MEDINA ALEMAN</t>
  </si>
  <si>
    <t>ANÁLISIS DE SISTEMAS I</t>
  </si>
  <si>
    <t>SIS-314</t>
  </si>
  <si>
    <t>MARIA LUZ DEL CASTILLO GONZALES</t>
  </si>
  <si>
    <t>INFORMÁTICA FORENSE</t>
  </si>
  <si>
    <t>SIS-315</t>
  </si>
  <si>
    <t>REDES Y COMUNICACIÓNES</t>
  </si>
  <si>
    <t>SIS-316</t>
  </si>
  <si>
    <t>GUSTAVO ADOLFO RIVERA ARTEAGA</t>
  </si>
  <si>
    <t>CONCEPTOS AVANZADOS DE BASE DE DATOS</t>
  </si>
  <si>
    <t>SIS-317</t>
  </si>
  <si>
    <t>AMILKAR JESUS MIRANDA ROMERO</t>
  </si>
  <si>
    <t>ROBÓTICA</t>
  </si>
  <si>
    <t>SIS-321</t>
  </si>
  <si>
    <t xml:space="preserve">6º </t>
  </si>
  <si>
    <t>INFRAESTRUCTURA TECNOLÓGICA</t>
  </si>
  <si>
    <t>SIS-322</t>
  </si>
  <si>
    <t>WILSON JAVIER CONTRERAS VARGAS</t>
  </si>
  <si>
    <t>INFORMATICA</t>
  </si>
  <si>
    <t>ANÁLISIS DE SISTEMAS II</t>
  </si>
  <si>
    <t>SIS-323</t>
  </si>
  <si>
    <t>INGENIERÍA DE MÉTODOS Y REINGENIERÍA</t>
  </si>
  <si>
    <t>SIS-324</t>
  </si>
  <si>
    <t>TALLER DE REDES</t>
  </si>
  <si>
    <t>SIS-325</t>
  </si>
  <si>
    <t>LENGUAJES DE PROGRAMACIÓN DE ÚLTIMA GENERACIÓN</t>
  </si>
  <si>
    <t>SIS-326</t>
  </si>
  <si>
    <t>HAROLD MARCO ANTONIO ROJAS TORRES</t>
  </si>
  <si>
    <t>MÉTODOS Y TÉCNICAS DE INVESTIGACIÓN</t>
  </si>
  <si>
    <t>SIS-411</t>
  </si>
  <si>
    <t xml:space="preserve">7º </t>
  </si>
  <si>
    <t>EDWIN WINDSOR JARA ARIAS</t>
  </si>
  <si>
    <t>REDES NEURONALES E INTELIGENCIA ARTIFICIAL</t>
  </si>
  <si>
    <t>SIS-412</t>
  </si>
  <si>
    <t>BLADIMIR MARCELO AJATA GUZMAN</t>
  </si>
  <si>
    <t>TELECOMUNICACIONES</t>
  </si>
  <si>
    <t>SIS-413</t>
  </si>
  <si>
    <t>INGENIERÍA DE SOFTWARE</t>
  </si>
  <si>
    <t>SIS-414</t>
  </si>
  <si>
    <t>TALLER DE SIMULACIÓN DE SISTEMAS</t>
  </si>
  <si>
    <t>SIS-415</t>
  </si>
  <si>
    <t>MÉTODO DE DESARROLLO DE SOFTWARE</t>
  </si>
  <si>
    <t>SIS-416</t>
  </si>
  <si>
    <t>TALLER DE TITULACIÓN</t>
  </si>
  <si>
    <t>SIS-421</t>
  </si>
  <si>
    <t xml:space="preserve">8º </t>
  </si>
  <si>
    <t>GESTIÓN ESTRATÉGICA DE EMPRESAS</t>
  </si>
  <si>
    <t>SIS-422</t>
  </si>
  <si>
    <t>ROL DE EXAMENES PARCIALES</t>
  </si>
  <si>
    <t>TALLER DE INGENIERÍA DE SOFTWARE</t>
  </si>
  <si>
    <t>SIS-423</t>
  </si>
  <si>
    <t>GESTIÓN DE CALIDAD ESTRATÉGICA DE PROYECTOS DE SOFTWARE</t>
  </si>
  <si>
    <t>SIS-425</t>
  </si>
  <si>
    <t>EXAMENES TEÓRICOS</t>
  </si>
  <si>
    <t>EXAMENES PRÁCTICOS</t>
  </si>
  <si>
    <t>2° INSTANCIA</t>
  </si>
  <si>
    <t>1° PARCIAL</t>
  </si>
  <si>
    <t>2° PARCIAL</t>
  </si>
  <si>
    <t>EX. FINAL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</si>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</sst>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d&quot; de &quot;mmm&quot; &quot;"/>
    <numFmt numFmtId="166" formatCode="H:mm"/>
    <numFmt numFmtId="167" formatCode="H:mm:ss"/>
    <numFmt numFmtId="168" formatCode="h&quot;:&quot;mm"/>
  </numFmts>
  <fonts count="19">
    <font>
      <sz val="10.0"/>
      <color rgb="FF000000"/>
      <name val="Arial"/>
      <scheme val="minor"/>
    </font>
    <font>
      <b/>
      <sz val="18.0"/>
      <color theme="1"/>
      <name val="Cambria"/>
    </font>
    <font>
      <color theme="1"/>
      <name val="Cambria"/>
    </font>
    <font/>
    <font>
      <b/>
      <sz val="22.0"/>
      <color theme="1"/>
      <name val="Cambria"/>
    </font>
    <font>
      <b/>
      <sz val="15.0"/>
      <color theme="1"/>
      <name val="Cambria"/>
    </font>
    <font>
      <b/>
      <sz val="12.0"/>
      <color theme="1"/>
      <name val="Cambria"/>
    </font>
    <font>
      <b/>
      <sz val="20.0"/>
      <color theme="1"/>
      <name val="Cambria"/>
    </font>
    <font>
      <sz val="20.0"/>
      <color theme="1"/>
      <name val="Cambria"/>
    </font>
    <font>
      <b/>
      <sz val="12.0"/>
      <color rgb="FFFFFFFF"/>
      <name val="Cambria"/>
    </font>
    <font>
      <b/>
      <sz val="13.0"/>
      <color rgb="FFFFFFFF"/>
      <name val="Cambria"/>
    </font>
    <font>
      <b/>
      <color rgb="FFFFFFFF"/>
      <name val="Cambria"/>
    </font>
    <font>
      <b/>
      <sz val="9.0"/>
      <color rgb="FFFFFFFF"/>
      <name val="Cambria"/>
    </font>
    <font>
      <sz val="12.0"/>
      <color theme="1"/>
      <name val="Cambria"/>
    </font>
    <font>
      <sz val="10.0"/>
      <color rgb="FF000000"/>
      <name val="Cambria"/>
    </font>
    <font>
      <b/>
      <sz val="10.0"/>
      <color rgb="FF000000"/>
      <name val="Cambria"/>
    </font>
    <font>
      <sz val="10.0"/>
      <color theme="1"/>
      <name val="Cambria"/>
    </font>
    <font>
      <color theme="1"/>
      <name val="Calibri"/>
    </font>
    <font>
      <b/>
      <sz val="10.0"/>
      <color rgb="FFFFFFFF"/>
      <name val="Cambria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74696"/>
        <bgColor rgb="FF674696"/>
      </patternFill>
    </fill>
    <fill>
      <patternFill patternType="solid">
        <fgColor rgb="FF237D8F"/>
        <bgColor rgb="FF237D8F"/>
      </patternFill>
    </fill>
    <fill>
      <patternFill patternType="solid">
        <fgColor rgb="FF349EB3"/>
        <bgColor rgb="FF349EB3"/>
      </patternFill>
    </fill>
    <fill>
      <patternFill patternType="solid">
        <fgColor theme="9"/>
        <bgColor theme="9"/>
      </patternFill>
    </fill>
    <fill>
      <patternFill patternType="solid">
        <fgColor rgb="FFF9F0FF"/>
        <bgColor rgb="FFF9F0FF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2FFE6"/>
        <bgColor rgb="FFF2FFE6"/>
      </patternFill>
    </fill>
    <fill>
      <patternFill patternType="solid">
        <fgColor rgb="FFFFE8E8"/>
        <bgColor rgb="FFFFE8E8"/>
      </patternFill>
    </fill>
    <fill>
      <patternFill patternType="solid">
        <fgColor rgb="FFF8FAFC"/>
        <bgColor rgb="FFF8FAFC"/>
      </patternFill>
    </fill>
    <fill>
      <patternFill patternType="solid">
        <fgColor rgb="FFFFF2CC"/>
        <bgColor rgb="FFFFF2CC"/>
      </patternFill>
    </fill>
    <fill>
      <patternFill patternType="solid">
        <fgColor rgb="FFFAFFF5"/>
        <bgColor rgb="FFFAFFF5"/>
      </patternFill>
    </fill>
    <fill>
      <patternFill patternType="solid">
        <fgColor rgb="FFFCF7FF"/>
        <bgColor rgb="FFFCF7FF"/>
      </patternFill>
    </fill>
    <fill>
      <patternFill patternType="solid">
        <fgColor rgb="FFFFF9E7"/>
        <bgColor rgb="FFFFF9E7"/>
      </patternFill>
    </fill>
    <fill>
      <patternFill patternType="solid">
        <fgColor rgb="FFF4CCCC"/>
        <bgColor rgb="FFF4CCCC"/>
      </patternFill>
    </fill>
  </fills>
  <borders count="45">
    <border/>
    <border>
      <left style="medium">
        <color rgb="FF674696"/>
      </left>
      <top style="medium">
        <color rgb="FF674696"/>
      </top>
    </border>
    <border>
      <top style="medium">
        <color rgb="FF674696"/>
      </top>
    </border>
    <border>
      <right style="medium">
        <color rgb="FF674696"/>
      </right>
      <top style="medium">
        <color rgb="FF674696"/>
      </top>
    </border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674696"/>
      </left>
    </border>
    <border>
      <right style="medium">
        <color rgb="FF674696"/>
      </right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674696"/>
      </left>
      <bottom style="medium">
        <color rgb="FF674696"/>
      </bottom>
    </border>
    <border>
      <bottom style="medium">
        <color rgb="FF674696"/>
      </bottom>
    </border>
    <border>
      <right style="medium">
        <color rgb="FF674696"/>
      </right>
      <bottom style="medium">
        <color rgb="FF674696"/>
      </bottom>
    </border>
    <border>
      <left style="medium">
        <color rgb="FF674696"/>
      </left>
      <right style="thin">
        <color rgb="FFFFFFFF"/>
      </right>
      <bottom style="medium">
        <color rgb="FF674696"/>
      </bottom>
    </border>
    <border>
      <left style="thin">
        <color rgb="FFFFFFFF"/>
      </left>
      <right style="thin">
        <color rgb="FFFFFFFF"/>
      </right>
      <bottom style="medium">
        <color rgb="FF674696"/>
      </bottom>
    </border>
    <border>
      <left style="medium">
        <color rgb="FF674696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medium">
        <color rgb="FF7030A0"/>
      </left>
      <right style="thin">
        <color rgb="FFFFFFFF"/>
      </right>
      <top style="medium">
        <color rgb="FF7030A0"/>
      </top>
    </border>
    <border>
      <left style="thin">
        <color rgb="FFFFFFFF"/>
      </left>
      <right style="thin">
        <color rgb="FFFFFFFF"/>
      </right>
      <top style="medium">
        <color rgb="FF7030A0"/>
      </top>
    </border>
    <border>
      <left style="medium">
        <color rgb="FF674696"/>
      </left>
      <right style="thin">
        <color rgb="FFFFFFFF"/>
      </right>
      <top style="medium">
        <color rgb="FF674696"/>
      </top>
      <bottom style="medium">
        <color rgb="FF674696"/>
      </bottom>
    </border>
    <border>
      <left style="thin">
        <color rgb="FFFFFFFF"/>
      </left>
      <right style="thin">
        <color rgb="FFFFFFFF"/>
      </right>
      <top style="medium">
        <color rgb="FF674696"/>
      </top>
      <bottom style="medium">
        <color rgb="FF674696"/>
      </bottom>
    </border>
    <border>
      <left style="thin">
        <color rgb="FFFFFFFF"/>
      </left>
      <right style="medium">
        <color rgb="FF674696"/>
      </right>
      <bottom style="medium">
        <color rgb="FF674696"/>
      </bottom>
    </border>
    <border>
      <left style="thin">
        <color rgb="FFFFFFFF"/>
      </left>
      <right style="medium">
        <color rgb="FF7030A0"/>
      </right>
      <top style="medium">
        <color rgb="FF7030A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medium">
        <color rgb="FF674696"/>
      </right>
    </border>
    <border>
      <left style="thin">
        <color rgb="FFFFFFFF"/>
      </left>
      <right style="medium">
        <color rgb="FF674696"/>
      </right>
      <top style="medium">
        <color rgb="FF674696"/>
      </top>
      <bottom style="medium">
        <color rgb="FF674696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7030A0"/>
      </left>
      <right style="thin">
        <color rgb="FFFFFFFF"/>
      </right>
      <top style="medium">
        <color rgb="FF666666"/>
      </top>
    </border>
    <border>
      <left style="thin">
        <color rgb="FFFFFFFF"/>
      </left>
      <right style="thin">
        <color rgb="FFFFFFFF"/>
      </right>
      <top style="medium">
        <color rgb="FF666666"/>
      </top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</border>
    <border>
      <left style="medium">
        <color rgb="FF7030A0"/>
      </left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medium">
        <color rgb="FF7030A0"/>
      </right>
      <bottom style="thin">
        <color rgb="FFFFFFFF"/>
      </bottom>
    </border>
    <border>
      <left style="medium">
        <color rgb="FF7030A0"/>
      </left>
      <right style="thin">
        <color rgb="FFFFFFFF"/>
      </right>
      <bottom style="medium">
        <color rgb="FF7030A0"/>
      </bottom>
    </border>
    <border>
      <left style="thin">
        <color rgb="FFFFFFFF"/>
      </left>
      <right style="thin">
        <color rgb="FFFFFFFF"/>
      </right>
      <bottom style="medium">
        <color rgb="FF7030A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7030A0"/>
      </bottom>
    </border>
    <border>
      <left style="thin">
        <color rgb="FFFFFFFF"/>
      </left>
      <right style="medium">
        <color rgb="FF7030A0"/>
      </right>
      <top style="thin">
        <color rgb="FFFFFFFF"/>
      </top>
      <bottom style="medium">
        <color rgb="FF7030A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9" fillId="2" fontId="4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7" fillId="2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9" fillId="2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1" fillId="2" fontId="6" numFmtId="0" xfId="0" applyAlignment="1" applyBorder="1" applyFill="1" applyFont="1">
      <alignment horizontal="left" readingOrder="0" shrinkToFit="0" vertical="center" wrapText="1"/>
    </xf>
    <xf borderId="12" fillId="2" fontId="6" numFmtId="0" xfId="0" applyAlignment="1" applyBorder="1" applyFill="1" applyFont="1">
      <alignment horizontal="center" readingOrder="0" shrinkToFit="0" vertical="center" wrapText="1"/>
    </xf>
    <xf borderId="12" fillId="2" fontId="6" numFmtId="164" xfId="0" applyAlignment="1" applyBorder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2" fillId="2" fontId="6" numFmtId="164" xfId="0" applyAlignment="1" applyBorder="1" applyFill="1" applyFont="1" applyNumberFormat="1">
      <alignment horizontal="left" readingOrder="0" shrinkToFit="0" vertical="center" wrapText="1"/>
    </xf>
    <xf borderId="9" fillId="2" fontId="5" numFmtId="0" xfId="0" applyAlignment="1" applyBorder="1" applyFill="1" applyFont="1">
      <alignment horizontal="center" readingOrder="0" shrinkToFit="0" vertical="center" wrapText="1"/>
    </xf>
    <xf borderId="12" fillId="2" fontId="6" numFmtId="165" xfId="0" applyAlignment="1" applyBorder="1" applyFill="1" applyFont="1" applyNumberFormat="1">
      <alignment horizontal="center" readingOrder="0" shrinkToFit="0" vertical="center" wrapText="1"/>
    </xf>
    <xf borderId="12" fillId="2" fontId="6" numFmtId="166" xfId="0" applyAlignment="1" applyBorder="1" applyFill="1" applyFont="1" applyNumberFormat="1">
      <alignment horizontal="center" readingOrder="0" shrinkToFit="0" vertical="center" wrapText="1"/>
    </xf>
    <xf borderId="13" fillId="2" fontId="6" numFmtId="164" xfId="0" applyAlignment="1" applyBorder="1" applyFill="1" applyFont="1" applyNumberForma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12" fillId="2" fontId="9" numFmtId="165" xfId="0" applyAlignment="1" applyBorder="1" applyFill="1" applyFont="1" applyNumberForma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9" fillId="2" fontId="7" numFmtId="0" xfId="0" applyAlignment="1" applyBorder="1" applyFill="1" applyFont="1">
      <alignment horizontal="center" readingOrder="0" shrinkToFit="0" vertical="center" wrapText="1"/>
    </xf>
    <xf borderId="0" fillId="2" fontId="6" numFmtId="164" xfId="0" applyAlignment="1" applyFill="1" applyFont="1" applyNumberFormat="1">
      <alignment horizontal="center" readingOrder="0" shrinkToFit="0" vertical="center" wrapText="1"/>
    </xf>
    <xf borderId="0" fillId="2" fontId="6" numFmtId="164" xfId="0" applyAlignment="1" applyFill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left" readingOrder="0" shrinkToFit="0" vertical="center" wrapText="1"/>
    </xf>
    <xf borderId="0" fillId="2" fontId="6" numFmtId="165" xfId="0" applyAlignment="1" applyFill="1" applyFont="1" applyNumberFormat="1">
      <alignment horizontal="center" readingOrder="0" shrinkToFit="0" vertical="center" wrapText="1"/>
    </xf>
    <xf borderId="0" fillId="2" fontId="6" numFmtId="166" xfId="0" applyAlignment="1" applyFill="1" applyFont="1" applyNumberFormat="1">
      <alignment horizontal="center" readingOrder="0" shrinkToFit="0" vertical="center" wrapText="1"/>
    </xf>
    <xf borderId="14" fillId="3" fontId="10" numFmtId="0" xfId="0" applyAlignment="1" applyBorder="1" applyFill="1" applyFont="1">
      <alignment horizontal="center" readingOrder="0" shrinkToFit="0" vertical="center" wrapText="1"/>
    </xf>
    <xf borderId="10" fillId="2" fontId="6" numFmtId="164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5" fillId="3" fontId="11" numFmtId="0" xfId="0" applyAlignment="1" applyBorder="1" applyFill="1" applyFont="1">
      <alignment horizontal="center" readingOrder="0" shrinkToFit="0" vertical="center" wrapText="1"/>
    </xf>
    <xf borderId="16" fillId="3" fontId="10" numFmtId="0" xfId="0" applyAlignment="1" applyBorder="1" applyFill="1" applyFont="1">
      <alignment horizontal="center" readingOrder="0" shrinkToFit="0" vertical="center" wrapText="1"/>
    </xf>
    <xf borderId="15" fillId="3" fontId="11" numFmtId="0" xfId="0" applyAlignment="1" applyBorder="1" applyFill="1" applyFont="1">
      <alignment horizontal="center" readingOrder="0" shrinkToFit="0" textRotation="90" vertical="center" wrapText="1"/>
    </xf>
    <xf borderId="17" fillId="3" fontId="11" numFmtId="0" xfId="0" applyAlignment="1" applyBorder="1" applyFill="1" applyFont="1">
      <alignment horizontal="center" readingOrder="0" shrinkToFit="0" vertical="center" wrapText="1"/>
    </xf>
    <xf borderId="15" fillId="3" fontId="10" numFmtId="0" xfId="0" applyAlignment="1" applyBorder="1" applyFill="1" applyFont="1">
      <alignment horizontal="center" readingOrder="0" shrinkToFit="0" vertical="center" wrapText="1"/>
    </xf>
    <xf borderId="17" fillId="3" fontId="11" numFmtId="0" xfId="0" applyAlignment="1" applyBorder="1" applyFill="1" applyFont="1">
      <alignment horizontal="center" readingOrder="0" shrinkToFit="0" textRotation="90" vertical="center" wrapText="1"/>
    </xf>
    <xf borderId="17" fillId="3" fontId="10" numFmtId="0" xfId="0" applyAlignment="1" applyBorder="1" applyFill="1" applyFont="1">
      <alignment horizontal="center" readingOrder="0" shrinkToFit="0" vertical="center" wrapText="1"/>
    </xf>
    <xf borderId="15" fillId="3" fontId="11" numFmtId="165" xfId="0" applyAlignment="1" applyBorder="1" applyFill="1" applyFont="1" applyNumberFormat="1">
      <alignment horizontal="center" readingOrder="0" shrinkToFit="0" vertical="center" wrapText="1"/>
    </xf>
    <xf borderId="17" fillId="3" fontId="11" numFmtId="165" xfId="0" applyAlignment="1" applyBorder="1" applyFill="1" applyFont="1" applyNumberFormat="1">
      <alignment horizontal="center" readingOrder="0" shrinkToFit="0" vertical="center" wrapText="1"/>
    </xf>
    <xf borderId="15" fillId="3" fontId="11" numFmtId="166" xfId="0" applyAlignment="1" applyBorder="1" applyFill="1" applyFont="1" applyNumberFormat="1">
      <alignment horizontal="center" readingOrder="0" shrinkToFit="0" vertical="center" wrapText="1"/>
    </xf>
    <xf borderId="17" fillId="3" fontId="11" numFmtId="166" xfId="0" applyAlignment="1" applyBorder="1" applyFill="1" applyFont="1" applyNumberFormat="1">
      <alignment horizontal="center" readingOrder="0" shrinkToFit="0" vertical="center" wrapText="1"/>
    </xf>
    <xf borderId="15" fillId="3" fontId="11" numFmtId="0" xfId="0" applyAlignment="1" applyBorder="1" applyFill="1" applyFont="1">
      <alignment horizontal="center" readingOrder="0" shrinkToFit="0" textRotation="0" vertical="center" wrapText="1"/>
    </xf>
    <xf borderId="17" fillId="3" fontId="11" numFmtId="0" xfId="0" applyAlignment="1" applyBorder="1" applyFill="1" applyFont="1">
      <alignment horizontal="center" readingOrder="0" shrinkToFit="0" textRotation="0" vertical="center" wrapText="1"/>
    </xf>
    <xf borderId="15" fillId="3" fontId="12" numFmtId="0" xfId="0" applyAlignment="1" applyBorder="1" applyFill="1" applyFont="1">
      <alignment horizontal="center" readingOrder="0" shrinkToFit="0" vertical="center" wrapText="1"/>
    </xf>
    <xf borderId="17" fillId="3" fontId="12" numFmtId="0" xfId="0" applyAlignment="1" applyBorder="1" applyFill="1" applyFont="1">
      <alignment horizontal="center" readingOrder="0" shrinkToFit="0" vertical="center" wrapText="1"/>
    </xf>
    <xf borderId="15" fillId="4" fontId="11" numFmtId="165" xfId="0" applyAlignment="1" applyBorder="1" applyFill="1" applyFont="1" applyNumberFormat="1">
      <alignment horizontal="center" readingOrder="0" shrinkToFit="0" vertical="center" wrapText="1"/>
    </xf>
    <xf borderId="17" fillId="4" fontId="11" numFmtId="165" xfId="0" applyAlignment="1" applyBorder="1" applyFill="1" applyFont="1" applyNumberFormat="1">
      <alignment horizontal="center" readingOrder="0" shrinkToFit="0" vertical="center" wrapText="1"/>
    </xf>
    <xf borderId="0" fillId="2" fontId="13" numFmtId="164" xfId="0" applyAlignment="1" applyFill="1" applyFont="1" applyNumberFormat="1">
      <alignment horizontal="center" readingOrder="0" shrinkToFit="0" vertical="center" wrapText="1"/>
    </xf>
    <xf borderId="15" fillId="4" fontId="11" numFmtId="166" xfId="0" applyAlignment="1" applyBorder="1" applyFill="1" applyFont="1" applyNumberFormat="1">
      <alignment horizontal="center" readingOrder="0" shrinkToFit="0" vertical="center" wrapText="1"/>
    </xf>
    <xf borderId="17" fillId="4" fontId="11" numFmtId="166" xfId="0" applyAlignment="1" applyBorder="1" applyFill="1" applyFont="1" applyNumberFormat="1">
      <alignment horizontal="center" readingOrder="0" shrinkToFit="0" vertical="center" wrapText="1"/>
    </xf>
    <xf borderId="15" fillId="4" fontId="11" numFmtId="0" xfId="0" applyAlignment="1" applyBorder="1" applyFill="1" applyFont="1">
      <alignment horizontal="center" readingOrder="0" shrinkToFit="0" vertical="center" wrapText="1"/>
    </xf>
    <xf borderId="17" fillId="4" fontId="11" numFmtId="0" xfId="0" applyAlignment="1" applyBorder="1" applyFill="1" applyFont="1">
      <alignment horizontal="center" readingOrder="0" shrinkToFit="0" vertical="center" wrapText="1"/>
    </xf>
    <xf borderId="18" fillId="3" fontId="10" numFmtId="0" xfId="0" applyAlignment="1" applyBorder="1" applyFill="1" applyFont="1">
      <alignment horizontal="center" readingOrder="0" shrinkToFit="0" vertical="center" wrapText="1"/>
    </xf>
    <xf borderId="8" fillId="2" fontId="6" numFmtId="164" xfId="0" applyAlignment="1" applyBorder="1" applyFill="1" applyFont="1" applyNumberFormat="1">
      <alignment horizontal="center" readingOrder="0" shrinkToFit="0" vertical="center" wrapText="1"/>
    </xf>
    <xf borderId="15" fillId="5" fontId="11" numFmtId="165" xfId="0" applyAlignment="1" applyBorder="1" applyFill="1" applyFont="1" applyNumberFormat="1">
      <alignment horizontal="center" readingOrder="0" shrinkToFit="0" vertical="center" wrapText="1"/>
    </xf>
    <xf borderId="19" fillId="3" fontId="11" numFmtId="0" xfId="0" applyAlignment="1" applyBorder="1" applyFill="1" applyFont="1">
      <alignment horizontal="center" readingOrder="0" shrinkToFit="0" vertical="center" wrapText="1"/>
    </xf>
    <xf borderId="15" fillId="5" fontId="11" numFmtId="166" xfId="0" applyAlignment="1" applyBorder="1" applyFill="1" applyFont="1" applyNumberFormat="1">
      <alignment horizontal="center" readingOrder="0" shrinkToFit="0" vertical="center" wrapText="1"/>
    </xf>
    <xf borderId="19" fillId="3" fontId="11" numFmtId="0" xfId="0" applyAlignment="1" applyBorder="1" applyFill="1" applyFont="1">
      <alignment horizontal="center" readingOrder="0" shrinkToFit="0" textRotation="90" vertical="center" wrapText="1"/>
    </xf>
    <xf borderId="15" fillId="5" fontId="11" numFmtId="0" xfId="0" applyAlignment="1" applyBorder="1" applyFill="1" applyFont="1">
      <alignment horizontal="center" readingOrder="0" shrinkToFit="0" vertical="center" wrapText="1"/>
    </xf>
    <xf borderId="20" fillId="3" fontId="10" numFmtId="0" xfId="0" applyAlignment="1" applyBorder="1" applyFill="1" applyFont="1">
      <alignment horizontal="center" readingOrder="0" shrinkToFit="0" vertical="center" wrapText="1"/>
    </xf>
    <xf borderId="17" fillId="5" fontId="11" numFmtId="165" xfId="0" applyAlignment="1" applyBorder="1" applyFill="1" applyFont="1" applyNumberFormat="1">
      <alignment horizontal="center" readingOrder="0" shrinkToFit="0" vertical="center" wrapText="1"/>
    </xf>
    <xf borderId="21" fillId="3" fontId="11" numFmtId="0" xfId="0" applyAlignment="1" applyBorder="1" applyFill="1" applyFont="1">
      <alignment horizontal="center" readingOrder="0" shrinkToFit="0" vertical="center" wrapText="1"/>
    </xf>
    <xf borderId="15" fillId="6" fontId="11" numFmtId="165" xfId="0" applyAlignment="1" applyBorder="1" applyFill="1" applyFont="1" applyNumberFormat="1">
      <alignment horizontal="center" readingOrder="0" shrinkToFit="0" vertical="center" wrapText="1"/>
    </xf>
    <xf borderId="21" fillId="3" fontId="11" numFmtId="0" xfId="0" applyAlignment="1" applyBorder="1" applyFill="1" applyFont="1">
      <alignment horizontal="center" readingOrder="0" shrinkToFit="0" textRotation="90" vertical="center" wrapText="1"/>
    </xf>
    <xf borderId="15" fillId="6" fontId="11" numFmtId="166" xfId="0" applyAlignment="1" applyBorder="1" applyFill="1" applyFont="1" applyNumberFormat="1">
      <alignment horizontal="center" readingOrder="0" shrinkToFit="0" vertical="center" wrapText="1"/>
    </xf>
    <xf borderId="19" fillId="3" fontId="10" numFmtId="0" xfId="0" applyAlignment="1" applyBorder="1" applyFill="1" applyFont="1">
      <alignment horizontal="center" readingOrder="0" shrinkToFit="0" vertical="center" wrapText="1"/>
    </xf>
    <xf borderId="15" fillId="6" fontId="11" numFmtId="0" xfId="0" applyAlignment="1" applyBorder="1" applyFill="1" applyFont="1">
      <alignment horizontal="center" readingOrder="0" shrinkToFit="0" vertical="center" wrapText="1"/>
    </xf>
    <xf borderId="22" fillId="6" fontId="11" numFmtId="0" xfId="0" applyAlignment="1" applyBorder="1" applyFill="1" applyFont="1">
      <alignment horizontal="center" readingOrder="0" shrinkToFit="0" vertical="center" wrapText="1"/>
    </xf>
    <xf borderId="19" fillId="3" fontId="11" numFmtId="165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21" fillId="3" fontId="10" numFmtId="0" xfId="0" applyAlignment="1" applyBorder="1" applyFill="1" applyFont="1">
      <alignment horizontal="center" readingOrder="0" shrinkToFit="0" vertical="center" wrapText="1"/>
    </xf>
    <xf borderId="19" fillId="3" fontId="11" numFmtId="166" xfId="0" applyAlignment="1" applyBorder="1" applyFill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23" fillId="3" fontId="11" numFmtId="0" xfId="0" applyAlignment="1" applyBorder="1" applyFill="1" applyFont="1">
      <alignment horizontal="center" readingOrder="0" shrinkToFit="0" vertical="center" wrapText="1"/>
    </xf>
    <xf borderId="21" fillId="3" fontId="12" numFmtId="165" xfId="0" applyAlignment="1" applyBorder="1" applyFill="1" applyFont="1" applyNumberFormat="1">
      <alignment horizontal="center" readingOrder="0" shrinkToFit="0" vertical="center" wrapText="1"/>
    </xf>
    <xf borderId="17" fillId="5" fontId="11" numFmtId="166" xfId="0" applyAlignment="1" applyBorder="1" applyFill="1" applyFont="1" applyNumberFormat="1">
      <alignment horizontal="center" readingOrder="0" shrinkToFit="0" vertical="center" wrapText="1"/>
    </xf>
    <xf borderId="21" fillId="3" fontId="11" numFmtId="165" xfId="0" applyAlignment="1" applyBorder="1" applyFill="1" applyFont="1" applyNumberFormat="1">
      <alignment horizontal="center" readingOrder="0" shrinkToFit="0" vertical="center" wrapText="1"/>
    </xf>
    <xf borderId="24" fillId="0" fontId="14" numFmtId="0" xfId="0" applyAlignment="1" applyBorder="1" applyFont="1">
      <alignment horizontal="left" readingOrder="0" shrinkToFit="0" vertical="center" wrapText="1"/>
    </xf>
    <xf borderId="25" fillId="0" fontId="14" numFmtId="0" xfId="0" applyAlignment="1" applyBorder="1" applyFont="1">
      <alignment horizontal="left" readingOrder="0" shrinkToFit="0" vertical="center" wrapText="1"/>
    </xf>
    <xf borderId="24" fillId="0" fontId="14" numFmtId="0" xfId="0" applyAlignment="1" applyBorder="1" applyFont="1">
      <alignment horizontal="center" readingOrder="0" shrinkToFit="0" vertical="center" wrapText="1"/>
    </xf>
    <xf borderId="21" fillId="3" fontId="11" numFmtId="166" xfId="0" applyAlignment="1" applyBorder="1" applyFill="1" applyFont="1" applyNumberFormat="1">
      <alignment horizontal="center" readingOrder="0" shrinkToFit="0" vertical="center" wrapText="1"/>
    </xf>
    <xf borderId="25" fillId="0" fontId="14" numFmtId="0" xfId="0" applyAlignment="1" applyBorder="1" applyFont="1">
      <alignment horizontal="center" readingOrder="0" shrinkToFit="0" vertical="center" wrapText="1"/>
    </xf>
    <xf borderId="26" fillId="0" fontId="14" numFmtId="0" xfId="0" applyAlignment="1" applyBorder="1" applyFont="1">
      <alignment horizontal="center" readingOrder="0" shrinkToFit="0" vertical="center" wrapText="1"/>
    </xf>
    <xf borderId="21" fillId="3" fontId="11" numFmtId="0" xfId="0" applyAlignment="1" applyBorder="1" applyFill="1" applyFont="1">
      <alignment horizontal="center" readingOrder="0" shrinkToFit="0" textRotation="0" vertical="center" wrapText="1"/>
    </xf>
    <xf borderId="17" fillId="5" fontId="11" numFmtId="0" xfId="0" applyAlignment="1" applyBorder="1" applyFill="1" applyFont="1">
      <alignment horizontal="center" readingOrder="0" shrinkToFit="0" vertical="center" wrapText="1"/>
    </xf>
    <xf borderId="26" fillId="0" fontId="14" numFmtId="0" xfId="0" applyAlignment="1" applyBorder="1" applyFont="1">
      <alignment horizontal="left" readingOrder="0" shrinkToFit="0" vertical="center" wrapText="1"/>
    </xf>
    <xf borderId="21" fillId="3" fontId="12" numFmtId="0" xfId="0" applyAlignment="1" applyBorder="1" applyFill="1" applyFont="1">
      <alignment horizontal="center" readingOrder="0" shrinkToFit="0" vertical="center" wrapText="1"/>
    </xf>
    <xf borderId="21" fillId="4" fontId="12" numFmtId="165" xfId="0" applyAlignment="1" applyBorder="1" applyFill="1" applyFont="1" applyNumberFormat="1">
      <alignment horizontal="center" readingOrder="0" shrinkToFit="0" vertical="center" wrapText="1"/>
    </xf>
    <xf borderId="26" fillId="7" fontId="14" numFmtId="164" xfId="0" applyAlignment="1" applyBorder="1" applyFill="1" applyFont="1" applyNumberFormat="1">
      <alignment horizontal="center" readingOrder="0" shrinkToFit="0" vertical="center" wrapText="1"/>
    </xf>
    <xf borderId="17" fillId="6" fontId="11" numFmtId="165" xfId="0" applyAlignment="1" applyBorder="1" applyFill="1" applyFont="1" applyNumberFormat="1">
      <alignment horizontal="center" readingOrder="0" shrinkToFit="0" vertical="center" wrapText="1"/>
    </xf>
    <xf borderId="25" fillId="7" fontId="14" numFmtId="164" xfId="0" applyAlignment="1" applyBorder="1" applyFill="1" applyFont="1" applyNumberFormat="1">
      <alignment horizontal="center" readingOrder="0" shrinkToFit="0" vertical="center" wrapText="1"/>
    </xf>
    <xf borderId="21" fillId="4" fontId="11" numFmtId="165" xfId="0" applyAlignment="1" applyBorder="1" applyFill="1" applyFont="1" applyNumberFormat="1">
      <alignment horizontal="center" readingOrder="0" shrinkToFit="0" vertical="center" wrapText="1"/>
    </xf>
    <xf borderId="21" fillId="4" fontId="11" numFmtId="166" xfId="0" applyAlignment="1" applyBorder="1" applyFill="1" applyFont="1" applyNumberFormat="1">
      <alignment horizontal="center" readingOrder="0" shrinkToFit="0" vertical="center" wrapText="1"/>
    </xf>
    <xf borderId="17" fillId="6" fontId="11" numFmtId="166" xfId="0" applyAlignment="1" applyBorder="1" applyFill="1" applyFont="1" applyNumberFormat="1">
      <alignment horizontal="center" readingOrder="0" shrinkToFit="0" vertical="center" wrapText="1"/>
    </xf>
    <xf borderId="17" fillId="6" fontId="11" numFmtId="0" xfId="0" applyAlignment="1" applyBorder="1" applyFill="1" applyFont="1">
      <alignment horizontal="center" readingOrder="0" shrinkToFit="0" vertical="center" wrapText="1"/>
    </xf>
    <xf borderId="17" fillId="8" fontId="11" numFmtId="165" xfId="0" applyAlignment="1" applyBorder="1" applyFill="1" applyFont="1" applyNumberFormat="1">
      <alignment horizontal="center" readingOrder="0" shrinkToFit="0" vertical="center" wrapText="1"/>
    </xf>
    <xf borderId="17" fillId="8" fontId="11" numFmtId="166" xfId="0" applyAlignment="1" applyBorder="1" applyFill="1" applyFont="1" applyNumberFormat="1">
      <alignment horizontal="center" readingOrder="0" shrinkToFit="0" vertical="center" wrapText="1"/>
    </xf>
    <xf borderId="24" fillId="0" fontId="14" numFmtId="165" xfId="0" applyAlignment="1" applyBorder="1" applyFont="1" applyNumberFormat="1">
      <alignment horizontal="center" readingOrder="0" shrinkToFit="0" vertical="center" wrapText="1"/>
    </xf>
    <xf borderId="21" fillId="4" fontId="11" numFmtId="0" xfId="0" applyAlignment="1" applyBorder="1" applyFill="1" applyFont="1">
      <alignment horizontal="center" readingOrder="0" shrinkToFit="0" vertical="center" wrapText="1"/>
    </xf>
    <xf borderId="24" fillId="9" fontId="14" numFmtId="165" xfId="0" applyAlignment="1" applyBorder="1" applyFill="1" applyFont="1" applyNumberFormat="1">
      <alignment horizontal="center" shrinkToFit="0" vertical="center" wrapText="1"/>
    </xf>
    <xf borderId="24" fillId="0" fontId="14" numFmtId="166" xfId="0" applyAlignment="1" applyBorder="1" applyFont="1" applyNumberFormat="1">
      <alignment horizontal="center" readingOrder="0" shrinkToFit="0" vertical="center" wrapText="1"/>
    </xf>
    <xf borderId="24" fillId="0" fontId="15" numFmtId="0" xfId="0" applyAlignment="1" applyBorder="1" applyFont="1">
      <alignment horizontal="center" readingOrder="0" shrinkToFit="0" vertical="center" wrapText="1"/>
    </xf>
    <xf borderId="25" fillId="0" fontId="14" numFmtId="165" xfId="0" applyAlignment="1" applyBorder="1" applyFont="1" applyNumberFormat="1">
      <alignment horizontal="center" readingOrder="0" shrinkToFit="0" vertical="center" wrapText="1"/>
    </xf>
    <xf borderId="27" fillId="8" fontId="11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21" fillId="5" fontId="12" numFmtId="165" xfId="0" applyAlignment="1" applyBorder="1" applyFill="1" applyFont="1" applyNumberForma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25" fillId="9" fontId="14" numFmtId="165" xfId="0" applyAlignment="1" applyBorder="1" applyFill="1" applyFont="1" applyNumberFormat="1">
      <alignment horizontal="center" readingOrder="0" shrinkToFit="0" vertical="center" wrapText="1"/>
    </xf>
    <xf borderId="25" fillId="0" fontId="14" numFmtId="0" xfId="0" applyAlignment="1" applyBorder="1" applyFont="1">
      <alignment horizontal="left" shrinkToFit="0" vertical="center" wrapText="1"/>
    </xf>
    <xf borderId="21" fillId="5" fontId="11" numFmtId="165" xfId="0" applyAlignment="1" applyBorder="1" applyFill="1" applyFont="1" applyNumberFormat="1">
      <alignment horizontal="center" readingOrder="0" shrinkToFit="0" vertical="center" wrapText="1"/>
    </xf>
    <xf borderId="25" fillId="0" fontId="14" numFmtId="166" xfId="0" applyAlignment="1" applyBorder="1" applyFont="1" applyNumberFormat="1">
      <alignment horizontal="center" readingOrder="0" shrinkToFit="0" vertical="center" wrapText="1"/>
    </xf>
    <xf borderId="25" fillId="0" fontId="14" numFmtId="0" xfId="0" applyAlignment="1" applyBorder="1" applyFont="1">
      <alignment horizontal="center" shrinkToFit="0" vertical="center" wrapText="1"/>
    </xf>
    <xf borderId="21" fillId="5" fontId="11" numFmtId="166" xfId="0" applyAlignment="1" applyBorder="1" applyFill="1" applyFont="1" applyNumberFormat="1">
      <alignment horizontal="center" readingOrder="0" shrinkToFit="0" vertical="center" wrapText="1"/>
    </xf>
    <xf borderId="25" fillId="7" fontId="14" numFmtId="0" xfId="0" applyAlignment="1" applyBorder="1" applyFill="1" applyFont="1">
      <alignment horizontal="center" readingOrder="0" shrinkToFit="0" vertical="center" wrapText="1"/>
    </xf>
    <xf borderId="25" fillId="0" fontId="15" numFmtId="0" xfId="0" applyAlignment="1" applyBorder="1" applyFont="1">
      <alignment horizontal="center" readingOrder="0" shrinkToFit="0" vertical="center" wrapText="1"/>
    </xf>
    <xf borderId="21" fillId="5" fontId="11" numFmtId="0" xfId="0" applyAlignment="1" applyBorder="1" applyFill="1" applyFont="1">
      <alignment horizontal="center" readingOrder="0" shrinkToFit="0" vertical="center" wrapText="1"/>
    </xf>
    <xf borderId="25" fillId="10" fontId="14" numFmtId="165" xfId="0" applyAlignment="1" applyBorder="1" applyFill="1" applyFont="1" applyNumberFormat="1">
      <alignment horizontal="center" readingOrder="0" shrinkToFit="0" vertical="center" wrapText="1"/>
    </xf>
    <xf borderId="21" fillId="6" fontId="12" numFmtId="165" xfId="0" applyAlignment="1" applyBorder="1" applyFill="1" applyFont="1" applyNumberFormat="1">
      <alignment horizontal="center" readingOrder="0" shrinkToFit="0" vertical="center" wrapText="1"/>
    </xf>
    <xf borderId="21" fillId="6" fontId="11" numFmtId="165" xfId="0" applyAlignment="1" applyBorder="1" applyFill="1" applyFont="1" applyNumberFormat="1">
      <alignment horizontal="center" readingOrder="0" shrinkToFit="0" vertical="center" wrapText="1"/>
    </xf>
    <xf borderId="25" fillId="9" fontId="17" numFmtId="165" xfId="0" applyAlignment="1" applyBorder="1" applyFill="1" applyFont="1" applyNumberFormat="1">
      <alignment horizontal="center" readingOrder="0" shrinkToFit="0" wrapText="0"/>
    </xf>
    <xf borderId="25" fillId="0" fontId="14" numFmtId="20" xfId="0" applyAlignment="1" applyBorder="1" applyFont="1" applyNumberFormat="1">
      <alignment horizontal="center" shrinkToFit="0" vertical="center" wrapText="1"/>
    </xf>
    <xf borderId="25" fillId="0" fontId="14" numFmtId="3" xfId="0" applyAlignment="1" applyBorder="1" applyFont="1" applyNumberFormat="1">
      <alignment horizontal="center" readingOrder="0" shrinkToFit="0" vertical="center" wrapText="1"/>
    </xf>
    <xf borderId="21" fillId="6" fontId="11" numFmtId="166" xfId="0" applyAlignment="1" applyBorder="1" applyFill="1" applyFont="1" applyNumberFormat="1">
      <alignment horizontal="center" readingOrder="0" shrinkToFit="0" vertical="center" wrapText="1"/>
    </xf>
    <xf borderId="21" fillId="6" fontId="11" numFmtId="0" xfId="0" applyAlignment="1" applyBorder="1" applyFill="1" applyFont="1">
      <alignment horizontal="center" readingOrder="0" shrinkToFit="0" vertical="center" wrapText="1"/>
    </xf>
    <xf borderId="21" fillId="8" fontId="11" numFmtId="165" xfId="0" applyAlignment="1" applyBorder="1" applyFill="1" applyFont="1" applyNumberFormat="1">
      <alignment horizontal="center" readingOrder="0" shrinkToFit="0" vertical="center" wrapText="1"/>
    </xf>
    <xf borderId="21" fillId="8" fontId="11" numFmtId="166" xfId="0" applyAlignment="1" applyBorder="1" applyFill="1" applyFont="1" applyNumberFormat="1">
      <alignment horizontal="center" readingOrder="0" shrinkToFit="0" vertical="center" wrapText="1"/>
    </xf>
    <xf borderId="28" fillId="8" fontId="11" numFmtId="0" xfId="0" applyAlignment="1" applyBorder="1" applyFill="1" applyFont="1">
      <alignment horizontal="center" readingOrder="0" shrinkToFit="0" vertical="center" wrapText="1"/>
    </xf>
    <xf borderId="25" fillId="0" fontId="14" numFmtId="164" xfId="0" applyAlignment="1" applyBorder="1" applyFont="1" applyNumberFormat="1">
      <alignment horizontal="center" readingOrder="0" shrinkToFit="0" vertical="center" wrapText="1"/>
    </xf>
    <xf borderId="25" fillId="11" fontId="14" numFmtId="165" xfId="0" applyAlignment="1" applyBorder="1" applyFill="1" applyFont="1" applyNumberFormat="1">
      <alignment horizontal="center" readingOrder="0" shrinkToFit="0" vertical="center" wrapText="1"/>
    </xf>
    <xf borderId="25" fillId="11" fontId="14" numFmtId="167" xfId="0" applyAlignment="1" applyBorder="1" applyFill="1" applyFont="1" applyNumberFormat="1">
      <alignment horizontal="center" readingOrder="0" shrinkToFit="0" vertical="center" wrapText="1"/>
    </xf>
    <xf borderId="25" fillId="11" fontId="14" numFmtId="0" xfId="0" applyAlignment="1" applyBorder="1" applyFill="1" applyFont="1">
      <alignment horizontal="center" readingOrder="0" shrinkToFit="0" vertical="center" wrapText="1"/>
    </xf>
    <xf borderId="25" fillId="0" fontId="15" numFmtId="164" xfId="0" applyAlignment="1" applyBorder="1" applyFont="1" applyNumberFormat="1">
      <alignment horizontal="center" readingOrder="0" shrinkToFit="0" vertical="center" wrapText="1"/>
    </xf>
    <xf borderId="24" fillId="10" fontId="14" numFmtId="165" xfId="0" applyAlignment="1" applyBorder="1" applyFill="1" applyFont="1" applyNumberFormat="1">
      <alignment horizontal="center" readingOrder="0" shrinkToFit="0" vertical="center" wrapText="1"/>
    </xf>
    <xf borderId="24" fillId="9" fontId="14" numFmtId="165" xfId="0" applyAlignment="1" applyBorder="1" applyFill="1" applyFont="1" applyNumberFormat="1">
      <alignment horizontal="center" readingOrder="0" shrinkToFit="0" vertical="center" wrapText="1"/>
    </xf>
    <xf borderId="25" fillId="0" fontId="16" numFmtId="0" xfId="0" applyAlignment="1" applyBorder="1" applyFont="1">
      <alignment horizontal="center" readingOrder="0" shrinkToFit="0" vertical="center" wrapText="1"/>
    </xf>
    <xf borderId="25" fillId="0" fontId="14" numFmtId="20" xfId="0" applyAlignment="1" applyBorder="1" applyFont="1" applyNumberFormat="1">
      <alignment horizontal="center" readingOrder="0" shrinkToFit="0" vertical="center" wrapText="1"/>
    </xf>
    <xf borderId="24" fillId="11" fontId="14" numFmtId="165" xfId="0" applyAlignment="1" applyBorder="1" applyFill="1" applyFont="1" applyNumberFormat="1">
      <alignment horizontal="center" readingOrder="0" shrinkToFit="0" vertical="center" wrapText="1"/>
    </xf>
    <xf borderId="24" fillId="11" fontId="14" numFmtId="164" xfId="0" applyAlignment="1" applyBorder="1" applyFill="1" applyFont="1" applyNumberFormat="1">
      <alignment horizontal="center" readingOrder="0" shrinkToFit="0" vertical="center" wrapText="1"/>
    </xf>
    <xf borderId="25" fillId="2" fontId="17" numFmtId="20" xfId="0" applyAlignment="1" applyBorder="1" applyFill="1" applyFont="1" applyNumberFormat="1">
      <alignment horizontal="center" readingOrder="0" shrinkToFit="0" wrapText="0"/>
    </xf>
    <xf borderId="25" fillId="0" fontId="14" numFmtId="3" xfId="0" applyAlignment="1" applyBorder="1" applyFont="1" applyNumberFormat="1">
      <alignment horizontal="center" shrinkToFit="0" vertical="center" wrapText="1"/>
    </xf>
    <xf borderId="29" fillId="11" fontId="17" numFmtId="0" xfId="0" applyAlignment="1" applyBorder="1" applyFill="1" applyFont="1">
      <alignment horizontal="center" readingOrder="0" shrinkToFit="0" wrapText="0"/>
    </xf>
    <xf borderId="25" fillId="12" fontId="17" numFmtId="20" xfId="0" applyAlignment="1" applyBorder="1" applyFill="1" applyFont="1" applyNumberFormat="1">
      <alignment horizontal="center" readingOrder="0" shrinkToFit="0" wrapText="0"/>
    </xf>
    <xf borderId="25" fillId="9" fontId="17" numFmtId="165" xfId="0" applyAlignment="1" applyBorder="1" applyFill="1" applyFont="1" applyNumberFormat="1">
      <alignment horizontal="center" readingOrder="0" shrinkToFit="0" wrapText="0"/>
    </xf>
    <xf borderId="25" fillId="2" fontId="17" numFmtId="20" xfId="0" applyAlignment="1" applyBorder="1" applyFill="1" applyFont="1" applyNumberFormat="1">
      <alignment horizontal="center" readingOrder="0" shrinkToFit="0" wrapText="0"/>
    </xf>
    <xf borderId="29" fillId="11" fontId="17" numFmtId="0" xfId="0" applyAlignment="1" applyBorder="1" applyFill="1" applyFont="1">
      <alignment horizontal="center" readingOrder="0" shrinkToFit="0" wrapText="0"/>
    </xf>
    <xf borderId="25" fillId="12" fontId="17" numFmtId="20" xfId="0" applyAlignment="1" applyBorder="1" applyFill="1" applyFont="1" applyNumberFormat="1">
      <alignment horizontal="center" readingOrder="0" shrinkToFit="0" wrapText="0"/>
    </xf>
    <xf borderId="25" fillId="0" fontId="14" numFmtId="0" xfId="0" applyAlignment="1" applyBorder="1" applyFont="1">
      <alignment horizontal="left" shrinkToFit="0" vertical="center" wrapText="1"/>
    </xf>
    <xf borderId="25" fillId="0" fontId="14" numFmtId="0" xfId="0" applyAlignment="1" applyBorder="1" applyFont="1">
      <alignment shrinkToFit="0" vertical="center" wrapText="1"/>
    </xf>
    <xf borderId="0" fillId="2" fontId="6" numFmtId="165" xfId="0" applyAlignment="1" applyFill="1" applyFont="1" applyNumberFormat="1">
      <alignment horizontal="center" readingOrder="0" shrinkToFit="0" vertical="center" wrapText="1"/>
    </xf>
    <xf borderId="0" fillId="2" fontId="6" numFmtId="166" xfId="0" applyAlignment="1" applyFill="1" applyFont="1" applyNumberFormat="1">
      <alignment horizontal="center" readingOrder="0" shrinkToFit="0" vertical="center" wrapText="1"/>
    </xf>
    <xf borderId="0" fillId="2" fontId="6" numFmtId="167" xfId="0" applyAlignment="1" applyFill="1" applyFont="1" applyNumberFormat="1">
      <alignment horizontal="center" readingOrder="0" shrinkToFit="0" vertical="center" wrapText="1"/>
    </xf>
    <xf borderId="30" fillId="3" fontId="10" numFmtId="0" xfId="0" applyAlignment="1" applyBorder="1" applyFill="1" applyFont="1">
      <alignment horizontal="center" readingOrder="0" shrinkToFit="0" vertical="center" wrapText="1"/>
    </xf>
    <xf borderId="31" fillId="3" fontId="18" numFmtId="0" xfId="0" applyAlignment="1" applyBorder="1" applyFill="1" applyFont="1">
      <alignment horizontal="center" readingOrder="0" shrinkToFit="0" vertical="center" wrapText="1"/>
    </xf>
    <xf borderId="31" fillId="3" fontId="18" numFmtId="0" xfId="0" applyAlignment="1" applyBorder="1" applyFill="1" applyFont="1">
      <alignment horizontal="center" readingOrder="0" shrinkToFit="0" textRotation="90" vertical="center" wrapText="1"/>
    </xf>
    <xf borderId="31" fillId="3" fontId="10" numFmtId="0" xfId="0" applyAlignment="1" applyBorder="1" applyFill="1" applyFont="1">
      <alignment horizontal="center" readingOrder="0" shrinkToFit="0" vertical="center" wrapText="1"/>
    </xf>
    <xf borderId="32" fillId="3" fontId="10" numFmtId="165" xfId="0" applyAlignment="1" applyBorder="1" applyFill="1" applyFont="1" applyNumberFormat="1">
      <alignment horizontal="center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4" fontId="10" numFmtId="165" xfId="0" applyAlignment="1" applyBorder="1" applyFill="1" applyFont="1" applyNumberFormat="1">
      <alignment horizontal="center" readingOrder="0" shrinkToFit="0" vertical="center" wrapText="1"/>
    </xf>
    <xf borderId="35" fillId="8" fontId="10" numFmtId="165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36" fillId="0" fontId="3" numFmtId="0" xfId="0" applyBorder="1" applyFont="1"/>
    <xf borderId="17" fillId="0" fontId="3" numFmtId="0" xfId="0" applyBorder="1" applyFont="1"/>
    <xf borderId="37" fillId="3" fontId="11" numFmtId="165" xfId="0" applyAlignment="1" applyBorder="1" applyFill="1" applyFont="1" applyNumberFormat="1">
      <alignment horizontal="center" readingOrder="0" shrinkToFit="0" vertical="center" wrapText="1"/>
    </xf>
    <xf borderId="38" fillId="0" fontId="3" numFmtId="0" xfId="0" applyBorder="1" applyFont="1"/>
    <xf borderId="39" fillId="3" fontId="11" numFmtId="165" xfId="0" applyAlignment="1" applyBorder="1" applyFill="1" applyFont="1" applyNumberFormat="1">
      <alignment horizontal="center" readingOrder="0" shrinkToFit="0" vertical="center" wrapText="1"/>
    </xf>
    <xf borderId="39" fillId="4" fontId="11" numFmtId="165" xfId="0" applyAlignment="1" applyBorder="1" applyFill="1" applyFont="1" applyNumberFormat="1">
      <alignment horizontal="center" readingOrder="0" shrinkToFit="0" vertical="center" wrapText="1"/>
    </xf>
    <xf borderId="37" fillId="0" fontId="3" numFmtId="0" xfId="0" applyBorder="1" applyFont="1"/>
    <xf borderId="34" fillId="0" fontId="3" numFmtId="0" xfId="0" applyBorder="1" applyFont="1"/>
    <xf borderId="40" fillId="0" fontId="3" numFmtId="0" xfId="0" applyBorder="1" applyFont="1"/>
    <xf borderId="0" fillId="0" fontId="11" numFmtId="0" xfId="0" applyAlignment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43" fillId="3" fontId="11" numFmtId="165" xfId="0" applyAlignment="1" applyBorder="1" applyFill="1" applyFont="1" applyNumberFormat="1">
      <alignment horizontal="center" readingOrder="0" shrinkToFit="0" vertical="center" wrapText="1"/>
    </xf>
    <xf borderId="43" fillId="3" fontId="11" numFmtId="166" xfId="0" applyAlignment="1" applyBorder="1" applyFill="1" applyFont="1" applyNumberFormat="1">
      <alignment horizontal="center" readingOrder="0" shrinkToFit="0" vertical="center" wrapText="1"/>
    </xf>
    <xf borderId="43" fillId="4" fontId="11" numFmtId="165" xfId="0" applyAlignment="1" applyBorder="1" applyFill="1" applyFont="1" applyNumberFormat="1">
      <alignment horizontal="center" readingOrder="0" shrinkToFit="0" vertical="center" wrapText="1"/>
    </xf>
    <xf borderId="43" fillId="4" fontId="11" numFmtId="166" xfId="0" applyAlignment="1" applyBorder="1" applyFill="1" applyFont="1" applyNumberFormat="1">
      <alignment horizontal="center" readingOrder="0" shrinkToFit="0" vertical="center" wrapText="1"/>
    </xf>
    <xf borderId="43" fillId="4" fontId="11" numFmtId="0" xfId="0" applyAlignment="1" applyBorder="1" applyFill="1" applyFont="1">
      <alignment horizontal="center" readingOrder="0" shrinkToFit="0" vertical="center" wrapText="1"/>
    </xf>
    <xf borderId="43" fillId="5" fontId="11" numFmtId="165" xfId="0" applyAlignment="1" applyBorder="1" applyFill="1" applyFont="1" applyNumberFormat="1">
      <alignment horizontal="center" readingOrder="0" shrinkToFit="0" vertical="center" wrapText="1"/>
    </xf>
    <xf borderId="43" fillId="5" fontId="11" numFmtId="166" xfId="0" applyAlignment="1" applyBorder="1" applyFill="1" applyFont="1" applyNumberFormat="1">
      <alignment horizontal="center" readingOrder="0" shrinkToFit="0" vertical="center" wrapText="1"/>
    </xf>
    <xf borderId="43" fillId="5" fontId="11" numFmtId="0" xfId="0" applyAlignment="1" applyBorder="1" applyFill="1" applyFont="1">
      <alignment horizontal="center" readingOrder="0" shrinkToFit="0" vertical="center" wrapText="1"/>
    </xf>
    <xf borderId="43" fillId="6" fontId="11" numFmtId="165" xfId="0" applyAlignment="1" applyBorder="1" applyFill="1" applyFont="1" applyNumberFormat="1">
      <alignment horizontal="center" shrinkToFit="0" vertical="center" wrapText="1"/>
    </xf>
    <xf borderId="43" fillId="6" fontId="11" numFmtId="167" xfId="0" applyAlignment="1" applyBorder="1" applyFill="1" applyFont="1" applyNumberFormat="1">
      <alignment horizontal="center" shrinkToFit="0" vertical="center" wrapText="1"/>
    </xf>
    <xf borderId="43" fillId="6" fontId="11" numFmtId="0" xfId="0" applyAlignment="1" applyBorder="1" applyFill="1" applyFont="1">
      <alignment horizontal="center" shrinkToFit="0" vertical="center" wrapText="1"/>
    </xf>
    <xf borderId="43" fillId="4" fontId="11" numFmtId="166" xfId="0" applyAlignment="1" applyBorder="1" applyFill="1" applyFont="1" applyNumberFormat="1">
      <alignment horizontal="center" readingOrder="0" shrinkToFit="0" vertical="center" wrapText="1"/>
    </xf>
    <xf borderId="43" fillId="6" fontId="11" numFmtId="165" xfId="0" applyAlignment="1" applyBorder="1" applyFill="1" applyFont="1" applyNumberFormat="1">
      <alignment horizontal="center" readingOrder="0" shrinkToFit="0" vertical="center" wrapText="1"/>
    </xf>
    <xf borderId="43" fillId="6" fontId="11" numFmtId="166" xfId="0" applyAlignment="1" applyBorder="1" applyFill="1" applyFont="1" applyNumberFormat="1">
      <alignment horizontal="center" readingOrder="0" shrinkToFit="0" vertical="center" wrapText="1"/>
    </xf>
    <xf borderId="43" fillId="6" fontId="11" numFmtId="0" xfId="0" applyAlignment="1" applyBorder="1" applyFill="1" applyFont="1">
      <alignment horizontal="center" readingOrder="0" shrinkToFit="0" vertical="center" wrapText="1"/>
    </xf>
    <xf borderId="43" fillId="5" fontId="11" numFmtId="166" xfId="0" applyAlignment="1" applyBorder="1" applyFill="1" applyFont="1" applyNumberFormat="1">
      <alignment horizontal="center" readingOrder="0" shrinkToFit="0" vertical="center" wrapText="1"/>
    </xf>
    <xf borderId="43" fillId="8" fontId="11" numFmtId="165" xfId="0" applyAlignment="1" applyBorder="1" applyFill="1" applyFont="1" applyNumberFormat="1">
      <alignment horizontal="center" readingOrder="0" shrinkToFit="0" vertical="center" wrapText="1"/>
    </xf>
    <xf borderId="44" fillId="8" fontId="11" numFmtId="166" xfId="0" applyAlignment="1" applyBorder="1" applyFill="1" applyFont="1" applyNumberFormat="1">
      <alignment horizontal="center" readingOrder="0" shrinkToFit="0" vertical="center" wrapText="1"/>
    </xf>
    <xf borderId="24" fillId="10" fontId="14" numFmtId="165" xfId="0" applyAlignment="1" applyBorder="1" applyFill="1" applyFont="1" applyNumberFormat="1">
      <alignment horizontal="center" readingOrder="0" shrinkToFit="0" vertical="center" wrapText="1"/>
    </xf>
    <xf borderId="24" fillId="10" fontId="14" numFmtId="166" xfId="0" applyAlignment="1" applyBorder="1" applyFill="1" applyFont="1" applyNumberFormat="1">
      <alignment horizontal="center" readingOrder="0" shrinkToFit="0" vertical="center" wrapText="1"/>
    </xf>
    <xf borderId="24" fillId="7" fontId="14" numFmtId="165" xfId="0" applyAlignment="1" applyBorder="1" applyFill="1" applyFont="1" applyNumberFormat="1">
      <alignment horizontal="center" readingOrder="0" shrinkToFit="0" vertical="center" wrapText="1"/>
    </xf>
    <xf borderId="24" fillId="7" fontId="14" numFmtId="166" xfId="0" applyAlignment="1" applyBorder="1" applyFill="1" applyFont="1" applyNumberFormat="1">
      <alignment horizontal="center" readingOrder="0" shrinkToFit="0" vertical="center" wrapText="1"/>
    </xf>
    <xf borderId="24" fillId="13" fontId="14" numFmtId="165" xfId="0" applyAlignment="1" applyBorder="1" applyFill="1" applyFont="1" applyNumberFormat="1">
      <alignment horizontal="center" readingOrder="0" shrinkToFit="0" vertical="center" wrapText="1"/>
    </xf>
    <xf borderId="24" fillId="13" fontId="14" numFmtId="166" xfId="0" applyAlignment="1" applyBorder="1" applyFill="1" applyFont="1" applyNumberFormat="1">
      <alignment horizontal="center" readingOrder="0" shrinkToFit="0" vertical="center" wrapText="1"/>
    </xf>
    <xf borderId="24" fillId="10" fontId="14" numFmtId="166" xfId="0" applyAlignment="1" applyBorder="1" applyFill="1" applyFont="1" applyNumberFormat="1">
      <alignment horizontal="center" readingOrder="0" shrinkToFit="0" vertical="center" wrapText="1"/>
    </xf>
    <xf borderId="24" fillId="14" fontId="14" numFmtId="165" xfId="0" applyAlignment="1" applyBorder="1" applyFill="1" applyFont="1" applyNumberFormat="1">
      <alignment horizontal="center" readingOrder="0" shrinkToFit="0" vertical="center" wrapText="1"/>
    </xf>
    <xf borderId="24" fillId="14" fontId="14" numFmtId="166" xfId="0" applyAlignment="1" applyBorder="1" applyFill="1" applyFont="1" applyNumberFormat="1">
      <alignment horizontal="center" readingOrder="0" shrinkToFit="0" vertical="center" wrapText="1"/>
    </xf>
    <xf borderId="24" fillId="14" fontId="14" numFmtId="164" xfId="0" applyAlignment="1" applyBorder="1" applyFill="1" applyFont="1" applyNumberFormat="1">
      <alignment horizontal="center" readingOrder="0" shrinkToFit="0" vertical="center" wrapText="1"/>
    </xf>
    <xf borderId="24" fillId="14" fontId="14" numFmtId="165" xfId="0" applyAlignment="1" applyBorder="1" applyFill="1" applyFont="1" applyNumberFormat="1">
      <alignment horizontal="center" readingOrder="0" shrinkToFit="0" vertical="center" wrapText="1"/>
    </xf>
    <xf borderId="24" fillId="14" fontId="14" numFmtId="168" xfId="0" applyAlignment="1" applyBorder="1" applyFill="1" applyFont="1" applyNumberFormat="1">
      <alignment horizontal="center" readingOrder="0" shrinkToFit="0" vertical="center" wrapText="1"/>
    </xf>
    <xf borderId="24" fillId="15" fontId="14" numFmtId="165" xfId="0" applyAlignment="1" applyBorder="1" applyFill="1" applyFont="1" applyNumberFormat="1">
      <alignment horizontal="center" readingOrder="0" shrinkToFit="0" vertical="center" wrapText="1"/>
    </xf>
    <xf borderId="24" fillId="15" fontId="14" numFmtId="166" xfId="0" applyAlignment="1" applyBorder="1" applyFill="1" applyFont="1" applyNumberFormat="1">
      <alignment horizontal="center" readingOrder="0" shrinkToFit="0" vertical="center" wrapText="1"/>
    </xf>
    <xf borderId="24" fillId="15" fontId="14" numFmtId="164" xfId="0" applyAlignment="1" applyBorder="1" applyFill="1" applyFont="1" applyNumberFormat="1">
      <alignment horizontal="center" readingOrder="0" shrinkToFit="0" vertical="center" wrapText="1"/>
    </xf>
    <xf borderId="24" fillId="15" fontId="14" numFmtId="165" xfId="0" applyAlignment="1" applyBorder="1" applyFill="1" applyFont="1" applyNumberFormat="1">
      <alignment horizontal="center" readingOrder="0" shrinkToFit="0" vertical="center" wrapText="1"/>
    </xf>
    <xf borderId="24" fillId="15" fontId="14" numFmtId="168" xfId="0" applyAlignment="1" applyBorder="1" applyFill="1" applyFont="1" applyNumberFormat="1">
      <alignment horizontal="center" readingOrder="0" shrinkToFit="0" vertical="center" wrapText="1"/>
    </xf>
    <xf borderId="24" fillId="16" fontId="14" numFmtId="165" xfId="0" applyAlignment="1" applyBorder="1" applyFill="1" applyFont="1" applyNumberFormat="1">
      <alignment horizontal="center" readingOrder="0" shrinkToFit="0" vertical="center" wrapText="1"/>
    </xf>
    <xf borderId="24" fillId="16" fontId="14" numFmtId="166" xfId="0" applyAlignment="1" applyBorder="1" applyFill="1" applyFont="1" applyNumberFormat="1">
      <alignment horizontal="center" readingOrder="0" shrinkToFit="0" vertical="center" wrapText="1"/>
    </xf>
    <xf borderId="24" fillId="16" fontId="14" numFmtId="165" xfId="0" applyAlignment="1" applyBorder="1" applyFill="1" applyFont="1" applyNumberFormat="1">
      <alignment horizontal="center" readingOrder="0" shrinkToFit="0" vertical="center" wrapText="1"/>
    </xf>
    <xf borderId="24" fillId="17" fontId="14" numFmtId="165" xfId="0" applyAlignment="1" applyBorder="1" applyFill="1" applyFont="1" applyNumberFormat="1">
      <alignment horizontal="center" readingOrder="0" shrinkToFit="0" vertical="center" wrapText="1"/>
    </xf>
    <xf borderId="24" fillId="17" fontId="14" numFmtId="166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2</xdr:row>
      <xdr:rowOff>38100</xdr:rowOff>
    </xdr:from>
    <xdr:ext cx="1095375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2</xdr:row>
      <xdr:rowOff>104775</xdr:rowOff>
    </xdr:from>
    <xdr:ext cx="1095375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2</xdr:row>
      <xdr:rowOff>28575</xdr:rowOff>
    </xdr:from>
    <xdr:ext cx="1095375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2</xdr:row>
      <xdr:rowOff>19050</xdr:rowOff>
    </xdr:from>
    <xdr:ext cx="1095375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2</xdr:row>
      <xdr:rowOff>66675</xdr:rowOff>
    </xdr:from>
    <xdr:ext cx="1095375" cy="904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27.5"/>
    <col customWidth="1" min="3" max="3" width="10.0"/>
    <col customWidth="1" min="4" max="4" width="4.13"/>
    <col customWidth="1" min="5" max="5" width="5.63"/>
    <col customWidth="1" min="6" max="7" width="27.5"/>
    <col customWidth="1" min="8" max="8" width="12.25"/>
    <col customWidth="1" min="9" max="9" width="8.5"/>
    <col customWidth="1" min="10" max="10" width="9.25"/>
    <col customWidth="1" min="11" max="11" width="8.5"/>
    <col customWidth="1" min="12" max="12" width="7.25"/>
    <col customWidth="1" min="13" max="13" width="8.25"/>
    <col customWidth="1" min="14" max="14" width="12.25"/>
    <col customWidth="1" min="15" max="15" width="9.25"/>
    <col customWidth="1" min="16" max="16" width="5.38"/>
    <col customWidth="1" min="17" max="17" width="6.88"/>
    <col customWidth="1" min="18" max="18" width="5.25"/>
    <col customWidth="1" min="19" max="19" width="12.25"/>
    <col customWidth="1" min="20" max="20" width="9.25"/>
    <col customWidth="1" min="21" max="21" width="5.38"/>
    <col customWidth="1" min="22" max="22" width="6.38"/>
    <col customWidth="1" min="23" max="23" width="5.25"/>
    <col customWidth="1" min="24" max="24" width="10.75"/>
    <col customWidth="1" min="25" max="25" width="9.25"/>
    <col customWidth="1" min="26" max="26" width="5.38"/>
    <col customWidth="1" min="27" max="28" width="7.25"/>
    <col customWidth="1" min="29" max="29" width="9.25"/>
    <col customWidth="1" min="30" max="30" width="5.38"/>
    <col customWidth="1" min="31" max="31" width="5.13"/>
    <col customWidth="1" min="32" max="32" width="2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3"/>
    </row>
    <row r="3">
      <c r="A3" s="1"/>
      <c r="B3" s="11" t="s">
        <v>0</v>
      </c>
      <c r="AE3" s="12"/>
      <c r="AF3" s="3"/>
    </row>
    <row r="4">
      <c r="A4" s="13"/>
      <c r="B4" s="14" t="s">
        <v>1</v>
      </c>
      <c r="AE4" s="12"/>
      <c r="AF4" s="3"/>
    </row>
    <row r="5">
      <c r="A5" s="13"/>
      <c r="B5" s="17" t="s">
        <v>2</v>
      </c>
      <c r="AE5" s="12"/>
      <c r="AF5" s="3"/>
    </row>
    <row r="6">
      <c r="A6" s="18"/>
      <c r="B6" s="19" t="s">
        <v>4</v>
      </c>
      <c r="AE6" s="12"/>
      <c r="AF6" s="3"/>
    </row>
    <row r="7">
      <c r="A7" s="20"/>
      <c r="B7" s="21" t="s">
        <v>5</v>
      </c>
      <c r="AE7" s="12"/>
      <c r="AF7" s="27"/>
    </row>
    <row r="8">
      <c r="A8" s="23"/>
      <c r="B8" s="24"/>
      <c r="C8" s="25"/>
      <c r="D8" s="25"/>
      <c r="E8" s="26"/>
      <c r="F8" s="28"/>
      <c r="G8" s="26"/>
      <c r="H8" s="30"/>
      <c r="I8" s="30"/>
      <c r="J8" s="36">
        <v>46279.0</v>
      </c>
      <c r="K8" s="31"/>
      <c r="L8" s="31"/>
      <c r="M8" s="26"/>
      <c r="N8" s="30"/>
      <c r="O8" s="30"/>
      <c r="P8" s="26"/>
      <c r="Q8" s="26"/>
      <c r="R8" s="26"/>
      <c r="S8" s="30"/>
      <c r="T8" s="30"/>
      <c r="U8" s="26"/>
      <c r="V8" s="26"/>
      <c r="W8" s="26"/>
      <c r="X8" s="30"/>
      <c r="Y8" s="30"/>
      <c r="Z8" s="26"/>
      <c r="AA8" s="26"/>
      <c r="AB8" s="26"/>
      <c r="AC8" s="30"/>
      <c r="AD8" s="26"/>
      <c r="AE8" s="32"/>
      <c r="AF8" s="35"/>
    </row>
    <row r="9">
      <c r="A9" s="47"/>
      <c r="B9" s="49" t="s">
        <v>7</v>
      </c>
      <c r="C9" s="51" t="s">
        <v>8</v>
      </c>
      <c r="D9" s="53" t="s">
        <v>9</v>
      </c>
      <c r="E9" s="53" t="s">
        <v>10</v>
      </c>
      <c r="F9" s="54" t="s">
        <v>11</v>
      </c>
      <c r="G9" s="54" t="s">
        <v>12</v>
      </c>
      <c r="H9" s="56" t="s">
        <v>14</v>
      </c>
      <c r="I9" s="56" t="s">
        <v>13</v>
      </c>
      <c r="J9" s="56" t="s">
        <v>15</v>
      </c>
      <c r="K9" s="58" t="s">
        <v>16</v>
      </c>
      <c r="L9" s="60" t="s">
        <v>17</v>
      </c>
      <c r="M9" s="62" t="s">
        <v>18</v>
      </c>
      <c r="N9" s="64" t="s">
        <v>20</v>
      </c>
      <c r="O9" s="64" t="s">
        <v>19</v>
      </c>
      <c r="P9" s="67" t="s">
        <v>16</v>
      </c>
      <c r="Q9" s="69" t="s">
        <v>10</v>
      </c>
      <c r="R9" s="69" t="s">
        <v>17</v>
      </c>
      <c r="S9" s="78" t="s">
        <v>20</v>
      </c>
      <c r="T9" s="78" t="s">
        <v>19</v>
      </c>
      <c r="U9" s="93" t="s">
        <v>16</v>
      </c>
      <c r="V9" s="102" t="s">
        <v>10</v>
      </c>
      <c r="W9" s="102" t="s">
        <v>17</v>
      </c>
      <c r="X9" s="107" t="s">
        <v>20</v>
      </c>
      <c r="Y9" s="107" t="s">
        <v>19</v>
      </c>
      <c r="Z9" s="111" t="s">
        <v>16</v>
      </c>
      <c r="AA9" s="112" t="s">
        <v>10</v>
      </c>
      <c r="AB9" s="112" t="s">
        <v>17</v>
      </c>
      <c r="AC9" s="113" t="s">
        <v>22</v>
      </c>
      <c r="AD9" s="114" t="s">
        <v>16</v>
      </c>
      <c r="AE9" s="121" t="s">
        <v>21</v>
      </c>
      <c r="AF9" s="87"/>
    </row>
    <row r="10">
      <c r="A10" s="122"/>
      <c r="B10" s="126" t="s">
        <v>24</v>
      </c>
      <c r="C10" s="129" t="s">
        <v>25</v>
      </c>
      <c r="D10" s="129" t="s">
        <v>26</v>
      </c>
      <c r="E10" s="129" t="s">
        <v>27</v>
      </c>
      <c r="F10" s="126" t="s">
        <v>28</v>
      </c>
      <c r="G10" s="131"/>
      <c r="H10" s="134">
        <f t="shared" ref="H10:H59" si="2">J10-3</f>
        <v>46287</v>
      </c>
      <c r="I10" s="120">
        <f t="shared" ref="I10:I59" si="3">J10-3</f>
        <v>46287</v>
      </c>
      <c r="J10" s="137">
        <v>46290.0</v>
      </c>
      <c r="K10" s="138">
        <v>0.46875</v>
      </c>
      <c r="L10" s="139">
        <v>10.0</v>
      </c>
      <c r="M10" s="132" t="s">
        <v>23</v>
      </c>
      <c r="N10" s="134">
        <f t="shared" ref="N10:N59" si="4">O10-3</f>
        <v>46280</v>
      </c>
      <c r="O10" s="125">
        <f t="shared" ref="O10:O59" si="5">J10-7</f>
        <v>46283</v>
      </c>
      <c r="P10" s="128">
        <f t="shared" ref="P10:P59" si="6">K10</f>
        <v>0.46875</v>
      </c>
      <c r="Q10" s="132" t="s">
        <v>30</v>
      </c>
      <c r="R10" s="139">
        <f t="shared" ref="R10:R59" si="7">L10</f>
        <v>10</v>
      </c>
      <c r="S10" s="134">
        <f t="shared" ref="S10:S59" si="8">T10-3</f>
        <v>-3</v>
      </c>
      <c r="T10" s="125"/>
      <c r="U10" s="128"/>
      <c r="V10" s="132"/>
      <c r="W10" s="99"/>
      <c r="X10" s="134"/>
      <c r="Y10" s="125">
        <f t="shared" ref="Y10:Z10" si="1">J10</f>
        <v>46290</v>
      </c>
      <c r="Z10" s="128">
        <f t="shared" si="1"/>
        <v>0.46875</v>
      </c>
      <c r="AA10" s="132"/>
      <c r="AB10" s="99"/>
      <c r="AC10" s="146">
        <f t="shared" ref="AC10:AC59" si="10">O10+7</f>
        <v>46290</v>
      </c>
      <c r="AD10" s="147">
        <f t="shared" ref="AD10:AD59" si="11">P10</f>
        <v>0.46875</v>
      </c>
      <c r="AE10" s="148" t="s">
        <v>31</v>
      </c>
      <c r="AF10" s="124"/>
    </row>
    <row r="11">
      <c r="A11" s="122"/>
      <c r="B11" s="126" t="s">
        <v>32</v>
      </c>
      <c r="C11" s="129" t="s">
        <v>33</v>
      </c>
      <c r="D11" s="129" t="s">
        <v>26</v>
      </c>
      <c r="E11" s="129" t="s">
        <v>27</v>
      </c>
      <c r="F11" s="126" t="s">
        <v>34</v>
      </c>
      <c r="G11" s="131"/>
      <c r="H11" s="134">
        <f t="shared" si="2"/>
        <v>46290</v>
      </c>
      <c r="I11" s="120">
        <f t="shared" si="3"/>
        <v>46290</v>
      </c>
      <c r="J11" s="137">
        <v>46293.0</v>
      </c>
      <c r="K11" s="138">
        <v>0.40625</v>
      </c>
      <c r="L11" s="139">
        <v>10.0</v>
      </c>
      <c r="M11" s="132" t="s">
        <v>23</v>
      </c>
      <c r="N11" s="134">
        <f t="shared" si="4"/>
        <v>46283</v>
      </c>
      <c r="O11" s="125">
        <f t="shared" si="5"/>
        <v>46286</v>
      </c>
      <c r="P11" s="128">
        <f t="shared" si="6"/>
        <v>0.40625</v>
      </c>
      <c r="Q11" s="132" t="s">
        <v>30</v>
      </c>
      <c r="R11" s="139">
        <f t="shared" si="7"/>
        <v>10</v>
      </c>
      <c r="S11" s="134">
        <f t="shared" si="8"/>
        <v>-3</v>
      </c>
      <c r="T11" s="125"/>
      <c r="U11" s="128"/>
      <c r="V11" s="132"/>
      <c r="W11" s="99"/>
      <c r="X11" s="134"/>
      <c r="Y11" s="125">
        <f t="shared" ref="Y11:Z11" si="9">J11</f>
        <v>46293</v>
      </c>
      <c r="Z11" s="128">
        <f t="shared" si="9"/>
        <v>0.40625</v>
      </c>
      <c r="AA11" s="132"/>
      <c r="AB11" s="99"/>
      <c r="AC11" s="146">
        <f t="shared" si="10"/>
        <v>46293</v>
      </c>
      <c r="AD11" s="147">
        <f t="shared" si="11"/>
        <v>0.40625</v>
      </c>
      <c r="AE11" s="148" t="s">
        <v>35</v>
      </c>
      <c r="AF11" s="124"/>
    </row>
    <row r="12">
      <c r="A12" s="122"/>
      <c r="B12" s="126" t="s">
        <v>36</v>
      </c>
      <c r="C12" s="129" t="s">
        <v>37</v>
      </c>
      <c r="D12" s="129" t="s">
        <v>26</v>
      </c>
      <c r="E12" s="129" t="s">
        <v>27</v>
      </c>
      <c r="F12" s="126" t="s">
        <v>38</v>
      </c>
      <c r="G12" s="131"/>
      <c r="H12" s="134">
        <f t="shared" si="2"/>
        <v>46283</v>
      </c>
      <c r="I12" s="120">
        <f t="shared" si="3"/>
        <v>46283</v>
      </c>
      <c r="J12" s="137">
        <v>46286.0</v>
      </c>
      <c r="K12" s="138">
        <v>0.46875</v>
      </c>
      <c r="L12" s="139">
        <v>10.0</v>
      </c>
      <c r="M12" s="132" t="s">
        <v>23</v>
      </c>
      <c r="N12" s="134">
        <f t="shared" si="4"/>
        <v>46276</v>
      </c>
      <c r="O12" s="125">
        <f t="shared" si="5"/>
        <v>46279</v>
      </c>
      <c r="P12" s="128">
        <f t="shared" si="6"/>
        <v>0.46875</v>
      </c>
      <c r="Q12" s="132" t="s">
        <v>30</v>
      </c>
      <c r="R12" s="139">
        <f t="shared" si="7"/>
        <v>10</v>
      </c>
      <c r="S12" s="134">
        <f t="shared" si="8"/>
        <v>-3</v>
      </c>
      <c r="T12" s="125"/>
      <c r="U12" s="128"/>
      <c r="V12" s="132"/>
      <c r="W12" s="99"/>
      <c r="X12" s="134"/>
      <c r="Y12" s="125">
        <f t="shared" ref="Y12:Z12" si="12">J12</f>
        <v>46286</v>
      </c>
      <c r="Z12" s="128">
        <f t="shared" si="12"/>
        <v>0.46875</v>
      </c>
      <c r="AA12" s="132"/>
      <c r="AB12" s="99"/>
      <c r="AC12" s="146">
        <f t="shared" si="10"/>
        <v>46286</v>
      </c>
      <c r="AD12" s="147">
        <f t="shared" si="11"/>
        <v>0.46875</v>
      </c>
      <c r="AE12" s="148" t="s">
        <v>39</v>
      </c>
      <c r="AF12" s="124"/>
    </row>
    <row r="13">
      <c r="A13" s="122"/>
      <c r="B13" s="126" t="s">
        <v>40</v>
      </c>
      <c r="C13" s="129" t="s">
        <v>41</v>
      </c>
      <c r="D13" s="129" t="s">
        <v>26</v>
      </c>
      <c r="E13" s="129" t="s">
        <v>27</v>
      </c>
      <c r="F13" s="126" t="s">
        <v>42</v>
      </c>
      <c r="G13" s="131"/>
      <c r="H13" s="134">
        <f t="shared" si="2"/>
        <v>46285</v>
      </c>
      <c r="I13" s="120">
        <f t="shared" si="3"/>
        <v>46285</v>
      </c>
      <c r="J13" s="137">
        <v>46288.0</v>
      </c>
      <c r="K13" s="153">
        <v>0.34375</v>
      </c>
      <c r="L13" s="139">
        <v>10.0</v>
      </c>
      <c r="M13" s="132" t="s">
        <v>23</v>
      </c>
      <c r="N13" s="134">
        <f t="shared" si="4"/>
        <v>46278</v>
      </c>
      <c r="O13" s="125">
        <f t="shared" si="5"/>
        <v>46281</v>
      </c>
      <c r="P13" s="128">
        <f t="shared" si="6"/>
        <v>0.34375</v>
      </c>
      <c r="Q13" s="132" t="s">
        <v>30</v>
      </c>
      <c r="R13" s="139">
        <f t="shared" si="7"/>
        <v>10</v>
      </c>
      <c r="S13" s="134">
        <f t="shared" si="8"/>
        <v>-3</v>
      </c>
      <c r="T13" s="125"/>
      <c r="U13" s="128"/>
      <c r="V13" s="132"/>
      <c r="W13" s="152"/>
      <c r="X13" s="134"/>
      <c r="Y13" s="125">
        <f t="shared" ref="Y13:Z13" si="13">J13</f>
        <v>46288</v>
      </c>
      <c r="Z13" s="128">
        <f t="shared" si="13"/>
        <v>0.34375</v>
      </c>
      <c r="AA13" s="132"/>
      <c r="AB13" s="152"/>
      <c r="AC13" s="146">
        <f t="shared" si="10"/>
        <v>46288</v>
      </c>
      <c r="AD13" s="147">
        <f t="shared" si="11"/>
        <v>0.34375</v>
      </c>
      <c r="AE13" s="148" t="s">
        <v>43</v>
      </c>
      <c r="AF13" s="124"/>
    </row>
    <row r="14">
      <c r="A14" s="122"/>
      <c r="B14" s="126" t="s">
        <v>44</v>
      </c>
      <c r="C14" s="129" t="s">
        <v>45</v>
      </c>
      <c r="D14" s="129" t="s">
        <v>26</v>
      </c>
      <c r="E14" s="129" t="s">
        <v>27</v>
      </c>
      <c r="F14" s="126" t="s">
        <v>46</v>
      </c>
      <c r="G14" s="131"/>
      <c r="H14" s="134">
        <f t="shared" si="2"/>
        <v>46277</v>
      </c>
      <c r="I14" s="120">
        <f t="shared" si="3"/>
        <v>46277</v>
      </c>
      <c r="J14" s="137">
        <v>46280.0</v>
      </c>
      <c r="K14" s="138">
        <v>0.34375</v>
      </c>
      <c r="L14" s="139">
        <v>10.0</v>
      </c>
      <c r="M14" s="132" t="s">
        <v>23</v>
      </c>
      <c r="N14" s="134">
        <f t="shared" si="4"/>
        <v>46270</v>
      </c>
      <c r="O14" s="125">
        <f t="shared" si="5"/>
        <v>46273</v>
      </c>
      <c r="P14" s="128">
        <f t="shared" si="6"/>
        <v>0.34375</v>
      </c>
      <c r="Q14" s="132" t="s">
        <v>30</v>
      </c>
      <c r="R14" s="139">
        <f t="shared" si="7"/>
        <v>10</v>
      </c>
      <c r="S14" s="134">
        <f t="shared" si="8"/>
        <v>-3</v>
      </c>
      <c r="T14" s="125"/>
      <c r="U14" s="128"/>
      <c r="V14" s="132"/>
      <c r="W14" s="99"/>
      <c r="X14" s="134"/>
      <c r="Y14" s="125">
        <f t="shared" ref="Y14:Z14" si="14">J14</f>
        <v>46280</v>
      </c>
      <c r="Z14" s="128">
        <f t="shared" si="14"/>
        <v>0.34375</v>
      </c>
      <c r="AA14" s="132"/>
      <c r="AB14" s="99"/>
      <c r="AC14" s="146">
        <f t="shared" si="10"/>
        <v>46280</v>
      </c>
      <c r="AD14" s="147">
        <f t="shared" si="11"/>
        <v>0.34375</v>
      </c>
      <c r="AE14" s="148" t="s">
        <v>47</v>
      </c>
      <c r="AF14" s="124"/>
    </row>
    <row r="15">
      <c r="A15" s="122"/>
      <c r="B15" s="126" t="s">
        <v>48</v>
      </c>
      <c r="C15" s="129" t="s">
        <v>49</v>
      </c>
      <c r="D15" s="129" t="s">
        <v>26</v>
      </c>
      <c r="E15" s="129" t="s">
        <v>27</v>
      </c>
      <c r="F15" s="126" t="s">
        <v>50</v>
      </c>
      <c r="G15" s="131"/>
      <c r="H15" s="134">
        <f t="shared" si="2"/>
        <v>46279</v>
      </c>
      <c r="I15" s="120">
        <f t="shared" si="3"/>
        <v>46279</v>
      </c>
      <c r="J15" s="137">
        <v>46282.0</v>
      </c>
      <c r="K15" s="138">
        <v>0.40625</v>
      </c>
      <c r="L15" s="139">
        <v>10.0</v>
      </c>
      <c r="M15" s="132" t="s">
        <v>23</v>
      </c>
      <c r="N15" s="134">
        <f t="shared" si="4"/>
        <v>46272</v>
      </c>
      <c r="O15" s="125">
        <f t="shared" si="5"/>
        <v>46275</v>
      </c>
      <c r="P15" s="128">
        <f t="shared" si="6"/>
        <v>0.40625</v>
      </c>
      <c r="Q15" s="132" t="s">
        <v>30</v>
      </c>
      <c r="R15" s="139">
        <f t="shared" si="7"/>
        <v>10</v>
      </c>
      <c r="S15" s="134">
        <f t="shared" si="8"/>
        <v>-3</v>
      </c>
      <c r="T15" s="125"/>
      <c r="U15" s="128"/>
      <c r="V15" s="132"/>
      <c r="W15" s="152"/>
      <c r="X15" s="134"/>
      <c r="Y15" s="125">
        <f t="shared" ref="Y15:Z15" si="15">J15</f>
        <v>46282</v>
      </c>
      <c r="Z15" s="128">
        <f t="shared" si="15"/>
        <v>0.40625</v>
      </c>
      <c r="AA15" s="132"/>
      <c r="AB15" s="152"/>
      <c r="AC15" s="146">
        <f t="shared" si="10"/>
        <v>46282</v>
      </c>
      <c r="AD15" s="147">
        <f t="shared" si="11"/>
        <v>0.40625</v>
      </c>
      <c r="AE15" s="148" t="s">
        <v>51</v>
      </c>
      <c r="AF15" s="124"/>
    </row>
    <row r="16">
      <c r="A16" s="122"/>
      <c r="B16" s="126" t="s">
        <v>52</v>
      </c>
      <c r="C16" s="129" t="s">
        <v>53</v>
      </c>
      <c r="D16" s="129" t="s">
        <v>54</v>
      </c>
      <c r="E16" s="129" t="s">
        <v>27</v>
      </c>
      <c r="F16" s="126" t="s">
        <v>55</v>
      </c>
      <c r="G16" s="131"/>
      <c r="H16" s="134">
        <f t="shared" si="2"/>
        <v>46280</v>
      </c>
      <c r="I16" s="120">
        <f t="shared" si="3"/>
        <v>46280</v>
      </c>
      <c r="J16" s="137">
        <v>46283.0</v>
      </c>
      <c r="K16" s="156">
        <v>0.34375</v>
      </c>
      <c r="L16" s="157">
        <v>22.0</v>
      </c>
      <c r="M16" s="132" t="s">
        <v>23</v>
      </c>
      <c r="N16" s="134">
        <f t="shared" si="4"/>
        <v>46273</v>
      </c>
      <c r="O16" s="125">
        <f t="shared" si="5"/>
        <v>46276</v>
      </c>
      <c r="P16" s="128">
        <f t="shared" si="6"/>
        <v>0.34375</v>
      </c>
      <c r="Q16" s="132" t="s">
        <v>30</v>
      </c>
      <c r="R16" s="139">
        <f t="shared" si="7"/>
        <v>22</v>
      </c>
      <c r="S16" s="134">
        <f t="shared" si="8"/>
        <v>-3</v>
      </c>
      <c r="T16" s="125"/>
      <c r="U16" s="128"/>
      <c r="V16" s="132"/>
      <c r="W16" s="99"/>
      <c r="X16" s="134"/>
      <c r="Y16" s="125">
        <f t="shared" ref="Y16:Z16" si="16">J16</f>
        <v>46283</v>
      </c>
      <c r="Z16" s="128">
        <f t="shared" si="16"/>
        <v>0.34375</v>
      </c>
      <c r="AA16" s="132"/>
      <c r="AB16" s="99"/>
      <c r="AC16" s="146">
        <f t="shared" si="10"/>
        <v>46283</v>
      </c>
      <c r="AD16" s="147">
        <f t="shared" si="11"/>
        <v>0.34375</v>
      </c>
      <c r="AE16" s="158" t="s">
        <v>56</v>
      </c>
      <c r="AF16" s="124"/>
    </row>
    <row r="17">
      <c r="A17" s="122"/>
      <c r="B17" s="126" t="s">
        <v>57</v>
      </c>
      <c r="C17" s="129" t="s">
        <v>58</v>
      </c>
      <c r="D17" s="129" t="s">
        <v>54</v>
      </c>
      <c r="E17" s="129" t="s">
        <v>27</v>
      </c>
      <c r="F17" s="126" t="s">
        <v>59</v>
      </c>
      <c r="G17" s="131"/>
      <c r="H17" s="134">
        <f t="shared" si="2"/>
        <v>46277</v>
      </c>
      <c r="I17" s="120">
        <f t="shared" si="3"/>
        <v>46277</v>
      </c>
      <c r="J17" s="137">
        <v>46280.0</v>
      </c>
      <c r="K17" s="159">
        <v>0.46875</v>
      </c>
      <c r="L17" s="157">
        <v>22.0</v>
      </c>
      <c r="M17" s="132" t="s">
        <v>23</v>
      </c>
      <c r="N17" s="134">
        <f t="shared" si="4"/>
        <v>46270</v>
      </c>
      <c r="O17" s="125">
        <f t="shared" si="5"/>
        <v>46273</v>
      </c>
      <c r="P17" s="128">
        <f t="shared" si="6"/>
        <v>0.46875</v>
      </c>
      <c r="Q17" s="132" t="s">
        <v>30</v>
      </c>
      <c r="R17" s="139">
        <f t="shared" si="7"/>
        <v>22</v>
      </c>
      <c r="S17" s="134">
        <f t="shared" si="8"/>
        <v>-3</v>
      </c>
      <c r="T17" s="125"/>
      <c r="U17" s="128"/>
      <c r="V17" s="132"/>
      <c r="W17" s="152"/>
      <c r="X17" s="134"/>
      <c r="Y17" s="125">
        <f t="shared" ref="Y17:Z17" si="17">J17</f>
        <v>46280</v>
      </c>
      <c r="Z17" s="128">
        <f t="shared" si="17"/>
        <v>0.46875</v>
      </c>
      <c r="AA17" s="132"/>
      <c r="AB17" s="152"/>
      <c r="AC17" s="146">
        <f t="shared" si="10"/>
        <v>46280</v>
      </c>
      <c r="AD17" s="147">
        <f t="shared" si="11"/>
        <v>0.46875</v>
      </c>
      <c r="AE17" s="158" t="s">
        <v>56</v>
      </c>
      <c r="AF17" s="124"/>
    </row>
    <row r="18">
      <c r="A18" s="122"/>
      <c r="B18" s="126" t="s">
        <v>60</v>
      </c>
      <c r="C18" s="129" t="s">
        <v>61</v>
      </c>
      <c r="D18" s="129" t="s">
        <v>54</v>
      </c>
      <c r="E18" s="129" t="s">
        <v>27</v>
      </c>
      <c r="F18" s="126" t="s">
        <v>38</v>
      </c>
      <c r="G18" s="131"/>
      <c r="H18" s="134">
        <f t="shared" si="2"/>
        <v>46284</v>
      </c>
      <c r="I18" s="120">
        <f t="shared" si="3"/>
        <v>46284</v>
      </c>
      <c r="J18" s="137">
        <v>46287.0</v>
      </c>
      <c r="K18" s="156">
        <v>0.34375</v>
      </c>
      <c r="L18" s="157">
        <v>22.0</v>
      </c>
      <c r="M18" s="132" t="s">
        <v>23</v>
      </c>
      <c r="N18" s="134">
        <f t="shared" si="4"/>
        <v>46277</v>
      </c>
      <c r="O18" s="125">
        <f t="shared" si="5"/>
        <v>46280</v>
      </c>
      <c r="P18" s="128">
        <f t="shared" si="6"/>
        <v>0.34375</v>
      </c>
      <c r="Q18" s="132" t="s">
        <v>30</v>
      </c>
      <c r="R18" s="139">
        <f t="shared" si="7"/>
        <v>22</v>
      </c>
      <c r="S18" s="134">
        <f t="shared" si="8"/>
        <v>-3</v>
      </c>
      <c r="T18" s="125"/>
      <c r="U18" s="128"/>
      <c r="V18" s="132"/>
      <c r="W18" s="99"/>
      <c r="X18" s="134"/>
      <c r="Y18" s="125">
        <f t="shared" ref="Y18:Z18" si="18">J18</f>
        <v>46287</v>
      </c>
      <c r="Z18" s="128">
        <f t="shared" si="18"/>
        <v>0.34375</v>
      </c>
      <c r="AA18" s="132"/>
      <c r="AB18" s="99"/>
      <c r="AC18" s="146">
        <f t="shared" si="10"/>
        <v>46287</v>
      </c>
      <c r="AD18" s="147">
        <f t="shared" si="11"/>
        <v>0.34375</v>
      </c>
      <c r="AE18" s="158" t="s">
        <v>62</v>
      </c>
      <c r="AF18" s="124"/>
    </row>
    <row r="19">
      <c r="A19" s="122"/>
      <c r="B19" s="126" t="s">
        <v>63</v>
      </c>
      <c r="C19" s="129" t="s">
        <v>64</v>
      </c>
      <c r="D19" s="129" t="s">
        <v>54</v>
      </c>
      <c r="E19" s="129" t="s">
        <v>27</v>
      </c>
      <c r="F19" s="126" t="s">
        <v>34</v>
      </c>
      <c r="G19" s="131"/>
      <c r="H19" s="134">
        <f t="shared" si="2"/>
        <v>46290</v>
      </c>
      <c r="I19" s="120">
        <f t="shared" si="3"/>
        <v>46290</v>
      </c>
      <c r="J19" s="137">
        <v>46293.0</v>
      </c>
      <c r="K19" s="159">
        <v>0.46875</v>
      </c>
      <c r="L19" s="157">
        <v>22.0</v>
      </c>
      <c r="M19" s="132" t="s">
        <v>23</v>
      </c>
      <c r="N19" s="134">
        <f t="shared" si="4"/>
        <v>46283</v>
      </c>
      <c r="O19" s="125">
        <f t="shared" si="5"/>
        <v>46286</v>
      </c>
      <c r="P19" s="128">
        <f t="shared" si="6"/>
        <v>0.46875</v>
      </c>
      <c r="Q19" s="132" t="s">
        <v>30</v>
      </c>
      <c r="R19" s="139">
        <f t="shared" si="7"/>
        <v>22</v>
      </c>
      <c r="S19" s="134">
        <f t="shared" si="8"/>
        <v>-3</v>
      </c>
      <c r="T19" s="125"/>
      <c r="U19" s="128"/>
      <c r="V19" s="132"/>
      <c r="W19" s="99"/>
      <c r="X19" s="134"/>
      <c r="Y19" s="125">
        <f t="shared" ref="Y19:Z19" si="19">J19</f>
        <v>46293</v>
      </c>
      <c r="Z19" s="128">
        <f t="shared" si="19"/>
        <v>0.46875</v>
      </c>
      <c r="AA19" s="132"/>
      <c r="AB19" s="99"/>
      <c r="AC19" s="146">
        <f t="shared" si="10"/>
        <v>46293</v>
      </c>
      <c r="AD19" s="147">
        <f t="shared" si="11"/>
        <v>0.46875</v>
      </c>
      <c r="AE19" s="158" t="s">
        <v>65</v>
      </c>
      <c r="AF19" s="124"/>
    </row>
    <row r="20">
      <c r="A20" s="122"/>
      <c r="B20" s="126" t="s">
        <v>66</v>
      </c>
      <c r="C20" s="129" t="s">
        <v>67</v>
      </c>
      <c r="D20" s="129" t="s">
        <v>54</v>
      </c>
      <c r="E20" s="129" t="s">
        <v>27</v>
      </c>
      <c r="F20" s="126" t="s">
        <v>46</v>
      </c>
      <c r="G20" s="131"/>
      <c r="H20" s="134">
        <f t="shared" si="2"/>
        <v>46286</v>
      </c>
      <c r="I20" s="120">
        <f t="shared" si="3"/>
        <v>46286</v>
      </c>
      <c r="J20" s="137">
        <v>46289.0</v>
      </c>
      <c r="K20" s="156">
        <v>0.40625</v>
      </c>
      <c r="L20" s="157">
        <v>22.0</v>
      </c>
      <c r="M20" s="132" t="s">
        <v>23</v>
      </c>
      <c r="N20" s="134">
        <f t="shared" si="4"/>
        <v>46279</v>
      </c>
      <c r="O20" s="125">
        <f t="shared" si="5"/>
        <v>46282</v>
      </c>
      <c r="P20" s="128">
        <f t="shared" si="6"/>
        <v>0.40625</v>
      </c>
      <c r="Q20" s="132" t="s">
        <v>30</v>
      </c>
      <c r="R20" s="139">
        <f t="shared" si="7"/>
        <v>22</v>
      </c>
      <c r="S20" s="134">
        <f t="shared" si="8"/>
        <v>-3</v>
      </c>
      <c r="T20" s="125"/>
      <c r="U20" s="128"/>
      <c r="V20" s="132"/>
      <c r="W20" s="99"/>
      <c r="X20" s="134"/>
      <c r="Y20" s="125">
        <f t="shared" ref="Y20:Z20" si="20">J20</f>
        <v>46289</v>
      </c>
      <c r="Z20" s="128">
        <f t="shared" si="20"/>
        <v>0.40625</v>
      </c>
      <c r="AA20" s="132"/>
      <c r="AB20" s="99"/>
      <c r="AC20" s="146">
        <f t="shared" si="10"/>
        <v>46289</v>
      </c>
      <c r="AD20" s="147">
        <f t="shared" si="11"/>
        <v>0.40625</v>
      </c>
      <c r="AE20" s="158" t="s">
        <v>47</v>
      </c>
      <c r="AF20" s="124"/>
    </row>
    <row r="21">
      <c r="A21" s="122"/>
      <c r="B21" s="126" t="s">
        <v>68</v>
      </c>
      <c r="C21" s="129" t="s">
        <v>69</v>
      </c>
      <c r="D21" s="129" t="s">
        <v>54</v>
      </c>
      <c r="E21" s="129" t="s">
        <v>27</v>
      </c>
      <c r="F21" s="126" t="s">
        <v>70</v>
      </c>
      <c r="G21" s="131"/>
      <c r="H21" s="134">
        <f t="shared" si="2"/>
        <v>46288</v>
      </c>
      <c r="I21" s="120">
        <f t="shared" si="3"/>
        <v>46288</v>
      </c>
      <c r="J21" s="137">
        <v>46291.0</v>
      </c>
      <c r="K21" s="159">
        <v>0.34375</v>
      </c>
      <c r="L21" s="157">
        <v>22.0</v>
      </c>
      <c r="M21" s="132" t="s">
        <v>23</v>
      </c>
      <c r="N21" s="134">
        <f t="shared" si="4"/>
        <v>46281</v>
      </c>
      <c r="O21" s="125">
        <f t="shared" si="5"/>
        <v>46284</v>
      </c>
      <c r="P21" s="128">
        <f t="shared" si="6"/>
        <v>0.34375</v>
      </c>
      <c r="Q21" s="132" t="s">
        <v>30</v>
      </c>
      <c r="R21" s="139">
        <f t="shared" si="7"/>
        <v>22</v>
      </c>
      <c r="S21" s="134">
        <f t="shared" si="8"/>
        <v>-3</v>
      </c>
      <c r="T21" s="125"/>
      <c r="U21" s="128"/>
      <c r="V21" s="132"/>
      <c r="W21" s="152"/>
      <c r="X21" s="134"/>
      <c r="Y21" s="125">
        <f t="shared" ref="Y21:Z21" si="21">J21</f>
        <v>46291</v>
      </c>
      <c r="Z21" s="128">
        <f t="shared" si="21"/>
        <v>0.34375</v>
      </c>
      <c r="AA21" s="132"/>
      <c r="AB21" s="152"/>
      <c r="AC21" s="146">
        <f t="shared" si="10"/>
        <v>46291</v>
      </c>
      <c r="AD21" s="147">
        <f t="shared" si="11"/>
        <v>0.34375</v>
      </c>
      <c r="AE21" s="158" t="s">
        <v>62</v>
      </c>
      <c r="AF21" s="124"/>
    </row>
    <row r="22">
      <c r="A22" s="122"/>
      <c r="B22" s="126" t="s">
        <v>71</v>
      </c>
      <c r="C22" s="129" t="s">
        <v>72</v>
      </c>
      <c r="D22" s="129" t="s">
        <v>54</v>
      </c>
      <c r="E22" s="129" t="s">
        <v>27</v>
      </c>
      <c r="F22" s="126" t="s">
        <v>73</v>
      </c>
      <c r="G22" s="131"/>
      <c r="H22" s="134">
        <f t="shared" si="2"/>
        <v>46278</v>
      </c>
      <c r="I22" s="120">
        <f t="shared" si="3"/>
        <v>46278</v>
      </c>
      <c r="J22" s="137">
        <v>46281.0</v>
      </c>
      <c r="K22" s="156">
        <v>0.34375</v>
      </c>
      <c r="L22" s="157">
        <v>22.0</v>
      </c>
      <c r="M22" s="132" t="s">
        <v>23</v>
      </c>
      <c r="N22" s="134">
        <f t="shared" si="4"/>
        <v>46271</v>
      </c>
      <c r="O22" s="125">
        <f t="shared" si="5"/>
        <v>46274</v>
      </c>
      <c r="P22" s="128">
        <f t="shared" si="6"/>
        <v>0.34375</v>
      </c>
      <c r="Q22" s="132" t="s">
        <v>30</v>
      </c>
      <c r="R22" s="139">
        <f t="shared" si="7"/>
        <v>22</v>
      </c>
      <c r="S22" s="134">
        <f t="shared" si="8"/>
        <v>-3</v>
      </c>
      <c r="T22" s="125"/>
      <c r="U22" s="128"/>
      <c r="V22" s="132"/>
      <c r="W22" s="152"/>
      <c r="X22" s="134"/>
      <c r="Y22" s="125">
        <f t="shared" ref="Y22:Z22" si="22">J22</f>
        <v>46281</v>
      </c>
      <c r="Z22" s="128">
        <f t="shared" si="22"/>
        <v>0.34375</v>
      </c>
      <c r="AA22" s="132"/>
      <c r="AB22" s="152"/>
      <c r="AC22" s="146">
        <f t="shared" si="10"/>
        <v>46281</v>
      </c>
      <c r="AD22" s="147">
        <f t="shared" si="11"/>
        <v>0.34375</v>
      </c>
      <c r="AE22" s="158" t="s">
        <v>74</v>
      </c>
      <c r="AF22" s="124"/>
    </row>
    <row r="23">
      <c r="A23" s="122"/>
      <c r="B23" s="126" t="s">
        <v>75</v>
      </c>
      <c r="C23" s="129" t="s">
        <v>76</v>
      </c>
      <c r="D23" s="129" t="s">
        <v>77</v>
      </c>
      <c r="E23" s="129" t="s">
        <v>27</v>
      </c>
      <c r="F23" s="126" t="s">
        <v>78</v>
      </c>
      <c r="G23" s="131"/>
      <c r="H23" s="134">
        <f t="shared" si="2"/>
        <v>46283</v>
      </c>
      <c r="I23" s="120">
        <f t="shared" si="3"/>
        <v>46283</v>
      </c>
      <c r="J23" s="160">
        <v>46286.0</v>
      </c>
      <c r="K23" s="161">
        <v>0.34375</v>
      </c>
      <c r="L23" s="157">
        <v>10.0</v>
      </c>
      <c r="M23" s="132" t="s">
        <v>23</v>
      </c>
      <c r="N23" s="134">
        <f t="shared" si="4"/>
        <v>46276</v>
      </c>
      <c r="O23" s="125">
        <f t="shared" si="5"/>
        <v>46279</v>
      </c>
      <c r="P23" s="128">
        <f t="shared" si="6"/>
        <v>0.34375</v>
      </c>
      <c r="Q23" s="132" t="s">
        <v>30</v>
      </c>
      <c r="R23" s="139">
        <f t="shared" si="7"/>
        <v>10</v>
      </c>
      <c r="S23" s="134">
        <f t="shared" si="8"/>
        <v>-3</v>
      </c>
      <c r="T23" s="125"/>
      <c r="U23" s="128"/>
      <c r="V23" s="132"/>
      <c r="W23" s="99"/>
      <c r="X23" s="134"/>
      <c r="Y23" s="125">
        <f t="shared" ref="Y23:Z23" si="23">J23</f>
        <v>46286</v>
      </c>
      <c r="Z23" s="128">
        <f t="shared" si="23"/>
        <v>0.34375</v>
      </c>
      <c r="AA23" s="132"/>
      <c r="AB23" s="99"/>
      <c r="AC23" s="146">
        <f t="shared" si="10"/>
        <v>46286</v>
      </c>
      <c r="AD23" s="147">
        <f t="shared" si="11"/>
        <v>0.34375</v>
      </c>
      <c r="AE23" s="162" t="s">
        <v>56</v>
      </c>
      <c r="AF23" s="124"/>
    </row>
    <row r="24">
      <c r="A24" s="122"/>
      <c r="B24" s="126" t="s">
        <v>79</v>
      </c>
      <c r="C24" s="129" t="s">
        <v>80</v>
      </c>
      <c r="D24" s="129" t="s">
        <v>77</v>
      </c>
      <c r="E24" s="129" t="s">
        <v>27</v>
      </c>
      <c r="F24" s="126" t="s">
        <v>81</v>
      </c>
      <c r="G24" s="131"/>
      <c r="H24" s="134">
        <f t="shared" si="2"/>
        <v>46290</v>
      </c>
      <c r="I24" s="120">
        <f t="shared" si="3"/>
        <v>46290</v>
      </c>
      <c r="J24" s="160">
        <v>46293.0</v>
      </c>
      <c r="K24" s="163">
        <v>0.40625</v>
      </c>
      <c r="L24" s="157">
        <v>10.0</v>
      </c>
      <c r="M24" s="132" t="s">
        <v>23</v>
      </c>
      <c r="N24" s="134">
        <f t="shared" si="4"/>
        <v>46283</v>
      </c>
      <c r="O24" s="125">
        <f t="shared" si="5"/>
        <v>46286</v>
      </c>
      <c r="P24" s="128">
        <f t="shared" si="6"/>
        <v>0.40625</v>
      </c>
      <c r="Q24" s="132" t="s">
        <v>30</v>
      </c>
      <c r="R24" s="139">
        <f t="shared" si="7"/>
        <v>10</v>
      </c>
      <c r="S24" s="134">
        <f t="shared" si="8"/>
        <v>-3</v>
      </c>
      <c r="T24" s="125"/>
      <c r="U24" s="128"/>
      <c r="V24" s="132"/>
      <c r="W24" s="152"/>
      <c r="X24" s="134"/>
      <c r="Y24" s="125">
        <f t="shared" ref="Y24:Z24" si="24">J24</f>
        <v>46293</v>
      </c>
      <c r="Z24" s="128">
        <f t="shared" si="24"/>
        <v>0.40625</v>
      </c>
      <c r="AA24" s="132"/>
      <c r="AB24" s="152"/>
      <c r="AC24" s="146">
        <f t="shared" si="10"/>
        <v>46293</v>
      </c>
      <c r="AD24" s="147">
        <f t="shared" si="11"/>
        <v>0.40625</v>
      </c>
      <c r="AE24" s="162" t="s">
        <v>82</v>
      </c>
      <c r="AF24" s="124"/>
    </row>
    <row r="25">
      <c r="A25" s="122"/>
      <c r="B25" s="126" t="s">
        <v>83</v>
      </c>
      <c r="C25" s="129" t="s">
        <v>84</v>
      </c>
      <c r="D25" s="129" t="s">
        <v>77</v>
      </c>
      <c r="E25" s="129" t="s">
        <v>27</v>
      </c>
      <c r="F25" s="126" t="s">
        <v>85</v>
      </c>
      <c r="G25" s="131"/>
      <c r="H25" s="134">
        <f t="shared" si="2"/>
        <v>46285</v>
      </c>
      <c r="I25" s="120">
        <f t="shared" si="3"/>
        <v>46285</v>
      </c>
      <c r="J25" s="160">
        <v>46288.0</v>
      </c>
      <c r="K25" s="161">
        <v>0.46875</v>
      </c>
      <c r="L25" s="157">
        <v>10.0</v>
      </c>
      <c r="M25" s="132" t="s">
        <v>23</v>
      </c>
      <c r="N25" s="134">
        <f t="shared" si="4"/>
        <v>46278</v>
      </c>
      <c r="O25" s="125">
        <f t="shared" si="5"/>
        <v>46281</v>
      </c>
      <c r="P25" s="128">
        <f t="shared" si="6"/>
        <v>0.46875</v>
      </c>
      <c r="Q25" s="132" t="s">
        <v>30</v>
      </c>
      <c r="R25" s="139">
        <f t="shared" si="7"/>
        <v>10</v>
      </c>
      <c r="S25" s="134">
        <f t="shared" si="8"/>
        <v>-3</v>
      </c>
      <c r="T25" s="125"/>
      <c r="U25" s="128"/>
      <c r="V25" s="132"/>
      <c r="W25" s="99"/>
      <c r="X25" s="134"/>
      <c r="Y25" s="125">
        <f t="shared" ref="Y25:Z25" si="25">J25</f>
        <v>46288</v>
      </c>
      <c r="Z25" s="128">
        <f t="shared" si="25"/>
        <v>0.46875</v>
      </c>
      <c r="AA25" s="132"/>
      <c r="AB25" s="99"/>
      <c r="AC25" s="146">
        <f t="shared" si="10"/>
        <v>46288</v>
      </c>
      <c r="AD25" s="147">
        <f t="shared" si="11"/>
        <v>0.46875</v>
      </c>
      <c r="AE25" s="162" t="s">
        <v>86</v>
      </c>
      <c r="AF25" s="124"/>
    </row>
    <row r="26">
      <c r="A26" s="122"/>
      <c r="B26" s="126" t="s">
        <v>87</v>
      </c>
      <c r="C26" s="129" t="s">
        <v>88</v>
      </c>
      <c r="D26" s="129" t="s">
        <v>77</v>
      </c>
      <c r="E26" s="129" t="s">
        <v>27</v>
      </c>
      <c r="F26" s="126" t="s">
        <v>89</v>
      </c>
      <c r="G26" s="131"/>
      <c r="H26" s="134">
        <f t="shared" si="2"/>
        <v>46279</v>
      </c>
      <c r="I26" s="120">
        <f t="shared" si="3"/>
        <v>46279</v>
      </c>
      <c r="J26" s="160">
        <v>46282.0</v>
      </c>
      <c r="K26" s="163">
        <v>0.46875</v>
      </c>
      <c r="L26" s="157">
        <v>8.0</v>
      </c>
      <c r="M26" s="132" t="s">
        <v>23</v>
      </c>
      <c r="N26" s="134">
        <f t="shared" si="4"/>
        <v>46272</v>
      </c>
      <c r="O26" s="125">
        <f t="shared" si="5"/>
        <v>46275</v>
      </c>
      <c r="P26" s="128">
        <f t="shared" si="6"/>
        <v>0.46875</v>
      </c>
      <c r="Q26" s="132" t="s">
        <v>30</v>
      </c>
      <c r="R26" s="139">
        <f t="shared" si="7"/>
        <v>8</v>
      </c>
      <c r="S26" s="134">
        <f t="shared" si="8"/>
        <v>-3</v>
      </c>
      <c r="T26" s="125"/>
      <c r="U26" s="128"/>
      <c r="V26" s="132"/>
      <c r="W26" s="152"/>
      <c r="X26" s="134"/>
      <c r="Y26" s="125">
        <f t="shared" ref="Y26:Z26" si="26">J26</f>
        <v>46282</v>
      </c>
      <c r="Z26" s="128">
        <f t="shared" si="26"/>
        <v>0.46875</v>
      </c>
      <c r="AA26" s="132"/>
      <c r="AB26" s="152"/>
      <c r="AC26" s="146">
        <f t="shared" si="10"/>
        <v>46282</v>
      </c>
      <c r="AD26" s="147">
        <f t="shared" si="11"/>
        <v>0.46875</v>
      </c>
      <c r="AE26" s="162" t="s">
        <v>90</v>
      </c>
      <c r="AF26" s="124"/>
    </row>
    <row r="27">
      <c r="A27" s="122"/>
      <c r="B27" s="126" t="s">
        <v>91</v>
      </c>
      <c r="C27" s="129" t="s">
        <v>92</v>
      </c>
      <c r="D27" s="129" t="s">
        <v>77</v>
      </c>
      <c r="E27" s="129" t="s">
        <v>27</v>
      </c>
      <c r="F27" s="126" t="s">
        <v>46</v>
      </c>
      <c r="G27" s="131"/>
      <c r="H27" s="134">
        <f t="shared" si="2"/>
        <v>46281</v>
      </c>
      <c r="I27" s="120">
        <f t="shared" si="3"/>
        <v>46281</v>
      </c>
      <c r="J27" s="160">
        <v>46284.0</v>
      </c>
      <c r="K27" s="161">
        <v>0.34375</v>
      </c>
      <c r="L27" s="157">
        <v>10.0</v>
      </c>
      <c r="M27" s="132" t="s">
        <v>23</v>
      </c>
      <c r="N27" s="134">
        <f t="shared" si="4"/>
        <v>46274</v>
      </c>
      <c r="O27" s="125">
        <f t="shared" si="5"/>
        <v>46277</v>
      </c>
      <c r="P27" s="128">
        <f t="shared" si="6"/>
        <v>0.34375</v>
      </c>
      <c r="Q27" s="132" t="s">
        <v>30</v>
      </c>
      <c r="R27" s="139">
        <f t="shared" si="7"/>
        <v>10</v>
      </c>
      <c r="S27" s="134">
        <f t="shared" si="8"/>
        <v>-3</v>
      </c>
      <c r="T27" s="125"/>
      <c r="U27" s="128"/>
      <c r="V27" s="132"/>
      <c r="W27" s="99"/>
      <c r="X27" s="134"/>
      <c r="Y27" s="125">
        <f t="shared" ref="Y27:Z27" si="27">J27</f>
        <v>46284</v>
      </c>
      <c r="Z27" s="128">
        <f t="shared" si="27"/>
        <v>0.34375</v>
      </c>
      <c r="AA27" s="132"/>
      <c r="AB27" s="99"/>
      <c r="AC27" s="146">
        <f t="shared" si="10"/>
        <v>46284</v>
      </c>
      <c r="AD27" s="147">
        <f t="shared" si="11"/>
        <v>0.34375</v>
      </c>
      <c r="AE27" s="162" t="s">
        <v>56</v>
      </c>
      <c r="AF27" s="124"/>
    </row>
    <row r="28">
      <c r="A28" s="122"/>
      <c r="B28" s="126" t="s">
        <v>93</v>
      </c>
      <c r="C28" s="129" t="s">
        <v>94</v>
      </c>
      <c r="D28" s="129" t="s">
        <v>77</v>
      </c>
      <c r="E28" s="129" t="s">
        <v>27</v>
      </c>
      <c r="F28" s="126" t="s">
        <v>95</v>
      </c>
      <c r="G28" s="131"/>
      <c r="H28" s="134">
        <f t="shared" si="2"/>
        <v>46287</v>
      </c>
      <c r="I28" s="120">
        <f t="shared" si="3"/>
        <v>46287</v>
      </c>
      <c r="J28" s="160">
        <v>46290.0</v>
      </c>
      <c r="K28" s="163">
        <v>0.34375</v>
      </c>
      <c r="L28" s="157">
        <v>10.0</v>
      </c>
      <c r="M28" s="132" t="s">
        <v>23</v>
      </c>
      <c r="N28" s="134">
        <f t="shared" si="4"/>
        <v>46280</v>
      </c>
      <c r="O28" s="125">
        <f t="shared" si="5"/>
        <v>46283</v>
      </c>
      <c r="P28" s="128">
        <f t="shared" si="6"/>
        <v>0.34375</v>
      </c>
      <c r="Q28" s="132" t="s">
        <v>30</v>
      </c>
      <c r="R28" s="139">
        <f t="shared" si="7"/>
        <v>10</v>
      </c>
      <c r="S28" s="134">
        <f t="shared" si="8"/>
        <v>-3</v>
      </c>
      <c r="T28" s="125"/>
      <c r="U28" s="128"/>
      <c r="V28" s="132"/>
      <c r="W28" s="152"/>
      <c r="X28" s="134"/>
      <c r="Y28" s="125">
        <f t="shared" ref="Y28:Z28" si="28">J28</f>
        <v>46290</v>
      </c>
      <c r="Z28" s="128">
        <f t="shared" si="28"/>
        <v>0.34375</v>
      </c>
      <c r="AA28" s="132"/>
      <c r="AB28" s="152"/>
      <c r="AC28" s="146">
        <f t="shared" si="10"/>
        <v>46290</v>
      </c>
      <c r="AD28" s="147">
        <f t="shared" si="11"/>
        <v>0.34375</v>
      </c>
      <c r="AE28" s="162" t="s">
        <v>86</v>
      </c>
      <c r="AF28" s="124"/>
    </row>
    <row r="29">
      <c r="A29" s="122"/>
      <c r="B29" s="126" t="s">
        <v>96</v>
      </c>
      <c r="C29" s="129" t="s">
        <v>97</v>
      </c>
      <c r="D29" s="129" t="s">
        <v>77</v>
      </c>
      <c r="E29" s="129" t="s">
        <v>27</v>
      </c>
      <c r="F29" s="126" t="s">
        <v>98</v>
      </c>
      <c r="G29" s="131"/>
      <c r="H29" s="134">
        <f t="shared" si="2"/>
        <v>46277</v>
      </c>
      <c r="I29" s="120">
        <f t="shared" si="3"/>
        <v>46277</v>
      </c>
      <c r="J29" s="160">
        <v>46280.0</v>
      </c>
      <c r="K29" s="161">
        <v>0.34375</v>
      </c>
      <c r="L29" s="157">
        <v>10.0</v>
      </c>
      <c r="M29" s="132" t="s">
        <v>23</v>
      </c>
      <c r="N29" s="134">
        <f t="shared" si="4"/>
        <v>46270</v>
      </c>
      <c r="O29" s="125">
        <f t="shared" si="5"/>
        <v>46273</v>
      </c>
      <c r="P29" s="128">
        <f t="shared" si="6"/>
        <v>0.34375</v>
      </c>
      <c r="Q29" s="132" t="s">
        <v>30</v>
      </c>
      <c r="R29" s="139">
        <f t="shared" si="7"/>
        <v>10</v>
      </c>
      <c r="S29" s="134">
        <f t="shared" si="8"/>
        <v>-3</v>
      </c>
      <c r="T29" s="125"/>
      <c r="U29" s="128"/>
      <c r="V29" s="132"/>
      <c r="W29" s="99"/>
      <c r="X29" s="134"/>
      <c r="Y29" s="125">
        <f t="shared" ref="Y29:Z29" si="29">J29</f>
        <v>46280</v>
      </c>
      <c r="Z29" s="128">
        <f t="shared" si="29"/>
        <v>0.34375</v>
      </c>
      <c r="AA29" s="132"/>
      <c r="AB29" s="99"/>
      <c r="AC29" s="146">
        <f t="shared" si="10"/>
        <v>46280</v>
      </c>
      <c r="AD29" s="147">
        <f t="shared" si="11"/>
        <v>0.34375</v>
      </c>
      <c r="AE29" s="162" t="s">
        <v>86</v>
      </c>
      <c r="AF29" s="124"/>
    </row>
    <row r="30">
      <c r="A30" s="122"/>
      <c r="B30" s="126" t="s">
        <v>99</v>
      </c>
      <c r="C30" s="129" t="s">
        <v>100</v>
      </c>
      <c r="D30" s="129" t="s">
        <v>101</v>
      </c>
      <c r="E30" s="129" t="s">
        <v>27</v>
      </c>
      <c r="F30" s="126" t="s">
        <v>70</v>
      </c>
      <c r="G30" s="131"/>
      <c r="H30" s="134">
        <f t="shared" si="2"/>
        <v>46283</v>
      </c>
      <c r="I30" s="120">
        <f t="shared" si="3"/>
        <v>46283</v>
      </c>
      <c r="J30" s="160">
        <v>46286.0</v>
      </c>
      <c r="K30" s="161">
        <v>0.40625</v>
      </c>
      <c r="L30" s="157">
        <v>15.0</v>
      </c>
      <c r="M30" s="132" t="s">
        <v>23</v>
      </c>
      <c r="N30" s="134">
        <f t="shared" si="4"/>
        <v>46276</v>
      </c>
      <c r="O30" s="125">
        <f t="shared" si="5"/>
        <v>46279</v>
      </c>
      <c r="P30" s="128">
        <f t="shared" si="6"/>
        <v>0.40625</v>
      </c>
      <c r="Q30" s="132" t="s">
        <v>30</v>
      </c>
      <c r="R30" s="139">
        <f t="shared" si="7"/>
        <v>15</v>
      </c>
      <c r="S30" s="134">
        <f t="shared" si="8"/>
        <v>-3</v>
      </c>
      <c r="T30" s="125"/>
      <c r="U30" s="128"/>
      <c r="V30" s="132"/>
      <c r="W30" s="152"/>
      <c r="X30" s="134"/>
      <c r="Y30" s="125">
        <f t="shared" ref="Y30:Z30" si="30">J30</f>
        <v>46286</v>
      </c>
      <c r="Z30" s="128">
        <f t="shared" si="30"/>
        <v>0.40625</v>
      </c>
      <c r="AA30" s="132"/>
      <c r="AB30" s="152"/>
      <c r="AC30" s="146">
        <f t="shared" si="10"/>
        <v>46286</v>
      </c>
      <c r="AD30" s="147">
        <f t="shared" si="11"/>
        <v>0.40625</v>
      </c>
      <c r="AE30" s="148" t="s">
        <v>102</v>
      </c>
      <c r="AF30" s="124"/>
    </row>
    <row r="31">
      <c r="A31" s="122"/>
      <c r="B31" s="126" t="s">
        <v>103</v>
      </c>
      <c r="C31" s="129" t="s">
        <v>104</v>
      </c>
      <c r="D31" s="129" t="s">
        <v>101</v>
      </c>
      <c r="E31" s="129" t="s">
        <v>27</v>
      </c>
      <c r="F31" s="126" t="s">
        <v>98</v>
      </c>
      <c r="G31" s="131"/>
      <c r="H31" s="134">
        <f t="shared" si="2"/>
        <v>46290</v>
      </c>
      <c r="I31" s="120">
        <f t="shared" si="3"/>
        <v>46290</v>
      </c>
      <c r="J31" s="160">
        <v>46293.0</v>
      </c>
      <c r="K31" s="163">
        <v>0.34375</v>
      </c>
      <c r="L31" s="157">
        <v>15.0</v>
      </c>
      <c r="M31" s="132" t="s">
        <v>23</v>
      </c>
      <c r="N31" s="134">
        <f t="shared" si="4"/>
        <v>46283</v>
      </c>
      <c r="O31" s="125">
        <f t="shared" si="5"/>
        <v>46286</v>
      </c>
      <c r="P31" s="128">
        <f t="shared" si="6"/>
        <v>0.34375</v>
      </c>
      <c r="Q31" s="132" t="s">
        <v>30</v>
      </c>
      <c r="R31" s="139">
        <f t="shared" si="7"/>
        <v>15</v>
      </c>
      <c r="S31" s="134">
        <f t="shared" si="8"/>
        <v>-3</v>
      </c>
      <c r="T31" s="125"/>
      <c r="U31" s="128"/>
      <c r="V31" s="132"/>
      <c r="W31" s="99"/>
      <c r="X31" s="134"/>
      <c r="Y31" s="125">
        <f t="shared" ref="Y31:Z31" si="31">J31</f>
        <v>46293</v>
      </c>
      <c r="Z31" s="128">
        <f t="shared" si="31"/>
        <v>0.34375</v>
      </c>
      <c r="AA31" s="132"/>
      <c r="AB31" s="99"/>
      <c r="AC31" s="146">
        <f t="shared" si="10"/>
        <v>46293</v>
      </c>
      <c r="AD31" s="147">
        <f t="shared" si="11"/>
        <v>0.34375</v>
      </c>
      <c r="AE31" s="148" t="s">
        <v>102</v>
      </c>
      <c r="AF31" s="124"/>
    </row>
    <row r="32">
      <c r="A32" s="122"/>
      <c r="B32" s="126" t="s">
        <v>105</v>
      </c>
      <c r="C32" s="129" t="s">
        <v>106</v>
      </c>
      <c r="D32" s="129" t="s">
        <v>101</v>
      </c>
      <c r="E32" s="129" t="s">
        <v>27</v>
      </c>
      <c r="F32" s="126" t="s">
        <v>107</v>
      </c>
      <c r="G32" s="131"/>
      <c r="H32" s="134">
        <f t="shared" si="2"/>
        <v>46277</v>
      </c>
      <c r="I32" s="120">
        <f t="shared" si="3"/>
        <v>46277</v>
      </c>
      <c r="J32" s="160">
        <v>46280.0</v>
      </c>
      <c r="K32" s="161">
        <v>0.40625</v>
      </c>
      <c r="L32" s="157">
        <v>15.0</v>
      </c>
      <c r="M32" s="132" t="s">
        <v>23</v>
      </c>
      <c r="N32" s="134">
        <f t="shared" si="4"/>
        <v>46270</v>
      </c>
      <c r="O32" s="125">
        <f t="shared" si="5"/>
        <v>46273</v>
      </c>
      <c r="P32" s="128">
        <f t="shared" si="6"/>
        <v>0.40625</v>
      </c>
      <c r="Q32" s="132" t="s">
        <v>30</v>
      </c>
      <c r="R32" s="139">
        <f t="shared" si="7"/>
        <v>15</v>
      </c>
      <c r="S32" s="134">
        <f t="shared" si="8"/>
        <v>-3</v>
      </c>
      <c r="T32" s="125"/>
      <c r="U32" s="128"/>
      <c r="V32" s="132"/>
      <c r="W32" s="152"/>
      <c r="X32" s="134"/>
      <c r="Y32" s="125">
        <f t="shared" ref="Y32:Z32" si="32">J32</f>
        <v>46280</v>
      </c>
      <c r="Z32" s="128">
        <f t="shared" si="32"/>
        <v>0.40625</v>
      </c>
      <c r="AA32" s="132"/>
      <c r="AB32" s="152"/>
      <c r="AC32" s="146">
        <f t="shared" si="10"/>
        <v>46280</v>
      </c>
      <c r="AD32" s="147">
        <f t="shared" si="11"/>
        <v>0.40625</v>
      </c>
      <c r="AE32" s="148" t="s">
        <v>43</v>
      </c>
      <c r="AF32" s="124"/>
    </row>
    <row r="33">
      <c r="A33" s="122"/>
      <c r="B33" s="126" t="s">
        <v>108</v>
      </c>
      <c r="C33" s="129" t="s">
        <v>109</v>
      </c>
      <c r="D33" s="129" t="s">
        <v>101</v>
      </c>
      <c r="E33" s="129" t="s">
        <v>27</v>
      </c>
      <c r="F33" s="126" t="s">
        <v>50</v>
      </c>
      <c r="G33" s="131"/>
      <c r="H33" s="134">
        <f t="shared" si="2"/>
        <v>46285</v>
      </c>
      <c r="I33" s="120">
        <f t="shared" si="3"/>
        <v>46285</v>
      </c>
      <c r="J33" s="160">
        <v>46288.0</v>
      </c>
      <c r="K33" s="163">
        <v>0.34375</v>
      </c>
      <c r="L33" s="157">
        <v>15.0</v>
      </c>
      <c r="M33" s="132" t="s">
        <v>23</v>
      </c>
      <c r="N33" s="134">
        <f t="shared" si="4"/>
        <v>46278</v>
      </c>
      <c r="O33" s="125">
        <f t="shared" si="5"/>
        <v>46281</v>
      </c>
      <c r="P33" s="128">
        <f t="shared" si="6"/>
        <v>0.34375</v>
      </c>
      <c r="Q33" s="132" t="s">
        <v>30</v>
      </c>
      <c r="R33" s="139">
        <f t="shared" si="7"/>
        <v>15</v>
      </c>
      <c r="S33" s="134">
        <f t="shared" si="8"/>
        <v>-3</v>
      </c>
      <c r="T33" s="125"/>
      <c r="U33" s="128"/>
      <c r="V33" s="132"/>
      <c r="W33" s="99"/>
      <c r="X33" s="134"/>
      <c r="Y33" s="125">
        <f t="shared" ref="Y33:Z33" si="33">J33</f>
        <v>46288</v>
      </c>
      <c r="Z33" s="128">
        <f t="shared" si="33"/>
        <v>0.34375</v>
      </c>
      <c r="AA33" s="132"/>
      <c r="AB33" s="99"/>
      <c r="AC33" s="146">
        <f t="shared" si="10"/>
        <v>46288</v>
      </c>
      <c r="AD33" s="147">
        <f t="shared" si="11"/>
        <v>0.34375</v>
      </c>
      <c r="AE33" s="148" t="s">
        <v>62</v>
      </c>
      <c r="AF33" s="124"/>
    </row>
    <row r="34">
      <c r="A34" s="122"/>
      <c r="B34" s="126" t="s">
        <v>110</v>
      </c>
      <c r="C34" s="129" t="s">
        <v>111</v>
      </c>
      <c r="D34" s="129" t="s">
        <v>101</v>
      </c>
      <c r="E34" s="129" t="s">
        <v>27</v>
      </c>
      <c r="F34" s="164" t="s">
        <v>73</v>
      </c>
      <c r="G34" s="131"/>
      <c r="H34" s="134">
        <f t="shared" si="2"/>
        <v>46287</v>
      </c>
      <c r="I34" s="120">
        <f t="shared" si="3"/>
        <v>46287</v>
      </c>
      <c r="J34" s="160">
        <v>46290.0</v>
      </c>
      <c r="K34" s="161">
        <v>0.40625</v>
      </c>
      <c r="L34" s="157">
        <v>15.0</v>
      </c>
      <c r="M34" s="132" t="s">
        <v>23</v>
      </c>
      <c r="N34" s="134">
        <f t="shared" si="4"/>
        <v>46280</v>
      </c>
      <c r="O34" s="125">
        <f t="shared" si="5"/>
        <v>46283</v>
      </c>
      <c r="P34" s="128">
        <f t="shared" si="6"/>
        <v>0.40625</v>
      </c>
      <c r="Q34" s="132" t="s">
        <v>30</v>
      </c>
      <c r="R34" s="139">
        <f t="shared" si="7"/>
        <v>15</v>
      </c>
      <c r="S34" s="134">
        <f t="shared" si="8"/>
        <v>-3</v>
      </c>
      <c r="T34" s="125"/>
      <c r="U34" s="128"/>
      <c r="V34" s="132"/>
      <c r="W34" s="152"/>
      <c r="X34" s="134"/>
      <c r="Y34" s="125">
        <f t="shared" ref="Y34:Z34" si="34">J34</f>
        <v>46290</v>
      </c>
      <c r="Z34" s="128">
        <f t="shared" si="34"/>
        <v>0.40625</v>
      </c>
      <c r="AA34" s="132"/>
      <c r="AB34" s="152"/>
      <c r="AC34" s="146">
        <f t="shared" si="10"/>
        <v>46290</v>
      </c>
      <c r="AD34" s="147">
        <f t="shared" si="11"/>
        <v>0.40625</v>
      </c>
      <c r="AE34" s="148" t="s">
        <v>35</v>
      </c>
      <c r="AF34" s="124"/>
    </row>
    <row r="35">
      <c r="A35" s="122"/>
      <c r="B35" s="165" t="s">
        <v>112</v>
      </c>
      <c r="C35" s="129" t="s">
        <v>113</v>
      </c>
      <c r="D35" s="129" t="s">
        <v>101</v>
      </c>
      <c r="E35" s="129" t="s">
        <v>27</v>
      </c>
      <c r="F35" s="126" t="s">
        <v>95</v>
      </c>
      <c r="G35" s="131"/>
      <c r="H35" s="134">
        <f t="shared" si="2"/>
        <v>46281</v>
      </c>
      <c r="I35" s="120">
        <f t="shared" si="3"/>
        <v>46281</v>
      </c>
      <c r="J35" s="160">
        <v>46284.0</v>
      </c>
      <c r="K35" s="163">
        <v>0.34375</v>
      </c>
      <c r="L35" s="157">
        <v>15.0</v>
      </c>
      <c r="M35" s="132" t="s">
        <v>23</v>
      </c>
      <c r="N35" s="134">
        <f t="shared" si="4"/>
        <v>46274</v>
      </c>
      <c r="O35" s="125">
        <f t="shared" si="5"/>
        <v>46277</v>
      </c>
      <c r="P35" s="128">
        <f t="shared" si="6"/>
        <v>0.34375</v>
      </c>
      <c r="Q35" s="132" t="s">
        <v>30</v>
      </c>
      <c r="R35" s="139">
        <f t="shared" si="7"/>
        <v>15</v>
      </c>
      <c r="S35" s="134">
        <f t="shared" si="8"/>
        <v>-3</v>
      </c>
      <c r="T35" s="125"/>
      <c r="U35" s="128"/>
      <c r="V35" s="132"/>
      <c r="W35" s="99"/>
      <c r="X35" s="134"/>
      <c r="Y35" s="125">
        <f t="shared" ref="Y35:Z35" si="35">J35</f>
        <v>46284</v>
      </c>
      <c r="Z35" s="128">
        <f t="shared" si="35"/>
        <v>0.34375</v>
      </c>
      <c r="AA35" s="132"/>
      <c r="AB35" s="99"/>
      <c r="AC35" s="146">
        <f t="shared" si="10"/>
        <v>46284</v>
      </c>
      <c r="AD35" s="147">
        <f t="shared" si="11"/>
        <v>0.34375</v>
      </c>
      <c r="AE35" s="148" t="s">
        <v>114</v>
      </c>
      <c r="AF35" s="124"/>
    </row>
    <row r="36">
      <c r="A36" s="122"/>
      <c r="B36" s="165" t="s">
        <v>115</v>
      </c>
      <c r="C36" s="129" t="s">
        <v>116</v>
      </c>
      <c r="D36" s="129" t="s">
        <v>101</v>
      </c>
      <c r="E36" s="129" t="s">
        <v>27</v>
      </c>
      <c r="F36" s="126" t="s">
        <v>28</v>
      </c>
      <c r="G36" s="131"/>
      <c r="H36" s="134">
        <f t="shared" si="2"/>
        <v>46279</v>
      </c>
      <c r="I36" s="120">
        <f t="shared" si="3"/>
        <v>46279</v>
      </c>
      <c r="J36" s="160">
        <v>46282.0</v>
      </c>
      <c r="K36" s="161">
        <v>0.34375</v>
      </c>
      <c r="L36" s="157">
        <v>15.0</v>
      </c>
      <c r="M36" s="132" t="s">
        <v>23</v>
      </c>
      <c r="N36" s="134">
        <f t="shared" si="4"/>
        <v>46272</v>
      </c>
      <c r="O36" s="125">
        <f t="shared" si="5"/>
        <v>46275</v>
      </c>
      <c r="P36" s="128">
        <f t="shared" si="6"/>
        <v>0.34375</v>
      </c>
      <c r="Q36" s="132" t="s">
        <v>30</v>
      </c>
      <c r="R36" s="139">
        <f t="shared" si="7"/>
        <v>15</v>
      </c>
      <c r="S36" s="134">
        <f t="shared" si="8"/>
        <v>-3</v>
      </c>
      <c r="T36" s="125"/>
      <c r="U36" s="128"/>
      <c r="V36" s="132"/>
      <c r="W36" s="152"/>
      <c r="X36" s="134"/>
      <c r="Y36" s="125">
        <f t="shared" ref="Y36:Z36" si="36">J36</f>
        <v>46282</v>
      </c>
      <c r="Z36" s="128">
        <f t="shared" si="36"/>
        <v>0.34375</v>
      </c>
      <c r="AA36" s="132"/>
      <c r="AB36" s="152"/>
      <c r="AC36" s="146">
        <f t="shared" si="10"/>
        <v>46282</v>
      </c>
      <c r="AD36" s="147">
        <f t="shared" si="11"/>
        <v>0.34375</v>
      </c>
      <c r="AE36" s="148" t="s">
        <v>62</v>
      </c>
      <c r="AF36" s="124"/>
    </row>
    <row r="37">
      <c r="A37" s="122"/>
      <c r="B37" s="165" t="s">
        <v>117</v>
      </c>
      <c r="C37" s="129" t="s">
        <v>118</v>
      </c>
      <c r="D37" s="129" t="s">
        <v>119</v>
      </c>
      <c r="E37" s="129" t="s">
        <v>27</v>
      </c>
      <c r="F37" s="126" t="s">
        <v>28</v>
      </c>
      <c r="G37" s="131"/>
      <c r="H37" s="134">
        <f t="shared" si="2"/>
        <v>46279</v>
      </c>
      <c r="I37" s="120">
        <f t="shared" si="3"/>
        <v>46279</v>
      </c>
      <c r="J37" s="160">
        <v>46282.0</v>
      </c>
      <c r="K37" s="161">
        <v>0.59375</v>
      </c>
      <c r="L37" s="157">
        <v>8.0</v>
      </c>
      <c r="M37" s="132" t="s">
        <v>23</v>
      </c>
      <c r="N37" s="134">
        <f t="shared" si="4"/>
        <v>46272</v>
      </c>
      <c r="O37" s="125">
        <f t="shared" si="5"/>
        <v>46275</v>
      </c>
      <c r="P37" s="128">
        <f t="shared" si="6"/>
        <v>0.59375</v>
      </c>
      <c r="Q37" s="132" t="s">
        <v>30</v>
      </c>
      <c r="R37" s="139">
        <f t="shared" si="7"/>
        <v>8</v>
      </c>
      <c r="S37" s="134">
        <f t="shared" si="8"/>
        <v>-3</v>
      </c>
      <c r="T37" s="125"/>
      <c r="U37" s="128"/>
      <c r="V37" s="132"/>
      <c r="W37" s="99"/>
      <c r="X37" s="134"/>
      <c r="Y37" s="125">
        <f t="shared" ref="Y37:Z37" si="37">J37</f>
        <v>46282</v>
      </c>
      <c r="Z37" s="128">
        <f t="shared" si="37"/>
        <v>0.59375</v>
      </c>
      <c r="AA37" s="132"/>
      <c r="AB37" s="99"/>
      <c r="AC37" s="146">
        <f t="shared" si="10"/>
        <v>46282</v>
      </c>
      <c r="AD37" s="147">
        <f t="shared" si="11"/>
        <v>0.59375</v>
      </c>
      <c r="AE37" s="148" t="s">
        <v>90</v>
      </c>
      <c r="AF37" s="124"/>
    </row>
    <row r="38">
      <c r="A38" s="122"/>
      <c r="B38" s="165" t="s">
        <v>120</v>
      </c>
      <c r="C38" s="129" t="s">
        <v>121</v>
      </c>
      <c r="D38" s="129" t="s">
        <v>119</v>
      </c>
      <c r="E38" s="129" t="s">
        <v>27</v>
      </c>
      <c r="F38" s="126" t="s">
        <v>122</v>
      </c>
      <c r="G38" s="131"/>
      <c r="H38" s="134">
        <f t="shared" si="2"/>
        <v>46283</v>
      </c>
      <c r="I38" s="120">
        <f t="shared" si="3"/>
        <v>46283</v>
      </c>
      <c r="J38" s="160">
        <v>46286.0</v>
      </c>
      <c r="K38" s="163">
        <v>0.53125</v>
      </c>
      <c r="L38" s="157">
        <v>8.0</v>
      </c>
      <c r="M38" s="132" t="s">
        <v>23</v>
      </c>
      <c r="N38" s="134">
        <f t="shared" si="4"/>
        <v>46276</v>
      </c>
      <c r="O38" s="125">
        <f t="shared" si="5"/>
        <v>46279</v>
      </c>
      <c r="P38" s="128">
        <f t="shared" si="6"/>
        <v>0.53125</v>
      </c>
      <c r="Q38" s="132" t="s">
        <v>30</v>
      </c>
      <c r="R38" s="139">
        <f t="shared" si="7"/>
        <v>8</v>
      </c>
      <c r="S38" s="134">
        <f t="shared" si="8"/>
        <v>-3</v>
      </c>
      <c r="T38" s="125"/>
      <c r="U38" s="128"/>
      <c r="V38" s="132"/>
      <c r="W38" s="152"/>
      <c r="X38" s="134"/>
      <c r="Y38" s="125">
        <f t="shared" ref="Y38:Z38" si="38">J38</f>
        <v>46286</v>
      </c>
      <c r="Z38" s="128">
        <f t="shared" si="38"/>
        <v>0.53125</v>
      </c>
      <c r="AA38" s="132"/>
      <c r="AB38" s="152"/>
      <c r="AC38" s="146">
        <f t="shared" si="10"/>
        <v>46286</v>
      </c>
      <c r="AD38" s="147">
        <f t="shared" si="11"/>
        <v>0.53125</v>
      </c>
      <c r="AE38" s="148" t="s">
        <v>102</v>
      </c>
      <c r="AF38" s="124"/>
    </row>
    <row r="39">
      <c r="A39" s="122"/>
      <c r="B39" s="126" t="s">
        <v>123</v>
      </c>
      <c r="C39" s="129" t="s">
        <v>124</v>
      </c>
      <c r="D39" s="129" t="s">
        <v>119</v>
      </c>
      <c r="E39" s="129" t="s">
        <v>27</v>
      </c>
      <c r="F39" s="126" t="s">
        <v>125</v>
      </c>
      <c r="G39" s="131"/>
      <c r="H39" s="134">
        <f t="shared" si="2"/>
        <v>46281</v>
      </c>
      <c r="I39" s="120">
        <f t="shared" si="3"/>
        <v>46281</v>
      </c>
      <c r="J39" s="160">
        <v>46284.0</v>
      </c>
      <c r="K39" s="161">
        <v>0.34375</v>
      </c>
      <c r="L39" s="157">
        <v>8.0</v>
      </c>
      <c r="M39" s="132" t="s">
        <v>23</v>
      </c>
      <c r="N39" s="134">
        <f t="shared" si="4"/>
        <v>46274</v>
      </c>
      <c r="O39" s="125">
        <f t="shared" si="5"/>
        <v>46277</v>
      </c>
      <c r="P39" s="128">
        <f t="shared" si="6"/>
        <v>0.34375</v>
      </c>
      <c r="Q39" s="132" t="s">
        <v>30</v>
      </c>
      <c r="R39" s="139">
        <f t="shared" si="7"/>
        <v>8</v>
      </c>
      <c r="S39" s="134">
        <f t="shared" si="8"/>
        <v>-3</v>
      </c>
      <c r="T39" s="125"/>
      <c r="U39" s="128"/>
      <c r="V39" s="132"/>
      <c r="W39" s="99"/>
      <c r="X39" s="134"/>
      <c r="Y39" s="125">
        <f t="shared" ref="Y39:Z39" si="39">J39</f>
        <v>46284</v>
      </c>
      <c r="Z39" s="128">
        <f t="shared" si="39"/>
        <v>0.34375</v>
      </c>
      <c r="AA39" s="132"/>
      <c r="AB39" s="99"/>
      <c r="AC39" s="146">
        <f t="shared" si="10"/>
        <v>46284</v>
      </c>
      <c r="AD39" s="147">
        <f t="shared" si="11"/>
        <v>0.34375</v>
      </c>
      <c r="AE39" s="148" t="s">
        <v>31</v>
      </c>
      <c r="AF39" s="124"/>
    </row>
    <row r="40">
      <c r="A40" s="122"/>
      <c r="B40" s="126" t="s">
        <v>126</v>
      </c>
      <c r="C40" s="129" t="s">
        <v>127</v>
      </c>
      <c r="D40" s="129" t="s">
        <v>119</v>
      </c>
      <c r="E40" s="129" t="s">
        <v>27</v>
      </c>
      <c r="F40" s="126" t="s">
        <v>128</v>
      </c>
      <c r="G40" s="131"/>
      <c r="H40" s="134">
        <f t="shared" si="2"/>
        <v>46290</v>
      </c>
      <c r="I40" s="120">
        <f t="shared" si="3"/>
        <v>46290</v>
      </c>
      <c r="J40" s="160">
        <v>46293.0</v>
      </c>
      <c r="K40" s="163">
        <v>0.65625</v>
      </c>
      <c r="L40" s="157">
        <v>8.0</v>
      </c>
      <c r="M40" s="132" t="s">
        <v>23</v>
      </c>
      <c r="N40" s="134">
        <f t="shared" si="4"/>
        <v>46283</v>
      </c>
      <c r="O40" s="125">
        <f t="shared" si="5"/>
        <v>46286</v>
      </c>
      <c r="P40" s="128">
        <f t="shared" si="6"/>
        <v>0.65625</v>
      </c>
      <c r="Q40" s="132" t="s">
        <v>30</v>
      </c>
      <c r="R40" s="139">
        <f t="shared" si="7"/>
        <v>8</v>
      </c>
      <c r="S40" s="134">
        <f t="shared" si="8"/>
        <v>-3</v>
      </c>
      <c r="T40" s="125"/>
      <c r="U40" s="128"/>
      <c r="V40" s="132"/>
      <c r="W40" s="99"/>
      <c r="X40" s="134"/>
      <c r="Y40" s="125">
        <f t="shared" ref="Y40:Z40" si="40">J40</f>
        <v>46293</v>
      </c>
      <c r="Z40" s="128">
        <f t="shared" si="40"/>
        <v>0.65625</v>
      </c>
      <c r="AA40" s="132"/>
      <c r="AB40" s="99"/>
      <c r="AC40" s="146">
        <f t="shared" si="10"/>
        <v>46293</v>
      </c>
      <c r="AD40" s="147">
        <f t="shared" si="11"/>
        <v>0.65625</v>
      </c>
      <c r="AE40" s="148" t="s">
        <v>86</v>
      </c>
      <c r="AF40" s="124"/>
    </row>
    <row r="41">
      <c r="A41" s="122"/>
      <c r="B41" s="165" t="s">
        <v>129</v>
      </c>
      <c r="C41" s="129" t="s">
        <v>130</v>
      </c>
      <c r="D41" s="129" t="s">
        <v>119</v>
      </c>
      <c r="E41" s="129" t="s">
        <v>27</v>
      </c>
      <c r="F41" s="126" t="s">
        <v>107</v>
      </c>
      <c r="G41" s="131"/>
      <c r="H41" s="134">
        <f t="shared" si="2"/>
        <v>46277</v>
      </c>
      <c r="I41" s="120">
        <f t="shared" si="3"/>
        <v>46277</v>
      </c>
      <c r="J41" s="160">
        <v>46280.0</v>
      </c>
      <c r="K41" s="161">
        <v>0.65625</v>
      </c>
      <c r="L41" s="157">
        <v>8.0</v>
      </c>
      <c r="M41" s="132" t="s">
        <v>23</v>
      </c>
      <c r="N41" s="134">
        <f t="shared" si="4"/>
        <v>46270</v>
      </c>
      <c r="O41" s="125">
        <f t="shared" si="5"/>
        <v>46273</v>
      </c>
      <c r="P41" s="128">
        <f t="shared" si="6"/>
        <v>0.65625</v>
      </c>
      <c r="Q41" s="132" t="s">
        <v>30</v>
      </c>
      <c r="R41" s="139">
        <f t="shared" si="7"/>
        <v>8</v>
      </c>
      <c r="S41" s="134">
        <f t="shared" si="8"/>
        <v>-3</v>
      </c>
      <c r="T41" s="125"/>
      <c r="U41" s="128"/>
      <c r="V41" s="132"/>
      <c r="W41" s="99"/>
      <c r="X41" s="134"/>
      <c r="Y41" s="125">
        <f t="shared" ref="Y41:Z41" si="41">J41</f>
        <v>46280</v>
      </c>
      <c r="Z41" s="128">
        <f t="shared" si="41"/>
        <v>0.65625</v>
      </c>
      <c r="AA41" s="132"/>
      <c r="AB41" s="99"/>
      <c r="AC41" s="146">
        <f t="shared" si="10"/>
        <v>46280</v>
      </c>
      <c r="AD41" s="147">
        <f t="shared" si="11"/>
        <v>0.65625</v>
      </c>
      <c r="AE41" s="148" t="s">
        <v>65</v>
      </c>
      <c r="AF41" s="124"/>
    </row>
    <row r="42">
      <c r="A42" s="122"/>
      <c r="B42" s="165" t="s">
        <v>131</v>
      </c>
      <c r="C42" s="129" t="s">
        <v>132</v>
      </c>
      <c r="D42" s="129" t="s">
        <v>119</v>
      </c>
      <c r="E42" s="129" t="s">
        <v>27</v>
      </c>
      <c r="F42" s="126" t="s">
        <v>133</v>
      </c>
      <c r="G42" s="131"/>
      <c r="H42" s="134">
        <f t="shared" si="2"/>
        <v>46287</v>
      </c>
      <c r="I42" s="120">
        <f t="shared" si="3"/>
        <v>46287</v>
      </c>
      <c r="J42" s="160">
        <v>46290.0</v>
      </c>
      <c r="K42" s="163">
        <v>0.59375</v>
      </c>
      <c r="L42" s="157">
        <v>8.0</v>
      </c>
      <c r="M42" s="132" t="s">
        <v>23</v>
      </c>
      <c r="N42" s="134">
        <f t="shared" si="4"/>
        <v>46280</v>
      </c>
      <c r="O42" s="125">
        <f t="shared" si="5"/>
        <v>46283</v>
      </c>
      <c r="P42" s="128">
        <f t="shared" si="6"/>
        <v>0.59375</v>
      </c>
      <c r="Q42" s="132" t="s">
        <v>30</v>
      </c>
      <c r="R42" s="139">
        <f t="shared" si="7"/>
        <v>8</v>
      </c>
      <c r="S42" s="134">
        <f t="shared" si="8"/>
        <v>-3</v>
      </c>
      <c r="T42" s="125"/>
      <c r="U42" s="128"/>
      <c r="V42" s="132"/>
      <c r="W42" s="99"/>
      <c r="X42" s="134"/>
      <c r="Y42" s="125">
        <f t="shared" ref="Y42:Z42" si="42">J42</f>
        <v>46290</v>
      </c>
      <c r="Z42" s="128">
        <f t="shared" si="42"/>
        <v>0.59375</v>
      </c>
      <c r="AA42" s="132"/>
      <c r="AB42" s="99"/>
      <c r="AC42" s="146">
        <f t="shared" si="10"/>
        <v>46290</v>
      </c>
      <c r="AD42" s="147">
        <f t="shared" si="11"/>
        <v>0.59375</v>
      </c>
      <c r="AE42" s="148" t="s">
        <v>62</v>
      </c>
      <c r="AF42" s="124"/>
    </row>
    <row r="43">
      <c r="A43" s="122"/>
      <c r="B43" s="165" t="s">
        <v>134</v>
      </c>
      <c r="C43" s="129" t="s">
        <v>135</v>
      </c>
      <c r="D43" s="129" t="s">
        <v>119</v>
      </c>
      <c r="E43" s="129" t="s">
        <v>27</v>
      </c>
      <c r="F43" s="126" t="s">
        <v>136</v>
      </c>
      <c r="G43" s="131"/>
      <c r="H43" s="134">
        <f t="shared" si="2"/>
        <v>46285</v>
      </c>
      <c r="I43" s="120">
        <f t="shared" si="3"/>
        <v>46285</v>
      </c>
      <c r="J43" s="160">
        <v>46288.0</v>
      </c>
      <c r="K43" s="161">
        <v>0.71875</v>
      </c>
      <c r="L43" s="157">
        <v>8.0</v>
      </c>
      <c r="M43" s="132" t="s">
        <v>23</v>
      </c>
      <c r="N43" s="134">
        <f t="shared" si="4"/>
        <v>46278</v>
      </c>
      <c r="O43" s="125">
        <f t="shared" si="5"/>
        <v>46281</v>
      </c>
      <c r="P43" s="128">
        <f t="shared" si="6"/>
        <v>0.71875</v>
      </c>
      <c r="Q43" s="132" t="s">
        <v>30</v>
      </c>
      <c r="R43" s="139">
        <f t="shared" si="7"/>
        <v>8</v>
      </c>
      <c r="S43" s="134">
        <f t="shared" si="8"/>
        <v>-3</v>
      </c>
      <c r="T43" s="125"/>
      <c r="U43" s="128"/>
      <c r="V43" s="132"/>
      <c r="W43" s="99"/>
      <c r="X43" s="134"/>
      <c r="Y43" s="125">
        <f t="shared" ref="Y43:Z43" si="43">J43</f>
        <v>46288</v>
      </c>
      <c r="Z43" s="128">
        <f t="shared" si="43"/>
        <v>0.71875</v>
      </c>
      <c r="AA43" s="132"/>
      <c r="AB43" s="99"/>
      <c r="AC43" s="146">
        <f t="shared" si="10"/>
        <v>46288</v>
      </c>
      <c r="AD43" s="147">
        <f t="shared" si="11"/>
        <v>0.71875</v>
      </c>
      <c r="AE43" s="148" t="s">
        <v>86</v>
      </c>
      <c r="AF43" s="124"/>
    </row>
    <row r="44">
      <c r="A44" s="122"/>
      <c r="B44" s="165" t="s">
        <v>137</v>
      </c>
      <c r="C44" s="129" t="s">
        <v>138</v>
      </c>
      <c r="D44" s="129" t="s">
        <v>139</v>
      </c>
      <c r="E44" s="129" t="s">
        <v>27</v>
      </c>
      <c r="F44" s="126" t="s">
        <v>122</v>
      </c>
      <c r="G44" s="131"/>
      <c r="H44" s="134">
        <f t="shared" si="2"/>
        <v>46277</v>
      </c>
      <c r="I44" s="120">
        <f t="shared" si="3"/>
        <v>46277</v>
      </c>
      <c r="J44" s="160">
        <v>46280.0</v>
      </c>
      <c r="K44" s="161">
        <v>0.65625</v>
      </c>
      <c r="L44" s="157">
        <v>12.0</v>
      </c>
      <c r="M44" s="132" t="s">
        <v>23</v>
      </c>
      <c r="N44" s="134">
        <f t="shared" si="4"/>
        <v>46270</v>
      </c>
      <c r="O44" s="125">
        <f t="shared" si="5"/>
        <v>46273</v>
      </c>
      <c r="P44" s="128">
        <f t="shared" si="6"/>
        <v>0.65625</v>
      </c>
      <c r="Q44" s="132" t="s">
        <v>30</v>
      </c>
      <c r="R44" s="139">
        <f t="shared" si="7"/>
        <v>12</v>
      </c>
      <c r="S44" s="134">
        <f t="shared" si="8"/>
        <v>-3</v>
      </c>
      <c r="T44" s="125"/>
      <c r="U44" s="128"/>
      <c r="V44" s="132"/>
      <c r="W44" s="99"/>
      <c r="X44" s="134"/>
      <c r="Y44" s="125">
        <f t="shared" ref="Y44:Z44" si="44">J44</f>
        <v>46280</v>
      </c>
      <c r="Z44" s="128">
        <f t="shared" si="44"/>
        <v>0.65625</v>
      </c>
      <c r="AA44" s="132"/>
      <c r="AB44" s="99"/>
      <c r="AC44" s="146">
        <f t="shared" si="10"/>
        <v>46280</v>
      </c>
      <c r="AD44" s="147">
        <f t="shared" si="11"/>
        <v>0.65625</v>
      </c>
      <c r="AE44" s="148" t="s">
        <v>39</v>
      </c>
      <c r="AF44" s="124"/>
    </row>
    <row r="45">
      <c r="A45" s="122"/>
      <c r="B45" s="165" t="s">
        <v>140</v>
      </c>
      <c r="C45" s="129" t="s">
        <v>141</v>
      </c>
      <c r="D45" s="129" t="s">
        <v>139</v>
      </c>
      <c r="E45" s="129" t="s">
        <v>27</v>
      </c>
      <c r="F45" s="126" t="s">
        <v>142</v>
      </c>
      <c r="G45" s="131"/>
      <c r="H45" s="134">
        <f t="shared" si="2"/>
        <v>46285</v>
      </c>
      <c r="I45" s="120">
        <f t="shared" si="3"/>
        <v>46285</v>
      </c>
      <c r="J45" s="160">
        <v>46288.0</v>
      </c>
      <c r="K45" s="163">
        <v>0.65625</v>
      </c>
      <c r="L45" s="157">
        <v>12.0</v>
      </c>
      <c r="M45" s="132" t="s">
        <v>23</v>
      </c>
      <c r="N45" s="134">
        <f t="shared" si="4"/>
        <v>46278</v>
      </c>
      <c r="O45" s="125">
        <f t="shared" si="5"/>
        <v>46281</v>
      </c>
      <c r="P45" s="128">
        <f t="shared" si="6"/>
        <v>0.65625</v>
      </c>
      <c r="Q45" s="132" t="s">
        <v>30</v>
      </c>
      <c r="R45" s="139">
        <f t="shared" si="7"/>
        <v>12</v>
      </c>
      <c r="S45" s="134">
        <f t="shared" si="8"/>
        <v>-3</v>
      </c>
      <c r="T45" s="125"/>
      <c r="U45" s="128"/>
      <c r="V45" s="132"/>
      <c r="W45" s="99"/>
      <c r="X45" s="134"/>
      <c r="Y45" s="125">
        <f t="shared" ref="Y45:Z45" si="45">J45</f>
        <v>46288</v>
      </c>
      <c r="Z45" s="128">
        <f t="shared" si="45"/>
        <v>0.65625</v>
      </c>
      <c r="AA45" s="132"/>
      <c r="AB45" s="99"/>
      <c r="AC45" s="146">
        <f t="shared" si="10"/>
        <v>46288</v>
      </c>
      <c r="AD45" s="147">
        <f t="shared" si="11"/>
        <v>0.65625</v>
      </c>
      <c r="AE45" s="148" t="s">
        <v>143</v>
      </c>
      <c r="AF45" s="124"/>
    </row>
    <row r="46">
      <c r="A46" s="122"/>
      <c r="B46" s="165" t="s">
        <v>144</v>
      </c>
      <c r="C46" s="129" t="s">
        <v>145</v>
      </c>
      <c r="D46" s="129" t="s">
        <v>139</v>
      </c>
      <c r="E46" s="129" t="s">
        <v>27</v>
      </c>
      <c r="F46" s="126" t="s">
        <v>128</v>
      </c>
      <c r="G46" s="131"/>
      <c r="H46" s="134">
        <f t="shared" si="2"/>
        <v>46283</v>
      </c>
      <c r="I46" s="120">
        <f t="shared" si="3"/>
        <v>46283</v>
      </c>
      <c r="J46" s="160">
        <v>46286.0</v>
      </c>
      <c r="K46" s="161">
        <v>0.59375</v>
      </c>
      <c r="L46" s="157">
        <v>12.0</v>
      </c>
      <c r="M46" s="132" t="s">
        <v>23</v>
      </c>
      <c r="N46" s="134">
        <f t="shared" si="4"/>
        <v>46276</v>
      </c>
      <c r="O46" s="125">
        <f t="shared" si="5"/>
        <v>46279</v>
      </c>
      <c r="P46" s="128">
        <f t="shared" si="6"/>
        <v>0.59375</v>
      </c>
      <c r="Q46" s="132" t="s">
        <v>30</v>
      </c>
      <c r="R46" s="139">
        <f t="shared" si="7"/>
        <v>12</v>
      </c>
      <c r="S46" s="134">
        <f t="shared" si="8"/>
        <v>-3</v>
      </c>
      <c r="T46" s="125"/>
      <c r="U46" s="128"/>
      <c r="V46" s="132"/>
      <c r="W46" s="99"/>
      <c r="X46" s="134"/>
      <c r="Y46" s="125">
        <f t="shared" ref="Y46:Z46" si="46">J46</f>
        <v>46286</v>
      </c>
      <c r="Z46" s="128">
        <f t="shared" si="46"/>
        <v>0.59375</v>
      </c>
      <c r="AA46" s="132"/>
      <c r="AB46" s="99"/>
      <c r="AC46" s="146">
        <f t="shared" si="10"/>
        <v>46286</v>
      </c>
      <c r="AD46" s="147">
        <f t="shared" si="11"/>
        <v>0.59375</v>
      </c>
      <c r="AE46" s="148" t="s">
        <v>86</v>
      </c>
      <c r="AF46" s="124"/>
    </row>
    <row r="47">
      <c r="A47" s="122"/>
      <c r="B47" s="165" t="s">
        <v>146</v>
      </c>
      <c r="C47" s="129" t="s">
        <v>147</v>
      </c>
      <c r="D47" s="129" t="s">
        <v>139</v>
      </c>
      <c r="E47" s="129" t="s">
        <v>27</v>
      </c>
      <c r="F47" s="126" t="s">
        <v>42</v>
      </c>
      <c r="G47" s="131"/>
      <c r="H47" s="134">
        <f t="shared" si="2"/>
        <v>46281</v>
      </c>
      <c r="I47" s="120">
        <f t="shared" si="3"/>
        <v>46281</v>
      </c>
      <c r="J47" s="160">
        <v>46284.0</v>
      </c>
      <c r="K47" s="163">
        <v>0.46875</v>
      </c>
      <c r="L47" s="157">
        <v>12.0</v>
      </c>
      <c r="M47" s="132" t="s">
        <v>23</v>
      </c>
      <c r="N47" s="134">
        <f t="shared" si="4"/>
        <v>46274</v>
      </c>
      <c r="O47" s="125">
        <f t="shared" si="5"/>
        <v>46277</v>
      </c>
      <c r="P47" s="128">
        <f t="shared" si="6"/>
        <v>0.46875</v>
      </c>
      <c r="Q47" s="132" t="s">
        <v>30</v>
      </c>
      <c r="R47" s="139">
        <f t="shared" si="7"/>
        <v>12</v>
      </c>
      <c r="S47" s="134">
        <f t="shared" si="8"/>
        <v>-3</v>
      </c>
      <c r="T47" s="125"/>
      <c r="U47" s="128"/>
      <c r="V47" s="132"/>
      <c r="W47" s="99"/>
      <c r="X47" s="134"/>
      <c r="Y47" s="125">
        <f t="shared" ref="Y47:Z47" si="47">J47</f>
        <v>46284</v>
      </c>
      <c r="Z47" s="128">
        <f t="shared" si="47"/>
        <v>0.46875</v>
      </c>
      <c r="AA47" s="132"/>
      <c r="AB47" s="99"/>
      <c r="AC47" s="146">
        <f t="shared" si="10"/>
        <v>46284</v>
      </c>
      <c r="AD47" s="147">
        <f t="shared" si="11"/>
        <v>0.46875</v>
      </c>
      <c r="AE47" s="148" t="s">
        <v>39</v>
      </c>
      <c r="AF47" s="124"/>
    </row>
    <row r="48">
      <c r="A48" s="122"/>
      <c r="B48" s="165" t="s">
        <v>148</v>
      </c>
      <c r="C48" s="129" t="s">
        <v>149</v>
      </c>
      <c r="D48" s="129" t="s">
        <v>139</v>
      </c>
      <c r="E48" s="129" t="s">
        <v>27</v>
      </c>
      <c r="F48" s="126" t="s">
        <v>136</v>
      </c>
      <c r="G48" s="131"/>
      <c r="H48" s="134">
        <f t="shared" si="2"/>
        <v>46279</v>
      </c>
      <c r="I48" s="120">
        <f t="shared" si="3"/>
        <v>46279</v>
      </c>
      <c r="J48" s="160">
        <v>46282.0</v>
      </c>
      <c r="K48" s="161">
        <v>0.71875</v>
      </c>
      <c r="L48" s="157">
        <v>12.0</v>
      </c>
      <c r="M48" s="132" t="s">
        <v>23</v>
      </c>
      <c r="N48" s="134">
        <f t="shared" si="4"/>
        <v>46272</v>
      </c>
      <c r="O48" s="125">
        <f t="shared" si="5"/>
        <v>46275</v>
      </c>
      <c r="P48" s="128">
        <f t="shared" si="6"/>
        <v>0.71875</v>
      </c>
      <c r="Q48" s="132" t="s">
        <v>30</v>
      </c>
      <c r="R48" s="139">
        <f t="shared" si="7"/>
        <v>12</v>
      </c>
      <c r="S48" s="134">
        <f t="shared" si="8"/>
        <v>-3</v>
      </c>
      <c r="T48" s="125"/>
      <c r="U48" s="128"/>
      <c r="V48" s="132"/>
      <c r="W48" s="99"/>
      <c r="X48" s="134"/>
      <c r="Y48" s="125">
        <f t="shared" ref="Y48:Z48" si="48">J48</f>
        <v>46282</v>
      </c>
      <c r="Z48" s="128">
        <f t="shared" si="48"/>
        <v>0.71875</v>
      </c>
      <c r="AA48" s="132"/>
      <c r="AB48" s="99"/>
      <c r="AC48" s="146">
        <f t="shared" si="10"/>
        <v>46282</v>
      </c>
      <c r="AD48" s="147">
        <f t="shared" si="11"/>
        <v>0.71875</v>
      </c>
      <c r="AE48" s="148" t="s">
        <v>102</v>
      </c>
      <c r="AF48" s="124"/>
    </row>
    <row r="49">
      <c r="A49" s="122"/>
      <c r="B49" s="165" t="s">
        <v>150</v>
      </c>
      <c r="C49" s="129" t="s">
        <v>151</v>
      </c>
      <c r="D49" s="129" t="s">
        <v>139</v>
      </c>
      <c r="E49" s="129" t="s">
        <v>27</v>
      </c>
      <c r="F49" s="126" t="s">
        <v>152</v>
      </c>
      <c r="G49" s="131"/>
      <c r="H49" s="134">
        <f t="shared" si="2"/>
        <v>46290</v>
      </c>
      <c r="I49" s="120">
        <f t="shared" si="3"/>
        <v>46290</v>
      </c>
      <c r="J49" s="160">
        <v>46293.0</v>
      </c>
      <c r="K49" s="163">
        <v>0.65625</v>
      </c>
      <c r="L49" s="157">
        <v>12.0</v>
      </c>
      <c r="M49" s="132" t="s">
        <v>23</v>
      </c>
      <c r="N49" s="134">
        <f t="shared" si="4"/>
        <v>46283</v>
      </c>
      <c r="O49" s="125">
        <f t="shared" si="5"/>
        <v>46286</v>
      </c>
      <c r="P49" s="128">
        <f t="shared" si="6"/>
        <v>0.65625</v>
      </c>
      <c r="Q49" s="132" t="s">
        <v>30</v>
      </c>
      <c r="R49" s="139">
        <f t="shared" si="7"/>
        <v>12</v>
      </c>
      <c r="S49" s="134">
        <f t="shared" si="8"/>
        <v>-3</v>
      </c>
      <c r="T49" s="125"/>
      <c r="U49" s="128"/>
      <c r="V49" s="132"/>
      <c r="W49" s="99"/>
      <c r="X49" s="134"/>
      <c r="Y49" s="125">
        <f t="shared" ref="Y49:Z49" si="49">J49</f>
        <v>46293</v>
      </c>
      <c r="Z49" s="128">
        <f t="shared" si="49"/>
        <v>0.65625</v>
      </c>
      <c r="AA49" s="132"/>
      <c r="AB49" s="99"/>
      <c r="AC49" s="146">
        <f t="shared" si="10"/>
        <v>46293</v>
      </c>
      <c r="AD49" s="147">
        <f t="shared" si="11"/>
        <v>0.65625</v>
      </c>
      <c r="AE49" s="148" t="s">
        <v>65</v>
      </c>
      <c r="AF49" s="124"/>
    </row>
    <row r="50">
      <c r="A50" s="122"/>
      <c r="B50" s="165" t="s">
        <v>153</v>
      </c>
      <c r="C50" s="129" t="s">
        <v>154</v>
      </c>
      <c r="D50" s="129" t="s">
        <v>155</v>
      </c>
      <c r="E50" s="129" t="s">
        <v>27</v>
      </c>
      <c r="F50" s="126" t="s">
        <v>156</v>
      </c>
      <c r="G50" s="131"/>
      <c r="H50" s="134">
        <f t="shared" si="2"/>
        <v>46285</v>
      </c>
      <c r="I50" s="120">
        <f t="shared" si="3"/>
        <v>46285</v>
      </c>
      <c r="J50" s="160">
        <v>46288.0</v>
      </c>
      <c r="K50" s="161">
        <v>0.71875</v>
      </c>
      <c r="L50" s="157">
        <v>7.0</v>
      </c>
      <c r="M50" s="132" t="s">
        <v>23</v>
      </c>
      <c r="N50" s="134">
        <f t="shared" si="4"/>
        <v>46278</v>
      </c>
      <c r="O50" s="125">
        <f t="shared" si="5"/>
        <v>46281</v>
      </c>
      <c r="P50" s="128">
        <f t="shared" si="6"/>
        <v>0.71875</v>
      </c>
      <c r="Q50" s="132" t="s">
        <v>30</v>
      </c>
      <c r="R50" s="139">
        <f t="shared" si="7"/>
        <v>7</v>
      </c>
      <c r="S50" s="134">
        <f t="shared" si="8"/>
        <v>-3</v>
      </c>
      <c r="T50" s="125"/>
      <c r="U50" s="128"/>
      <c r="V50" s="132"/>
      <c r="W50" s="99"/>
      <c r="X50" s="134"/>
      <c r="Y50" s="125">
        <f t="shared" ref="Y50:Z50" si="50">J50</f>
        <v>46288</v>
      </c>
      <c r="Z50" s="128">
        <f t="shared" si="50"/>
        <v>0.71875</v>
      </c>
      <c r="AA50" s="132"/>
      <c r="AB50" s="99"/>
      <c r="AC50" s="146">
        <f t="shared" si="10"/>
        <v>46288</v>
      </c>
      <c r="AD50" s="147">
        <f t="shared" si="11"/>
        <v>0.71875</v>
      </c>
      <c r="AE50" s="148" t="s">
        <v>31</v>
      </c>
      <c r="AF50" s="124"/>
    </row>
    <row r="51">
      <c r="A51" s="122"/>
      <c r="B51" s="165" t="s">
        <v>157</v>
      </c>
      <c r="C51" s="129" t="s">
        <v>158</v>
      </c>
      <c r="D51" s="129" t="s">
        <v>155</v>
      </c>
      <c r="E51" s="129" t="s">
        <v>27</v>
      </c>
      <c r="F51" s="126" t="s">
        <v>159</v>
      </c>
      <c r="G51" s="131"/>
      <c r="H51" s="134">
        <f t="shared" si="2"/>
        <v>46283</v>
      </c>
      <c r="I51" s="120">
        <f t="shared" si="3"/>
        <v>46283</v>
      </c>
      <c r="J51" s="160">
        <v>46286.0</v>
      </c>
      <c r="K51" s="163">
        <v>0.78125</v>
      </c>
      <c r="L51" s="157">
        <v>7.0</v>
      </c>
      <c r="M51" s="132" t="s">
        <v>23</v>
      </c>
      <c r="N51" s="134">
        <f t="shared" si="4"/>
        <v>46276</v>
      </c>
      <c r="O51" s="125">
        <f t="shared" si="5"/>
        <v>46279</v>
      </c>
      <c r="P51" s="128">
        <f t="shared" si="6"/>
        <v>0.78125</v>
      </c>
      <c r="Q51" s="132" t="s">
        <v>30</v>
      </c>
      <c r="R51" s="139">
        <f t="shared" si="7"/>
        <v>7</v>
      </c>
      <c r="S51" s="134">
        <f t="shared" si="8"/>
        <v>-3</v>
      </c>
      <c r="T51" s="125"/>
      <c r="U51" s="128"/>
      <c r="V51" s="132"/>
      <c r="W51" s="99"/>
      <c r="X51" s="134"/>
      <c r="Y51" s="125">
        <f t="shared" ref="Y51:Z51" si="51">J51</f>
        <v>46286</v>
      </c>
      <c r="Z51" s="128">
        <f t="shared" si="51"/>
        <v>0.78125</v>
      </c>
      <c r="AA51" s="132"/>
      <c r="AB51" s="99"/>
      <c r="AC51" s="146">
        <f t="shared" si="10"/>
        <v>46286</v>
      </c>
      <c r="AD51" s="147">
        <f t="shared" si="11"/>
        <v>0.78125</v>
      </c>
      <c r="AE51" s="148" t="s">
        <v>62</v>
      </c>
      <c r="AF51" s="124"/>
    </row>
    <row r="52">
      <c r="A52" s="122"/>
      <c r="B52" s="165" t="s">
        <v>160</v>
      </c>
      <c r="C52" s="129" t="s">
        <v>161</v>
      </c>
      <c r="D52" s="129" t="s">
        <v>155</v>
      </c>
      <c r="E52" s="129" t="s">
        <v>27</v>
      </c>
      <c r="F52" s="126" t="s">
        <v>85</v>
      </c>
      <c r="G52" s="131"/>
      <c r="H52" s="134">
        <f t="shared" si="2"/>
        <v>46287</v>
      </c>
      <c r="I52" s="120">
        <f t="shared" si="3"/>
        <v>46287</v>
      </c>
      <c r="J52" s="160">
        <v>46290.0</v>
      </c>
      <c r="K52" s="161">
        <v>0.71875</v>
      </c>
      <c r="L52" s="157">
        <v>7.0</v>
      </c>
      <c r="M52" s="132" t="s">
        <v>23</v>
      </c>
      <c r="N52" s="134">
        <f t="shared" si="4"/>
        <v>46280</v>
      </c>
      <c r="O52" s="125">
        <f t="shared" si="5"/>
        <v>46283</v>
      </c>
      <c r="P52" s="128">
        <f t="shared" si="6"/>
        <v>0.71875</v>
      </c>
      <c r="Q52" s="132" t="s">
        <v>30</v>
      </c>
      <c r="R52" s="139">
        <f t="shared" si="7"/>
        <v>7</v>
      </c>
      <c r="S52" s="134">
        <f t="shared" si="8"/>
        <v>-3</v>
      </c>
      <c r="T52" s="125"/>
      <c r="U52" s="128"/>
      <c r="V52" s="132"/>
      <c r="W52" s="99"/>
      <c r="X52" s="134"/>
      <c r="Y52" s="125">
        <f t="shared" ref="Y52:Z52" si="52">J52</f>
        <v>46290</v>
      </c>
      <c r="Z52" s="128">
        <f t="shared" si="52"/>
        <v>0.71875</v>
      </c>
      <c r="AA52" s="132"/>
      <c r="AB52" s="99"/>
      <c r="AC52" s="146">
        <f t="shared" si="10"/>
        <v>46290</v>
      </c>
      <c r="AD52" s="147">
        <f t="shared" si="11"/>
        <v>0.71875</v>
      </c>
      <c r="AE52" s="148" t="s">
        <v>86</v>
      </c>
      <c r="AF52" s="124"/>
    </row>
    <row r="53">
      <c r="A53" s="122"/>
      <c r="B53" s="165" t="s">
        <v>162</v>
      </c>
      <c r="C53" s="129" t="s">
        <v>163</v>
      </c>
      <c r="D53" s="129" t="s">
        <v>155</v>
      </c>
      <c r="E53" s="129" t="s">
        <v>27</v>
      </c>
      <c r="F53" s="126" t="s">
        <v>50</v>
      </c>
      <c r="G53" s="131"/>
      <c r="H53" s="134">
        <f t="shared" si="2"/>
        <v>46277</v>
      </c>
      <c r="I53" s="120">
        <f t="shared" si="3"/>
        <v>46277</v>
      </c>
      <c r="J53" s="160">
        <v>46280.0</v>
      </c>
      <c r="K53" s="163">
        <v>0.59375</v>
      </c>
      <c r="L53" s="157">
        <v>7.0</v>
      </c>
      <c r="M53" s="132" t="s">
        <v>23</v>
      </c>
      <c r="N53" s="134">
        <f t="shared" si="4"/>
        <v>46270</v>
      </c>
      <c r="O53" s="125">
        <f t="shared" si="5"/>
        <v>46273</v>
      </c>
      <c r="P53" s="128">
        <f t="shared" si="6"/>
        <v>0.59375</v>
      </c>
      <c r="Q53" s="132" t="s">
        <v>30</v>
      </c>
      <c r="R53" s="139">
        <f t="shared" si="7"/>
        <v>7</v>
      </c>
      <c r="S53" s="134">
        <f t="shared" si="8"/>
        <v>-3</v>
      </c>
      <c r="T53" s="125"/>
      <c r="U53" s="128"/>
      <c r="V53" s="132"/>
      <c r="W53" s="99"/>
      <c r="X53" s="134"/>
      <c r="Y53" s="125">
        <f t="shared" ref="Y53:Z53" si="53">J53</f>
        <v>46280</v>
      </c>
      <c r="Z53" s="128">
        <f t="shared" si="53"/>
        <v>0.59375</v>
      </c>
      <c r="AA53" s="132"/>
      <c r="AB53" s="99"/>
      <c r="AC53" s="146">
        <f t="shared" si="10"/>
        <v>46280</v>
      </c>
      <c r="AD53" s="147">
        <f t="shared" si="11"/>
        <v>0.59375</v>
      </c>
      <c r="AE53" s="148" t="s">
        <v>86</v>
      </c>
      <c r="AF53" s="124"/>
    </row>
    <row r="54">
      <c r="A54" s="122"/>
      <c r="B54" s="165" t="s">
        <v>164</v>
      </c>
      <c r="C54" s="129" t="s">
        <v>165</v>
      </c>
      <c r="D54" s="129" t="s">
        <v>155</v>
      </c>
      <c r="E54" s="129" t="s">
        <v>27</v>
      </c>
      <c r="F54" s="126" t="s">
        <v>142</v>
      </c>
      <c r="G54" s="131"/>
      <c r="H54" s="134">
        <f t="shared" si="2"/>
        <v>46279</v>
      </c>
      <c r="I54" s="120">
        <f t="shared" si="3"/>
        <v>46279</v>
      </c>
      <c r="J54" s="160">
        <v>46282.0</v>
      </c>
      <c r="K54" s="161">
        <v>0.59375</v>
      </c>
      <c r="L54" s="157">
        <v>7.0</v>
      </c>
      <c r="M54" s="132" t="s">
        <v>23</v>
      </c>
      <c r="N54" s="134">
        <f t="shared" si="4"/>
        <v>46272</v>
      </c>
      <c r="O54" s="125">
        <f t="shared" si="5"/>
        <v>46275</v>
      </c>
      <c r="P54" s="128">
        <f t="shared" si="6"/>
        <v>0.59375</v>
      </c>
      <c r="Q54" s="132" t="s">
        <v>30</v>
      </c>
      <c r="R54" s="139">
        <f t="shared" si="7"/>
        <v>7</v>
      </c>
      <c r="S54" s="134">
        <f t="shared" si="8"/>
        <v>-3</v>
      </c>
      <c r="T54" s="125"/>
      <c r="U54" s="128"/>
      <c r="V54" s="132"/>
      <c r="W54" s="99"/>
      <c r="X54" s="134"/>
      <c r="Y54" s="125">
        <f t="shared" ref="Y54:Z54" si="54">J54</f>
        <v>46282</v>
      </c>
      <c r="Z54" s="128">
        <f t="shared" si="54"/>
        <v>0.59375</v>
      </c>
      <c r="AA54" s="132"/>
      <c r="AB54" s="99"/>
      <c r="AC54" s="146">
        <f t="shared" si="10"/>
        <v>46282</v>
      </c>
      <c r="AD54" s="147">
        <f t="shared" si="11"/>
        <v>0.59375</v>
      </c>
      <c r="AE54" s="148" t="s">
        <v>86</v>
      </c>
      <c r="AF54" s="124"/>
    </row>
    <row r="55">
      <c r="A55" s="122"/>
      <c r="B55" s="165" t="s">
        <v>166</v>
      </c>
      <c r="C55" s="129" t="s">
        <v>167</v>
      </c>
      <c r="D55" s="129" t="s">
        <v>155</v>
      </c>
      <c r="E55" s="129" t="s">
        <v>27</v>
      </c>
      <c r="F55" s="126" t="s">
        <v>125</v>
      </c>
      <c r="G55" s="131"/>
      <c r="H55" s="134">
        <f t="shared" si="2"/>
        <v>46290</v>
      </c>
      <c r="I55" s="120">
        <f t="shared" si="3"/>
        <v>46290</v>
      </c>
      <c r="J55" s="160">
        <v>46293.0</v>
      </c>
      <c r="K55" s="163">
        <v>0.65625</v>
      </c>
      <c r="L55" s="157">
        <v>7.0</v>
      </c>
      <c r="M55" s="132" t="s">
        <v>23</v>
      </c>
      <c r="N55" s="134">
        <f t="shared" si="4"/>
        <v>46283</v>
      </c>
      <c r="O55" s="125">
        <f t="shared" si="5"/>
        <v>46286</v>
      </c>
      <c r="P55" s="128">
        <f t="shared" si="6"/>
        <v>0.65625</v>
      </c>
      <c r="Q55" s="132" t="s">
        <v>30</v>
      </c>
      <c r="R55" s="139">
        <f t="shared" si="7"/>
        <v>7</v>
      </c>
      <c r="S55" s="134">
        <f t="shared" si="8"/>
        <v>-3</v>
      </c>
      <c r="T55" s="125"/>
      <c r="U55" s="128"/>
      <c r="V55" s="132"/>
      <c r="W55" s="99"/>
      <c r="X55" s="134"/>
      <c r="Y55" s="125">
        <f t="shared" ref="Y55:Z55" si="55">J55</f>
        <v>46293</v>
      </c>
      <c r="Z55" s="128">
        <f t="shared" si="55"/>
        <v>0.65625</v>
      </c>
      <c r="AA55" s="132"/>
      <c r="AB55" s="99"/>
      <c r="AC55" s="146">
        <f t="shared" si="10"/>
        <v>46293</v>
      </c>
      <c r="AD55" s="147">
        <f t="shared" si="11"/>
        <v>0.65625</v>
      </c>
      <c r="AE55" s="148" t="s">
        <v>43</v>
      </c>
      <c r="AF55" s="124"/>
    </row>
    <row r="56">
      <c r="A56" s="122"/>
      <c r="B56" s="165" t="s">
        <v>168</v>
      </c>
      <c r="C56" s="129" t="s">
        <v>169</v>
      </c>
      <c r="D56" s="129" t="s">
        <v>170</v>
      </c>
      <c r="E56" s="129" t="s">
        <v>27</v>
      </c>
      <c r="F56" s="126" t="s">
        <v>125</v>
      </c>
      <c r="G56" s="131"/>
      <c r="H56" s="134">
        <f t="shared" si="2"/>
        <v>46283</v>
      </c>
      <c r="I56" s="120">
        <f t="shared" si="3"/>
        <v>46283</v>
      </c>
      <c r="J56" s="160">
        <v>46286.0</v>
      </c>
      <c r="K56" s="161">
        <v>0.53125</v>
      </c>
      <c r="L56" s="157">
        <v>10.0</v>
      </c>
      <c r="M56" s="132" t="s">
        <v>23</v>
      </c>
      <c r="N56" s="134">
        <f t="shared" si="4"/>
        <v>46276</v>
      </c>
      <c r="O56" s="125">
        <f t="shared" si="5"/>
        <v>46279</v>
      </c>
      <c r="P56" s="128">
        <f t="shared" si="6"/>
        <v>0.53125</v>
      </c>
      <c r="Q56" s="132" t="s">
        <v>30</v>
      </c>
      <c r="R56" s="139">
        <f t="shared" si="7"/>
        <v>10</v>
      </c>
      <c r="S56" s="134">
        <f t="shared" si="8"/>
        <v>-3</v>
      </c>
      <c r="T56" s="125"/>
      <c r="U56" s="128"/>
      <c r="V56" s="132"/>
      <c r="W56" s="99"/>
      <c r="X56" s="134"/>
      <c r="Y56" s="125">
        <f t="shared" ref="Y56:Z56" si="56">J56</f>
        <v>46286</v>
      </c>
      <c r="Z56" s="128">
        <f t="shared" si="56"/>
        <v>0.53125</v>
      </c>
      <c r="AA56" s="132"/>
      <c r="AB56" s="99"/>
      <c r="AC56" s="146">
        <f t="shared" si="10"/>
        <v>46286</v>
      </c>
      <c r="AD56" s="147">
        <f t="shared" si="11"/>
        <v>0.53125</v>
      </c>
      <c r="AE56" s="148" t="s">
        <v>143</v>
      </c>
      <c r="AF56" s="124"/>
    </row>
    <row r="57">
      <c r="A57" s="122"/>
      <c r="B57" s="165" t="s">
        <v>171</v>
      </c>
      <c r="C57" s="129" t="s">
        <v>172</v>
      </c>
      <c r="D57" s="129" t="s">
        <v>170</v>
      </c>
      <c r="E57" s="129" t="s">
        <v>27</v>
      </c>
      <c r="F57" s="126" t="s">
        <v>42</v>
      </c>
      <c r="G57" s="131"/>
      <c r="H57" s="134">
        <f t="shared" si="2"/>
        <v>46277</v>
      </c>
      <c r="I57" s="120">
        <f t="shared" si="3"/>
        <v>46277</v>
      </c>
      <c r="J57" s="160">
        <v>46280.0</v>
      </c>
      <c r="K57" s="163">
        <v>0.59375</v>
      </c>
      <c r="L57" s="157">
        <v>10.0</v>
      </c>
      <c r="M57" s="132" t="s">
        <v>23</v>
      </c>
      <c r="N57" s="134">
        <f t="shared" si="4"/>
        <v>46270</v>
      </c>
      <c r="O57" s="125">
        <f t="shared" si="5"/>
        <v>46273</v>
      </c>
      <c r="P57" s="128">
        <f t="shared" si="6"/>
        <v>0.59375</v>
      </c>
      <c r="Q57" s="132" t="s">
        <v>30</v>
      </c>
      <c r="R57" s="139">
        <f t="shared" si="7"/>
        <v>10</v>
      </c>
      <c r="S57" s="134">
        <f t="shared" si="8"/>
        <v>-3</v>
      </c>
      <c r="T57" s="125"/>
      <c r="U57" s="128"/>
      <c r="V57" s="132"/>
      <c r="W57" s="99"/>
      <c r="X57" s="134"/>
      <c r="Y57" s="125">
        <f t="shared" ref="Y57:Z57" si="57">J57</f>
        <v>46280</v>
      </c>
      <c r="Z57" s="128">
        <f t="shared" si="57"/>
        <v>0.59375</v>
      </c>
      <c r="AA57" s="132"/>
      <c r="AB57" s="99"/>
      <c r="AC57" s="146">
        <f t="shared" si="10"/>
        <v>46280</v>
      </c>
      <c r="AD57" s="147">
        <f t="shared" si="11"/>
        <v>0.59375</v>
      </c>
      <c r="AE57" s="148" t="s">
        <v>31</v>
      </c>
      <c r="AF57" s="124"/>
    </row>
    <row r="58">
      <c r="A58" s="122"/>
      <c r="B58" s="165" t="s">
        <v>174</v>
      </c>
      <c r="C58" s="129" t="s">
        <v>175</v>
      </c>
      <c r="D58" s="129" t="s">
        <v>170</v>
      </c>
      <c r="E58" s="129" t="s">
        <v>27</v>
      </c>
      <c r="F58" s="164" t="s">
        <v>152</v>
      </c>
      <c r="G58" s="131"/>
      <c r="H58" s="134">
        <f t="shared" si="2"/>
        <v>46279</v>
      </c>
      <c r="I58" s="120">
        <f t="shared" si="3"/>
        <v>46279</v>
      </c>
      <c r="J58" s="160">
        <v>46282.0</v>
      </c>
      <c r="K58" s="161">
        <v>0.59375</v>
      </c>
      <c r="L58" s="157">
        <v>10.0</v>
      </c>
      <c r="M58" s="132" t="s">
        <v>23</v>
      </c>
      <c r="N58" s="134">
        <f t="shared" si="4"/>
        <v>46272</v>
      </c>
      <c r="O58" s="125">
        <f t="shared" si="5"/>
        <v>46275</v>
      </c>
      <c r="P58" s="128">
        <f t="shared" si="6"/>
        <v>0.59375</v>
      </c>
      <c r="Q58" s="132" t="s">
        <v>30</v>
      </c>
      <c r="R58" s="139">
        <f t="shared" si="7"/>
        <v>10</v>
      </c>
      <c r="S58" s="134">
        <f t="shared" si="8"/>
        <v>-3</v>
      </c>
      <c r="T58" s="125"/>
      <c r="U58" s="128"/>
      <c r="V58" s="132"/>
      <c r="W58" s="99"/>
      <c r="X58" s="134"/>
      <c r="Y58" s="125">
        <f t="shared" ref="Y58:Z58" si="58">J58</f>
        <v>46282</v>
      </c>
      <c r="Z58" s="128">
        <f t="shared" si="58"/>
        <v>0.59375</v>
      </c>
      <c r="AA58" s="132"/>
      <c r="AB58" s="99"/>
      <c r="AC58" s="146">
        <f t="shared" si="10"/>
        <v>46282</v>
      </c>
      <c r="AD58" s="147">
        <f t="shared" si="11"/>
        <v>0.59375</v>
      </c>
      <c r="AE58" s="148" t="s">
        <v>114</v>
      </c>
      <c r="AF58" s="124"/>
    </row>
    <row r="59">
      <c r="A59" s="122"/>
      <c r="B59" s="165" t="s">
        <v>176</v>
      </c>
      <c r="C59" s="129" t="s">
        <v>177</v>
      </c>
      <c r="D59" s="129" t="s">
        <v>170</v>
      </c>
      <c r="E59" s="129" t="s">
        <v>27</v>
      </c>
      <c r="F59" s="126" t="s">
        <v>136</v>
      </c>
      <c r="G59" s="131"/>
      <c r="H59" s="134">
        <f t="shared" si="2"/>
        <v>46287</v>
      </c>
      <c r="I59" s="120">
        <f t="shared" si="3"/>
        <v>46287</v>
      </c>
      <c r="J59" s="160">
        <v>46290.0</v>
      </c>
      <c r="K59" s="161">
        <v>0.71875</v>
      </c>
      <c r="L59" s="157">
        <v>10.0</v>
      </c>
      <c r="M59" s="132" t="s">
        <v>23</v>
      </c>
      <c r="N59" s="134">
        <f t="shared" si="4"/>
        <v>46280</v>
      </c>
      <c r="O59" s="125">
        <f t="shared" si="5"/>
        <v>46283</v>
      </c>
      <c r="P59" s="128">
        <f t="shared" si="6"/>
        <v>0.71875</v>
      </c>
      <c r="Q59" s="132" t="s">
        <v>30</v>
      </c>
      <c r="R59" s="139">
        <f t="shared" si="7"/>
        <v>10</v>
      </c>
      <c r="S59" s="134">
        <f t="shared" si="8"/>
        <v>-3</v>
      </c>
      <c r="T59" s="125"/>
      <c r="U59" s="128"/>
      <c r="V59" s="132"/>
      <c r="W59" s="99"/>
      <c r="X59" s="134"/>
      <c r="Y59" s="125">
        <f t="shared" ref="Y59:Z59" si="59">J59</f>
        <v>46290</v>
      </c>
      <c r="Z59" s="128">
        <f t="shared" si="59"/>
        <v>0.71875</v>
      </c>
      <c r="AA59" s="132"/>
      <c r="AB59" s="99"/>
      <c r="AC59" s="146">
        <f t="shared" si="10"/>
        <v>46290</v>
      </c>
      <c r="AD59" s="147">
        <f t="shared" si="11"/>
        <v>0.71875</v>
      </c>
      <c r="AE59" s="148" t="s">
        <v>143</v>
      </c>
      <c r="AF59" s="124"/>
    </row>
  </sheetData>
  <mergeCells count="6">
    <mergeCell ref="B2:AE2"/>
    <mergeCell ref="B3:AE3"/>
    <mergeCell ref="B4:AE4"/>
    <mergeCell ref="B5:AE5"/>
    <mergeCell ref="B6:AE6"/>
    <mergeCell ref="B7:AE7"/>
  </mergeCells>
  <dataValidations>
    <dataValidation type="list" allowBlank="1" showErrorMessage="1" sqref="M10:M59">
      <formula1>"Si,No"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28.88"/>
    <col customWidth="1" min="3" max="3" width="10.0"/>
    <col customWidth="1" min="4" max="4" width="4.63"/>
    <col customWidth="1" min="5" max="5" width="5.0"/>
    <col customWidth="1" min="6" max="7" width="28.88"/>
    <col customWidth="1" min="8" max="8" width="11.88"/>
    <col customWidth="1" min="9" max="10" width="11.13"/>
    <col customWidth="1" min="11" max="11" width="5.38"/>
    <col customWidth="1" min="12" max="12" width="5.25"/>
    <col customWidth="1" min="13" max="13" width="8.13"/>
    <col customWidth="1" min="14" max="14" width="11.88"/>
    <col customWidth="1" min="15" max="15" width="11.13"/>
    <col customWidth="1" min="16" max="16" width="5.38"/>
    <col customWidth="1" min="17" max="17" width="6.88"/>
    <col customWidth="1" min="18" max="18" width="5.25"/>
    <col customWidth="1" min="19" max="19" width="11.88"/>
    <col customWidth="1" min="20" max="20" width="11.13"/>
    <col customWidth="1" min="21" max="21" width="5.38"/>
    <col customWidth="1" min="22" max="22" width="6.88"/>
    <col customWidth="1" min="23" max="23" width="5.25"/>
    <col customWidth="1" min="24" max="24" width="11.88"/>
    <col customWidth="1" min="25" max="25" width="11.13"/>
    <col customWidth="1" min="26" max="26" width="5.38"/>
    <col customWidth="1" min="27" max="27" width="6.88"/>
    <col customWidth="1" min="28" max="28" width="5.25"/>
    <col customWidth="1" min="29" max="29" width="11.13"/>
    <col customWidth="1" min="30" max="30" width="5.38"/>
    <col customWidth="1" min="31" max="31" width="5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>
      <c r="A3" s="8"/>
      <c r="B3" s="11" t="str">
        <f>'1° Parcial'!B3</f>
        <v>UNIVERSIDAD TÉCNICA PRIVADA COSMOS</v>
      </c>
      <c r="AE3" s="1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>
      <c r="A4" s="1"/>
      <c r="B4" s="14" t="str">
        <f>'1° Parcial'!B4</f>
        <v>CARRERA DE INGENIERÍA DE SONIDO</v>
      </c>
      <c r="AE4" s="1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>
      <c r="A5" s="13"/>
      <c r="B5" s="17" t="str">
        <f>'1° Parcial'!B5</f>
        <v>SEDE COCHABAMBA</v>
      </c>
      <c r="AE5" s="12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>
      <c r="A6" s="18"/>
      <c r="B6" s="19" t="s">
        <v>6</v>
      </c>
      <c r="AE6" s="12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>
      <c r="A7" s="20"/>
      <c r="B7" s="21" t="s">
        <v>5</v>
      </c>
      <c r="AE7" s="12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</row>
    <row r="8">
      <c r="A8" s="23"/>
      <c r="B8" s="34"/>
      <c r="C8" s="37"/>
      <c r="D8" s="37"/>
      <c r="E8" s="39"/>
      <c r="F8" s="40"/>
      <c r="G8" s="39"/>
      <c r="H8" s="43"/>
      <c r="I8" s="43"/>
      <c r="J8" s="43"/>
      <c r="K8" s="44"/>
      <c r="L8" s="44"/>
      <c r="M8" s="39"/>
      <c r="N8" s="43"/>
      <c r="O8" s="43"/>
      <c r="P8" s="39"/>
      <c r="Q8" s="65"/>
      <c r="R8" s="39"/>
      <c r="S8" s="43"/>
      <c r="T8" s="43"/>
      <c r="U8" s="39"/>
      <c r="V8" s="39"/>
      <c r="W8" s="39"/>
      <c r="X8" s="43"/>
      <c r="Y8" s="43"/>
      <c r="Z8" s="39"/>
      <c r="AA8" s="39"/>
      <c r="AB8" s="39"/>
      <c r="AC8" s="43"/>
      <c r="AD8" s="39"/>
      <c r="AE8" s="71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>
      <c r="A9" s="41"/>
      <c r="B9" s="77" t="s">
        <v>7</v>
      </c>
      <c r="C9" s="79" t="s">
        <v>8</v>
      </c>
      <c r="D9" s="81" t="s">
        <v>9</v>
      </c>
      <c r="E9" s="81" t="s">
        <v>10</v>
      </c>
      <c r="F9" s="88" t="s">
        <v>11</v>
      </c>
      <c r="G9" s="88" t="s">
        <v>12</v>
      </c>
      <c r="H9" s="92" t="s">
        <v>14</v>
      </c>
      <c r="I9" s="94" t="s">
        <v>13</v>
      </c>
      <c r="J9" s="94" t="s">
        <v>15</v>
      </c>
      <c r="K9" s="98" t="s">
        <v>16</v>
      </c>
      <c r="L9" s="101" t="s">
        <v>17</v>
      </c>
      <c r="M9" s="104" t="s">
        <v>18</v>
      </c>
      <c r="N9" s="105" t="s">
        <v>20</v>
      </c>
      <c r="O9" s="109" t="s">
        <v>19</v>
      </c>
      <c r="P9" s="110" t="s">
        <v>16</v>
      </c>
      <c r="Q9" s="116" t="s">
        <v>10</v>
      </c>
      <c r="R9" s="116" t="s">
        <v>17</v>
      </c>
      <c r="S9" s="123" t="s">
        <v>20</v>
      </c>
      <c r="T9" s="127" t="s">
        <v>19</v>
      </c>
      <c r="U9" s="130" t="s">
        <v>16</v>
      </c>
      <c r="V9" s="133" t="s">
        <v>10</v>
      </c>
      <c r="W9" s="133" t="s">
        <v>17</v>
      </c>
      <c r="X9" s="135" t="s">
        <v>20</v>
      </c>
      <c r="Y9" s="136" t="s">
        <v>19</v>
      </c>
      <c r="Z9" s="140" t="s">
        <v>16</v>
      </c>
      <c r="AA9" s="141" t="s">
        <v>10</v>
      </c>
      <c r="AB9" s="141" t="s">
        <v>17</v>
      </c>
      <c r="AC9" s="142" t="s">
        <v>22</v>
      </c>
      <c r="AD9" s="143" t="s">
        <v>16</v>
      </c>
      <c r="AE9" s="144" t="s">
        <v>21</v>
      </c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</row>
    <row r="10">
      <c r="A10" s="90"/>
      <c r="B10" s="95" t="str">
        <f>'1° Parcial'!B10</f>
        <v>CALCULO I</v>
      </c>
      <c r="C10" s="97" t="str">
        <f>'1° Parcial'!C10</f>
        <v>SIS-111</v>
      </c>
      <c r="D10" s="100" t="str">
        <f>'1° Parcial'!D10</f>
        <v>1º </v>
      </c>
      <c r="E10" s="100" t="str">
        <f>'1° Parcial'!E10</f>
        <v>TA-01</v>
      </c>
      <c r="F10" s="103" t="str">
        <f>'1° Parcial'!F10</f>
        <v>JIMENA GIOVANNA ARNEZ MARTINEZ</v>
      </c>
      <c r="G10" s="106" t="str">
        <f>'1° Parcial'!G10</f>
        <v/>
      </c>
      <c r="H10" s="150">
        <f t="shared" ref="H10:H59" si="1">J10-3</f>
        <v>46343</v>
      </c>
      <c r="I10" s="115">
        <f t="shared" ref="I10:I59" si="2">J10-3</f>
        <v>46343</v>
      </c>
      <c r="J10" s="151">
        <f>'1° Parcial'!J10+(7*8)</f>
        <v>46346</v>
      </c>
      <c r="K10" s="118">
        <f>'1° Parcial'!K10</f>
        <v>0.46875</v>
      </c>
      <c r="L10" s="118">
        <f>'1° Parcial'!L10</f>
        <v>10</v>
      </c>
      <c r="M10" s="119" t="s">
        <v>23</v>
      </c>
      <c r="N10" s="150">
        <f t="shared" ref="N10:N59" si="3">O10-3</f>
        <v>46336</v>
      </c>
      <c r="O10" s="151">
        <f>'1° Parcial'!O10+(7*8)</f>
        <v>46339</v>
      </c>
      <c r="P10" s="118">
        <f>'1° Parcial'!P10</f>
        <v>0.46875</v>
      </c>
      <c r="Q10" s="118" t="str">
        <f>'1° Parcial'!Q10</f>
        <v>A</v>
      </c>
      <c r="R10" s="97"/>
      <c r="S10" s="150">
        <f t="shared" ref="S10:S59" si="4">T10-3</f>
        <v>53</v>
      </c>
      <c r="T10" s="151">
        <f>'1° Parcial'!T10+(7*8)</f>
        <v>56</v>
      </c>
      <c r="U10" s="118" t="str">
        <f>'1° Parcial'!U10</f>
        <v/>
      </c>
      <c r="V10" s="118" t="str">
        <f>'1° Parcial'!V10</f>
        <v/>
      </c>
      <c r="W10" s="97"/>
      <c r="X10" s="150">
        <f t="shared" ref="X10:X59" si="5">Y10-3</f>
        <v>46343</v>
      </c>
      <c r="Y10" s="151">
        <f>'1° Parcial'!Y10+(7*8)</f>
        <v>46346</v>
      </c>
      <c r="Z10" s="118">
        <f>'1° Parcial'!Z10</f>
        <v>0.46875</v>
      </c>
      <c r="AA10" s="118" t="str">
        <f>'1° Parcial'!AA10</f>
        <v/>
      </c>
      <c r="AB10" s="97"/>
      <c r="AC10" s="154">
        <f t="shared" ref="AC10:AC59" si="6">J10+3</f>
        <v>46349</v>
      </c>
      <c r="AD10" s="155"/>
      <c r="AE10" s="155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</row>
    <row r="11">
      <c r="A11" s="90"/>
      <c r="B11" s="95" t="str">
        <f>'1° Parcial'!B11</f>
        <v>FÍSICA I</v>
      </c>
      <c r="C11" s="97" t="str">
        <f>'1° Parcial'!C11</f>
        <v>SIS-112</v>
      </c>
      <c r="D11" s="100" t="str">
        <f>'1° Parcial'!D11</f>
        <v>1º </v>
      </c>
      <c r="E11" s="100" t="str">
        <f>'1° Parcial'!E11</f>
        <v>TA-01</v>
      </c>
      <c r="F11" s="103" t="str">
        <f>'1° Parcial'!F11</f>
        <v>XIMENA WENDY CALIZAYA PEREZ</v>
      </c>
      <c r="G11" s="106" t="str">
        <f>'1° Parcial'!G11</f>
        <v/>
      </c>
      <c r="H11" s="150">
        <f t="shared" si="1"/>
        <v>46346</v>
      </c>
      <c r="I11" s="115">
        <f t="shared" si="2"/>
        <v>46346</v>
      </c>
      <c r="J11" s="151">
        <f>'1° Parcial'!J11+(7*8)</f>
        <v>46349</v>
      </c>
      <c r="K11" s="118">
        <f>'1° Parcial'!K11</f>
        <v>0.40625</v>
      </c>
      <c r="L11" s="118">
        <f>'1° Parcial'!L11</f>
        <v>10</v>
      </c>
      <c r="M11" s="119" t="s">
        <v>23</v>
      </c>
      <c r="N11" s="150">
        <f t="shared" si="3"/>
        <v>46339</v>
      </c>
      <c r="O11" s="151">
        <f>'1° Parcial'!O11+(7*8)</f>
        <v>46342</v>
      </c>
      <c r="P11" s="118">
        <f>'1° Parcial'!P11</f>
        <v>0.40625</v>
      </c>
      <c r="Q11" s="118" t="str">
        <f>'1° Parcial'!Q11</f>
        <v>A</v>
      </c>
      <c r="R11" s="97"/>
      <c r="S11" s="150">
        <f t="shared" si="4"/>
        <v>53</v>
      </c>
      <c r="T11" s="151">
        <f>'1° Parcial'!T11+(7*8)</f>
        <v>56</v>
      </c>
      <c r="U11" s="118" t="str">
        <f>'1° Parcial'!U11</f>
        <v/>
      </c>
      <c r="V11" s="118" t="str">
        <f>'1° Parcial'!V11</f>
        <v/>
      </c>
      <c r="W11" s="97"/>
      <c r="X11" s="150">
        <f t="shared" si="5"/>
        <v>46346</v>
      </c>
      <c r="Y11" s="151">
        <f>'1° Parcial'!Y11+(7*8)</f>
        <v>46349</v>
      </c>
      <c r="Z11" s="118">
        <f>'1° Parcial'!Z11</f>
        <v>0.40625</v>
      </c>
      <c r="AA11" s="118" t="str">
        <f>'1° Parcial'!AA11</f>
        <v/>
      </c>
      <c r="AB11" s="97"/>
      <c r="AC11" s="154">
        <f t="shared" si="6"/>
        <v>46352</v>
      </c>
      <c r="AD11" s="155"/>
      <c r="AE11" s="155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</row>
    <row r="12">
      <c r="A12" s="90"/>
      <c r="B12" s="95" t="str">
        <f>'1° Parcial'!B12</f>
        <v>PROGRAMACIÓN I</v>
      </c>
      <c r="C12" s="97" t="str">
        <f>'1° Parcial'!C12</f>
        <v>SIS-113</v>
      </c>
      <c r="D12" s="100" t="str">
        <f>'1° Parcial'!D12</f>
        <v>1º </v>
      </c>
      <c r="E12" s="100" t="str">
        <f>'1° Parcial'!E12</f>
        <v>TA-01</v>
      </c>
      <c r="F12" s="103" t="str">
        <f>'1° Parcial'!F12</f>
        <v>ROSMERY LUIZAGA SALINAS</v>
      </c>
      <c r="G12" s="106" t="str">
        <f>'1° Parcial'!G12</f>
        <v/>
      </c>
      <c r="H12" s="150">
        <f t="shared" si="1"/>
        <v>46339</v>
      </c>
      <c r="I12" s="115">
        <f t="shared" si="2"/>
        <v>46339</v>
      </c>
      <c r="J12" s="151">
        <f>'1° Parcial'!J12+(7*8)</f>
        <v>46342</v>
      </c>
      <c r="K12" s="118">
        <f>'1° Parcial'!K12</f>
        <v>0.46875</v>
      </c>
      <c r="L12" s="118">
        <f>'1° Parcial'!L12</f>
        <v>10</v>
      </c>
      <c r="M12" s="119" t="s">
        <v>23</v>
      </c>
      <c r="N12" s="150">
        <f t="shared" si="3"/>
        <v>46332</v>
      </c>
      <c r="O12" s="151">
        <f>'1° Parcial'!O12+(7*8)</f>
        <v>46335</v>
      </c>
      <c r="P12" s="118">
        <f>'1° Parcial'!P12</f>
        <v>0.46875</v>
      </c>
      <c r="Q12" s="118" t="str">
        <f>'1° Parcial'!Q12</f>
        <v>A</v>
      </c>
      <c r="R12" s="97"/>
      <c r="S12" s="150">
        <f t="shared" si="4"/>
        <v>53</v>
      </c>
      <c r="T12" s="151">
        <f>'1° Parcial'!T12+(7*8)</f>
        <v>56</v>
      </c>
      <c r="U12" s="118" t="str">
        <f>'1° Parcial'!U12</f>
        <v/>
      </c>
      <c r="V12" s="118" t="str">
        <f>'1° Parcial'!V12</f>
        <v/>
      </c>
      <c r="W12" s="97"/>
      <c r="X12" s="150">
        <f t="shared" si="5"/>
        <v>46339</v>
      </c>
      <c r="Y12" s="151">
        <f>'1° Parcial'!Y12+(7*8)</f>
        <v>46342</v>
      </c>
      <c r="Z12" s="118">
        <f>'1° Parcial'!Z12</f>
        <v>0.46875</v>
      </c>
      <c r="AA12" s="118" t="str">
        <f>'1° Parcial'!AA12</f>
        <v/>
      </c>
      <c r="AB12" s="97"/>
      <c r="AC12" s="154">
        <f t="shared" si="6"/>
        <v>46345</v>
      </c>
      <c r="AD12" s="155"/>
      <c r="AE12" s="155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</row>
    <row r="13">
      <c r="A13" s="90"/>
      <c r="B13" s="95" t="str">
        <f>'1° Parcial'!B13</f>
        <v>ÁLGEBRA</v>
      </c>
      <c r="C13" s="97" t="str">
        <f>'1° Parcial'!C13</f>
        <v>SIS-114</v>
      </c>
      <c r="D13" s="100" t="str">
        <f>'1° Parcial'!D13</f>
        <v>1º </v>
      </c>
      <c r="E13" s="100" t="str">
        <f>'1° Parcial'!E13</f>
        <v>TA-01</v>
      </c>
      <c r="F13" s="103" t="str">
        <f>'1° Parcial'!F13</f>
        <v>ELIANA LESLY MICORDIA ROMERO</v>
      </c>
      <c r="G13" s="106" t="str">
        <f>'1° Parcial'!G13</f>
        <v/>
      </c>
      <c r="H13" s="150">
        <f t="shared" si="1"/>
        <v>46341</v>
      </c>
      <c r="I13" s="115">
        <f t="shared" si="2"/>
        <v>46341</v>
      </c>
      <c r="J13" s="151">
        <f>'1° Parcial'!J13+(7*8)</f>
        <v>46344</v>
      </c>
      <c r="K13" s="118">
        <f>'1° Parcial'!K13</f>
        <v>0.34375</v>
      </c>
      <c r="L13" s="118">
        <f>'1° Parcial'!L13</f>
        <v>10</v>
      </c>
      <c r="M13" s="119" t="s">
        <v>23</v>
      </c>
      <c r="N13" s="150">
        <f t="shared" si="3"/>
        <v>46334</v>
      </c>
      <c r="O13" s="151">
        <f>'1° Parcial'!O13+(7*8)</f>
        <v>46337</v>
      </c>
      <c r="P13" s="118">
        <f>'1° Parcial'!P13</f>
        <v>0.34375</v>
      </c>
      <c r="Q13" s="118" t="str">
        <f>'1° Parcial'!Q13</f>
        <v>A</v>
      </c>
      <c r="R13" s="97"/>
      <c r="S13" s="150">
        <f t="shared" si="4"/>
        <v>53</v>
      </c>
      <c r="T13" s="151">
        <f>'1° Parcial'!T13+(7*8)</f>
        <v>56</v>
      </c>
      <c r="U13" s="118" t="str">
        <f>'1° Parcial'!U13</f>
        <v/>
      </c>
      <c r="V13" s="118" t="str">
        <f>'1° Parcial'!V13</f>
        <v/>
      </c>
      <c r="W13" s="97"/>
      <c r="X13" s="150">
        <f t="shared" si="5"/>
        <v>46341</v>
      </c>
      <c r="Y13" s="151">
        <f>'1° Parcial'!Y13+(7*8)</f>
        <v>46344</v>
      </c>
      <c r="Z13" s="118">
        <f>'1° Parcial'!Z13</f>
        <v>0.34375</v>
      </c>
      <c r="AA13" s="118" t="str">
        <f>'1° Parcial'!AA13</f>
        <v/>
      </c>
      <c r="AB13" s="97"/>
      <c r="AC13" s="154">
        <f t="shared" si="6"/>
        <v>46347</v>
      </c>
      <c r="AD13" s="155"/>
      <c r="AE13" s="155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</row>
    <row r="14">
      <c r="A14" s="90"/>
      <c r="B14" s="95" t="str">
        <f>'1° Parcial'!B14</f>
        <v>INGLÉS TÉCNICO I</v>
      </c>
      <c r="C14" s="97" t="str">
        <f>'1° Parcial'!C14</f>
        <v>SIS-115</v>
      </c>
      <c r="D14" s="100" t="str">
        <f>'1° Parcial'!D14</f>
        <v>1º </v>
      </c>
      <c r="E14" s="100" t="str">
        <f>'1° Parcial'!E14</f>
        <v>TA-01</v>
      </c>
      <c r="F14" s="103" t="str">
        <f>'1° Parcial'!F14</f>
        <v>KARINA PAOLA LOPEZ ECHEVERRIA</v>
      </c>
      <c r="G14" s="106" t="str">
        <f>'1° Parcial'!G14</f>
        <v/>
      </c>
      <c r="H14" s="150">
        <f t="shared" si="1"/>
        <v>46333</v>
      </c>
      <c r="I14" s="115">
        <f t="shared" si="2"/>
        <v>46333</v>
      </c>
      <c r="J14" s="151">
        <f>'1° Parcial'!J14+(7*8)</f>
        <v>46336</v>
      </c>
      <c r="K14" s="118">
        <f>'1° Parcial'!K14</f>
        <v>0.34375</v>
      </c>
      <c r="L14" s="118">
        <f>'1° Parcial'!L14</f>
        <v>10</v>
      </c>
      <c r="M14" s="119" t="s">
        <v>23</v>
      </c>
      <c r="N14" s="150">
        <f t="shared" si="3"/>
        <v>46326</v>
      </c>
      <c r="O14" s="151">
        <f>'1° Parcial'!O14+(7*8)</f>
        <v>46329</v>
      </c>
      <c r="P14" s="118">
        <f>'1° Parcial'!P14</f>
        <v>0.34375</v>
      </c>
      <c r="Q14" s="118" t="str">
        <f>'1° Parcial'!Q14</f>
        <v>A</v>
      </c>
      <c r="R14" s="97"/>
      <c r="S14" s="150">
        <f t="shared" si="4"/>
        <v>53</v>
      </c>
      <c r="T14" s="151">
        <f>'1° Parcial'!T14+(7*8)</f>
        <v>56</v>
      </c>
      <c r="U14" s="118" t="str">
        <f>'1° Parcial'!U14</f>
        <v/>
      </c>
      <c r="V14" s="118" t="str">
        <f>'1° Parcial'!V14</f>
        <v/>
      </c>
      <c r="W14" s="97"/>
      <c r="X14" s="150">
        <f t="shared" si="5"/>
        <v>46333</v>
      </c>
      <c r="Y14" s="151">
        <f>'1° Parcial'!Y14+(7*8)</f>
        <v>46336</v>
      </c>
      <c r="Z14" s="118">
        <f>'1° Parcial'!Z14</f>
        <v>0.34375</v>
      </c>
      <c r="AA14" s="118" t="str">
        <f>'1° Parcial'!AA14</f>
        <v/>
      </c>
      <c r="AB14" s="97"/>
      <c r="AC14" s="154">
        <f t="shared" si="6"/>
        <v>46339</v>
      </c>
      <c r="AD14" s="155"/>
      <c r="AE14" s="155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</row>
    <row r="15">
      <c r="A15" s="90"/>
      <c r="B15" s="95" t="str">
        <f>'1° Parcial'!B15</f>
        <v>INTRODUCCIÓN A LAS CIENCIAS DE LA COMPUTACIÓN</v>
      </c>
      <c r="C15" s="97" t="str">
        <f>'1° Parcial'!C15</f>
        <v>SIS-116</v>
      </c>
      <c r="D15" s="100" t="str">
        <f>'1° Parcial'!D15</f>
        <v>1º </v>
      </c>
      <c r="E15" s="100" t="str">
        <f>'1° Parcial'!E15</f>
        <v>TA-01</v>
      </c>
      <c r="F15" s="103" t="str">
        <f>'1° Parcial'!F15</f>
        <v>WALTER JOSE CAZAS CASTRO</v>
      </c>
      <c r="G15" s="106" t="str">
        <f>'1° Parcial'!G15</f>
        <v/>
      </c>
      <c r="H15" s="150">
        <f t="shared" si="1"/>
        <v>46335</v>
      </c>
      <c r="I15" s="115">
        <f t="shared" si="2"/>
        <v>46335</v>
      </c>
      <c r="J15" s="151">
        <f>'1° Parcial'!J15+(7*8)</f>
        <v>46338</v>
      </c>
      <c r="K15" s="118">
        <f>'1° Parcial'!K15</f>
        <v>0.40625</v>
      </c>
      <c r="L15" s="118">
        <f>'1° Parcial'!L15</f>
        <v>10</v>
      </c>
      <c r="M15" s="119" t="s">
        <v>23</v>
      </c>
      <c r="N15" s="150">
        <f t="shared" si="3"/>
        <v>46328</v>
      </c>
      <c r="O15" s="151">
        <f>'1° Parcial'!O15+(7*8)</f>
        <v>46331</v>
      </c>
      <c r="P15" s="118">
        <f>'1° Parcial'!P15</f>
        <v>0.40625</v>
      </c>
      <c r="Q15" s="118" t="str">
        <f>'1° Parcial'!Q15</f>
        <v>A</v>
      </c>
      <c r="R15" s="97"/>
      <c r="S15" s="150">
        <f t="shared" si="4"/>
        <v>53</v>
      </c>
      <c r="T15" s="151">
        <f>'1° Parcial'!T15+(7*8)</f>
        <v>56</v>
      </c>
      <c r="U15" s="118" t="str">
        <f>'1° Parcial'!U15</f>
        <v/>
      </c>
      <c r="V15" s="118" t="str">
        <f>'1° Parcial'!V15</f>
        <v/>
      </c>
      <c r="W15" s="97"/>
      <c r="X15" s="150">
        <f t="shared" si="5"/>
        <v>46335</v>
      </c>
      <c r="Y15" s="151">
        <f>'1° Parcial'!Y15+(7*8)</f>
        <v>46338</v>
      </c>
      <c r="Z15" s="118">
        <f>'1° Parcial'!Z15</f>
        <v>0.40625</v>
      </c>
      <c r="AA15" s="118" t="str">
        <f>'1° Parcial'!AA15</f>
        <v/>
      </c>
      <c r="AB15" s="97"/>
      <c r="AC15" s="154">
        <f t="shared" si="6"/>
        <v>46341</v>
      </c>
      <c r="AD15" s="155"/>
      <c r="AE15" s="155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</row>
    <row r="16">
      <c r="A16" s="90"/>
      <c r="B16" s="95" t="str">
        <f>'1° Parcial'!B16</f>
        <v>CALCULO II</v>
      </c>
      <c r="C16" s="97" t="str">
        <f>'1° Parcial'!C16</f>
        <v>SIS-121</v>
      </c>
      <c r="D16" s="100" t="str">
        <f>'1° Parcial'!D16</f>
        <v>2º </v>
      </c>
      <c r="E16" s="100" t="str">
        <f>'1° Parcial'!E16</f>
        <v>TA-01</v>
      </c>
      <c r="F16" s="103" t="str">
        <f>'1° Parcial'!F16</f>
        <v>EDSON LUIS BASCOPE GALARZA</v>
      </c>
      <c r="G16" s="106" t="str">
        <f>'1° Parcial'!G16</f>
        <v/>
      </c>
      <c r="H16" s="150">
        <f t="shared" si="1"/>
        <v>46336</v>
      </c>
      <c r="I16" s="115">
        <f t="shared" si="2"/>
        <v>46336</v>
      </c>
      <c r="J16" s="151">
        <f>'1° Parcial'!J16+(7*8)</f>
        <v>46339</v>
      </c>
      <c r="K16" s="118">
        <f>'1° Parcial'!K16</f>
        <v>0.34375</v>
      </c>
      <c r="L16" s="118">
        <f>'1° Parcial'!L16</f>
        <v>22</v>
      </c>
      <c r="M16" s="119" t="s">
        <v>23</v>
      </c>
      <c r="N16" s="150">
        <f t="shared" si="3"/>
        <v>46329</v>
      </c>
      <c r="O16" s="151">
        <f>'1° Parcial'!O16+(7*8)</f>
        <v>46332</v>
      </c>
      <c r="P16" s="118">
        <f>'1° Parcial'!P16</f>
        <v>0.34375</v>
      </c>
      <c r="Q16" s="118" t="str">
        <f>'1° Parcial'!Q16</f>
        <v>A</v>
      </c>
      <c r="R16" s="97"/>
      <c r="S16" s="150">
        <f t="shared" si="4"/>
        <v>53</v>
      </c>
      <c r="T16" s="151">
        <f>'1° Parcial'!T16+(7*8)</f>
        <v>56</v>
      </c>
      <c r="U16" s="118" t="str">
        <f>'1° Parcial'!U16</f>
        <v/>
      </c>
      <c r="V16" s="118" t="str">
        <f>'1° Parcial'!V16</f>
        <v/>
      </c>
      <c r="W16" s="97"/>
      <c r="X16" s="150">
        <f t="shared" si="5"/>
        <v>46336</v>
      </c>
      <c r="Y16" s="151">
        <f>'1° Parcial'!Y16+(7*8)</f>
        <v>46339</v>
      </c>
      <c r="Z16" s="118">
        <f>'1° Parcial'!Z16</f>
        <v>0.34375</v>
      </c>
      <c r="AA16" s="118" t="str">
        <f>'1° Parcial'!AA16</f>
        <v/>
      </c>
      <c r="AB16" s="97"/>
      <c r="AC16" s="154">
        <f t="shared" si="6"/>
        <v>46342</v>
      </c>
      <c r="AD16" s="155"/>
      <c r="AE16" s="155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</row>
    <row r="17">
      <c r="A17" s="90"/>
      <c r="B17" s="95" t="str">
        <f>'1° Parcial'!B17</f>
        <v>FÍSICA II</v>
      </c>
      <c r="C17" s="97" t="str">
        <f>'1° Parcial'!C17</f>
        <v>SIS-122</v>
      </c>
      <c r="D17" s="100" t="str">
        <f>'1° Parcial'!D17</f>
        <v>2º </v>
      </c>
      <c r="E17" s="100" t="str">
        <f>'1° Parcial'!E17</f>
        <v>TA-01</v>
      </c>
      <c r="F17" s="103" t="str">
        <f>'1° Parcial'!F17</f>
        <v>JOSE DAVID QUIÑONES COCA</v>
      </c>
      <c r="G17" s="106" t="str">
        <f>'1° Parcial'!G17</f>
        <v/>
      </c>
      <c r="H17" s="150">
        <f t="shared" si="1"/>
        <v>46333</v>
      </c>
      <c r="I17" s="115">
        <f t="shared" si="2"/>
        <v>46333</v>
      </c>
      <c r="J17" s="151">
        <f>'1° Parcial'!J17+(7*8)</f>
        <v>46336</v>
      </c>
      <c r="K17" s="118">
        <f>'1° Parcial'!K17</f>
        <v>0.46875</v>
      </c>
      <c r="L17" s="118">
        <f>'1° Parcial'!L17</f>
        <v>22</v>
      </c>
      <c r="M17" s="119" t="s">
        <v>23</v>
      </c>
      <c r="N17" s="150">
        <f t="shared" si="3"/>
        <v>46326</v>
      </c>
      <c r="O17" s="151">
        <f>'1° Parcial'!O17+(7*8)</f>
        <v>46329</v>
      </c>
      <c r="P17" s="118">
        <f>'1° Parcial'!P17</f>
        <v>0.46875</v>
      </c>
      <c r="Q17" s="118" t="str">
        <f>'1° Parcial'!Q17</f>
        <v>A</v>
      </c>
      <c r="R17" s="97"/>
      <c r="S17" s="150">
        <f t="shared" si="4"/>
        <v>53</v>
      </c>
      <c r="T17" s="151">
        <f>'1° Parcial'!T17+(7*8)</f>
        <v>56</v>
      </c>
      <c r="U17" s="118" t="str">
        <f>'1° Parcial'!U17</f>
        <v/>
      </c>
      <c r="V17" s="118" t="str">
        <f>'1° Parcial'!V17</f>
        <v/>
      </c>
      <c r="W17" s="97"/>
      <c r="X17" s="150">
        <f t="shared" si="5"/>
        <v>46333</v>
      </c>
      <c r="Y17" s="151">
        <f>'1° Parcial'!Y17+(7*8)</f>
        <v>46336</v>
      </c>
      <c r="Z17" s="118">
        <f>'1° Parcial'!Z17</f>
        <v>0.46875</v>
      </c>
      <c r="AA17" s="118" t="str">
        <f>'1° Parcial'!AA17</f>
        <v/>
      </c>
      <c r="AB17" s="97"/>
      <c r="AC17" s="154">
        <f t="shared" si="6"/>
        <v>46339</v>
      </c>
      <c r="AD17" s="155"/>
      <c r="AE17" s="155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</row>
    <row r="18">
      <c r="A18" s="90"/>
      <c r="B18" s="95" t="str">
        <f>'1° Parcial'!B18</f>
        <v>PROGRAMACIÓN II</v>
      </c>
      <c r="C18" s="97" t="str">
        <f>'1° Parcial'!C18</f>
        <v>SIS-123</v>
      </c>
      <c r="D18" s="100" t="str">
        <f>'1° Parcial'!D18</f>
        <v>2º </v>
      </c>
      <c r="E18" s="100" t="str">
        <f>'1° Parcial'!E18</f>
        <v>TA-01</v>
      </c>
      <c r="F18" s="103" t="str">
        <f>'1° Parcial'!F18</f>
        <v>ROSMERY LUIZAGA SALINAS</v>
      </c>
      <c r="G18" s="106" t="str">
        <f>'1° Parcial'!G18</f>
        <v/>
      </c>
      <c r="H18" s="150">
        <f t="shared" si="1"/>
        <v>46340</v>
      </c>
      <c r="I18" s="115">
        <f t="shared" si="2"/>
        <v>46340</v>
      </c>
      <c r="J18" s="151">
        <f>'1° Parcial'!J18+(7*8)</f>
        <v>46343</v>
      </c>
      <c r="K18" s="118">
        <f>'1° Parcial'!K18</f>
        <v>0.34375</v>
      </c>
      <c r="L18" s="118">
        <f>'1° Parcial'!L18</f>
        <v>22</v>
      </c>
      <c r="M18" s="119" t="s">
        <v>23</v>
      </c>
      <c r="N18" s="150">
        <f t="shared" si="3"/>
        <v>46333</v>
      </c>
      <c r="O18" s="151">
        <f>'1° Parcial'!O18+(7*8)</f>
        <v>46336</v>
      </c>
      <c r="P18" s="118">
        <f>'1° Parcial'!P18</f>
        <v>0.34375</v>
      </c>
      <c r="Q18" s="118" t="str">
        <f>'1° Parcial'!Q18</f>
        <v>A</v>
      </c>
      <c r="R18" s="97"/>
      <c r="S18" s="150">
        <f t="shared" si="4"/>
        <v>53</v>
      </c>
      <c r="T18" s="151">
        <f>'1° Parcial'!T18+(7*8)</f>
        <v>56</v>
      </c>
      <c r="U18" s="118" t="str">
        <f>'1° Parcial'!U18</f>
        <v/>
      </c>
      <c r="V18" s="118" t="str">
        <f>'1° Parcial'!V18</f>
        <v/>
      </c>
      <c r="W18" s="97"/>
      <c r="X18" s="150">
        <f t="shared" si="5"/>
        <v>46340</v>
      </c>
      <c r="Y18" s="151">
        <f>'1° Parcial'!Y18+(7*8)</f>
        <v>46343</v>
      </c>
      <c r="Z18" s="118">
        <f>'1° Parcial'!Z18</f>
        <v>0.34375</v>
      </c>
      <c r="AA18" s="118" t="str">
        <f>'1° Parcial'!AA18</f>
        <v/>
      </c>
      <c r="AB18" s="97"/>
      <c r="AC18" s="154">
        <f t="shared" si="6"/>
        <v>46346</v>
      </c>
      <c r="AD18" s="155"/>
      <c r="AE18" s="155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</row>
    <row r="19">
      <c r="A19" s="90"/>
      <c r="B19" s="95" t="str">
        <f>'1° Parcial'!B19</f>
        <v>ÁLGEBRA LINEAL</v>
      </c>
      <c r="C19" s="97" t="str">
        <f>'1° Parcial'!C19</f>
        <v>SIS-124</v>
      </c>
      <c r="D19" s="100" t="str">
        <f>'1° Parcial'!D19</f>
        <v>2º </v>
      </c>
      <c r="E19" s="100" t="str">
        <f>'1° Parcial'!E19</f>
        <v>TA-01</v>
      </c>
      <c r="F19" s="103" t="str">
        <f>'1° Parcial'!F19</f>
        <v>XIMENA WENDY CALIZAYA PEREZ</v>
      </c>
      <c r="G19" s="106" t="str">
        <f>'1° Parcial'!G19</f>
        <v/>
      </c>
      <c r="H19" s="150">
        <f t="shared" si="1"/>
        <v>46346</v>
      </c>
      <c r="I19" s="115">
        <f t="shared" si="2"/>
        <v>46346</v>
      </c>
      <c r="J19" s="151">
        <f>'1° Parcial'!J19+(7*8)</f>
        <v>46349</v>
      </c>
      <c r="K19" s="118">
        <f>'1° Parcial'!K19</f>
        <v>0.46875</v>
      </c>
      <c r="L19" s="118">
        <f>'1° Parcial'!L19</f>
        <v>22</v>
      </c>
      <c r="M19" s="119" t="s">
        <v>23</v>
      </c>
      <c r="N19" s="150">
        <f t="shared" si="3"/>
        <v>46339</v>
      </c>
      <c r="O19" s="151">
        <f>'1° Parcial'!O19+(7*8)</f>
        <v>46342</v>
      </c>
      <c r="P19" s="118">
        <f>'1° Parcial'!P19</f>
        <v>0.46875</v>
      </c>
      <c r="Q19" s="118" t="str">
        <f>'1° Parcial'!Q19</f>
        <v>A</v>
      </c>
      <c r="R19" s="97"/>
      <c r="S19" s="150">
        <f t="shared" si="4"/>
        <v>53</v>
      </c>
      <c r="T19" s="151">
        <f>'1° Parcial'!T19+(7*8)</f>
        <v>56</v>
      </c>
      <c r="U19" s="118" t="str">
        <f>'1° Parcial'!U19</f>
        <v/>
      </c>
      <c r="V19" s="118" t="str">
        <f>'1° Parcial'!V19</f>
        <v/>
      </c>
      <c r="W19" s="97"/>
      <c r="X19" s="150">
        <f t="shared" si="5"/>
        <v>46346</v>
      </c>
      <c r="Y19" s="151">
        <f>'1° Parcial'!Y19+(7*8)</f>
        <v>46349</v>
      </c>
      <c r="Z19" s="118">
        <f>'1° Parcial'!Z19</f>
        <v>0.46875</v>
      </c>
      <c r="AA19" s="118" t="str">
        <f>'1° Parcial'!AA19</f>
        <v/>
      </c>
      <c r="AB19" s="97"/>
      <c r="AC19" s="154">
        <f t="shared" si="6"/>
        <v>46352</v>
      </c>
      <c r="AD19" s="155"/>
      <c r="AE19" s="155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</row>
    <row r="20">
      <c r="A20" s="90"/>
      <c r="B20" s="95" t="str">
        <f>'1° Parcial'!B20</f>
        <v>INGLÉS TÉCNICO II</v>
      </c>
      <c r="C20" s="97" t="str">
        <f>'1° Parcial'!C20</f>
        <v>SIS-125</v>
      </c>
      <c r="D20" s="100" t="str">
        <f>'1° Parcial'!D20</f>
        <v>2º </v>
      </c>
      <c r="E20" s="100" t="str">
        <f>'1° Parcial'!E20</f>
        <v>TA-01</v>
      </c>
      <c r="F20" s="103" t="str">
        <f>'1° Parcial'!F20</f>
        <v>KARINA PAOLA LOPEZ ECHEVERRIA</v>
      </c>
      <c r="G20" s="106" t="str">
        <f>'1° Parcial'!G20</f>
        <v/>
      </c>
      <c r="H20" s="150">
        <f t="shared" si="1"/>
        <v>46342</v>
      </c>
      <c r="I20" s="115">
        <f t="shared" si="2"/>
        <v>46342</v>
      </c>
      <c r="J20" s="151">
        <f>'1° Parcial'!J20+(7*8)</f>
        <v>46345</v>
      </c>
      <c r="K20" s="118">
        <f>'1° Parcial'!K20</f>
        <v>0.40625</v>
      </c>
      <c r="L20" s="118">
        <f>'1° Parcial'!L20</f>
        <v>22</v>
      </c>
      <c r="M20" s="119" t="s">
        <v>23</v>
      </c>
      <c r="N20" s="150">
        <f t="shared" si="3"/>
        <v>46335</v>
      </c>
      <c r="O20" s="151">
        <f>'1° Parcial'!O20+(7*8)</f>
        <v>46338</v>
      </c>
      <c r="P20" s="118">
        <f>'1° Parcial'!P20</f>
        <v>0.40625</v>
      </c>
      <c r="Q20" s="118" t="str">
        <f>'1° Parcial'!Q20</f>
        <v>A</v>
      </c>
      <c r="R20" s="97"/>
      <c r="S20" s="150">
        <f t="shared" si="4"/>
        <v>53</v>
      </c>
      <c r="T20" s="151">
        <f>'1° Parcial'!T20+(7*8)</f>
        <v>56</v>
      </c>
      <c r="U20" s="118" t="str">
        <f>'1° Parcial'!U20</f>
        <v/>
      </c>
      <c r="V20" s="118" t="str">
        <f>'1° Parcial'!V20</f>
        <v/>
      </c>
      <c r="W20" s="97"/>
      <c r="X20" s="150">
        <f t="shared" si="5"/>
        <v>46342</v>
      </c>
      <c r="Y20" s="151">
        <f>'1° Parcial'!Y20+(7*8)</f>
        <v>46345</v>
      </c>
      <c r="Z20" s="118">
        <f>'1° Parcial'!Z20</f>
        <v>0.40625</v>
      </c>
      <c r="AA20" s="118" t="str">
        <f>'1° Parcial'!AA20</f>
        <v/>
      </c>
      <c r="AB20" s="97"/>
      <c r="AC20" s="154">
        <f t="shared" si="6"/>
        <v>46348</v>
      </c>
      <c r="AD20" s="155"/>
      <c r="AE20" s="155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</row>
    <row r="21">
      <c r="A21" s="90"/>
      <c r="B21" s="95" t="str">
        <f>'1° Parcial'!B21</f>
        <v>TALLER DE PROGRAMACIÓN I</v>
      </c>
      <c r="C21" s="97" t="str">
        <f>'1° Parcial'!C21</f>
        <v>SIS-126</v>
      </c>
      <c r="D21" s="100" t="str">
        <f>'1° Parcial'!D21</f>
        <v>2º </v>
      </c>
      <c r="E21" s="100" t="str">
        <f>'1° Parcial'!E21</f>
        <v>TA-01</v>
      </c>
      <c r="F21" s="103" t="str">
        <f>'1° Parcial'!F21</f>
        <v>JANETH GIOVANA ALANEZ VILLEGAS</v>
      </c>
      <c r="G21" s="106" t="str">
        <f>'1° Parcial'!G21</f>
        <v/>
      </c>
      <c r="H21" s="150">
        <f t="shared" si="1"/>
        <v>46344</v>
      </c>
      <c r="I21" s="115">
        <f t="shared" si="2"/>
        <v>46344</v>
      </c>
      <c r="J21" s="151">
        <f>'1° Parcial'!J21+(7*8)</f>
        <v>46347</v>
      </c>
      <c r="K21" s="118">
        <f>'1° Parcial'!K21</f>
        <v>0.34375</v>
      </c>
      <c r="L21" s="118">
        <f>'1° Parcial'!L21</f>
        <v>22</v>
      </c>
      <c r="M21" s="119" t="s">
        <v>23</v>
      </c>
      <c r="N21" s="150">
        <f t="shared" si="3"/>
        <v>46337</v>
      </c>
      <c r="O21" s="151">
        <f>'1° Parcial'!O21+(7*8)</f>
        <v>46340</v>
      </c>
      <c r="P21" s="118">
        <f>'1° Parcial'!P21</f>
        <v>0.34375</v>
      </c>
      <c r="Q21" s="118" t="str">
        <f>'1° Parcial'!Q21</f>
        <v>A</v>
      </c>
      <c r="R21" s="97"/>
      <c r="S21" s="150">
        <f t="shared" si="4"/>
        <v>53</v>
      </c>
      <c r="T21" s="151">
        <f>'1° Parcial'!T21+(7*8)</f>
        <v>56</v>
      </c>
      <c r="U21" s="118" t="str">
        <f>'1° Parcial'!U21</f>
        <v/>
      </c>
      <c r="V21" s="118" t="str">
        <f>'1° Parcial'!V21</f>
        <v/>
      </c>
      <c r="W21" s="97"/>
      <c r="X21" s="150">
        <f t="shared" si="5"/>
        <v>46344</v>
      </c>
      <c r="Y21" s="151">
        <f>'1° Parcial'!Y21+(7*8)</f>
        <v>46347</v>
      </c>
      <c r="Z21" s="118">
        <f>'1° Parcial'!Z21</f>
        <v>0.34375</v>
      </c>
      <c r="AA21" s="118" t="str">
        <f>'1° Parcial'!AA21</f>
        <v/>
      </c>
      <c r="AB21" s="97"/>
      <c r="AC21" s="154">
        <f t="shared" si="6"/>
        <v>46350</v>
      </c>
      <c r="AD21" s="155"/>
      <c r="AE21" s="155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</row>
    <row r="22">
      <c r="A22" s="90"/>
      <c r="B22" s="95" t="str">
        <f>'1° Parcial'!B22</f>
        <v>DISPOSITIVOS ELECTRÓNICOS</v>
      </c>
      <c r="C22" s="97" t="str">
        <f>'1° Parcial'!C22</f>
        <v>SIS-127</v>
      </c>
      <c r="D22" s="100" t="str">
        <f>'1° Parcial'!D22</f>
        <v>2º </v>
      </c>
      <c r="E22" s="100" t="str">
        <f>'1° Parcial'!E22</f>
        <v>TA-01</v>
      </c>
      <c r="F22" s="103" t="str">
        <f>'1° Parcial'!F22</f>
        <v>EDUARDO CARLOS MOSCOSO RICALDI</v>
      </c>
      <c r="G22" s="106" t="str">
        <f>'1° Parcial'!G22</f>
        <v/>
      </c>
      <c r="H22" s="150">
        <f t="shared" si="1"/>
        <v>46334</v>
      </c>
      <c r="I22" s="115">
        <f t="shared" si="2"/>
        <v>46334</v>
      </c>
      <c r="J22" s="151">
        <f>'1° Parcial'!J22+(7*8)</f>
        <v>46337</v>
      </c>
      <c r="K22" s="118">
        <f>'1° Parcial'!K22</f>
        <v>0.34375</v>
      </c>
      <c r="L22" s="118">
        <f>'1° Parcial'!L22</f>
        <v>22</v>
      </c>
      <c r="M22" s="119" t="s">
        <v>23</v>
      </c>
      <c r="N22" s="150">
        <f t="shared" si="3"/>
        <v>46327</v>
      </c>
      <c r="O22" s="151">
        <f>'1° Parcial'!O22+(7*8)</f>
        <v>46330</v>
      </c>
      <c r="P22" s="118">
        <f>'1° Parcial'!P22</f>
        <v>0.34375</v>
      </c>
      <c r="Q22" s="118" t="str">
        <f>'1° Parcial'!Q22</f>
        <v>A</v>
      </c>
      <c r="R22" s="97"/>
      <c r="S22" s="150">
        <f t="shared" si="4"/>
        <v>53</v>
      </c>
      <c r="T22" s="151">
        <f>'1° Parcial'!T22+(7*8)</f>
        <v>56</v>
      </c>
      <c r="U22" s="118" t="str">
        <f>'1° Parcial'!U22</f>
        <v/>
      </c>
      <c r="V22" s="118" t="str">
        <f>'1° Parcial'!V22</f>
        <v/>
      </c>
      <c r="W22" s="97"/>
      <c r="X22" s="150">
        <f t="shared" si="5"/>
        <v>46334</v>
      </c>
      <c r="Y22" s="151">
        <f>'1° Parcial'!Y22+(7*8)</f>
        <v>46337</v>
      </c>
      <c r="Z22" s="118">
        <f>'1° Parcial'!Z22</f>
        <v>0.34375</v>
      </c>
      <c r="AA22" s="118" t="str">
        <f>'1° Parcial'!AA22</f>
        <v/>
      </c>
      <c r="AB22" s="97"/>
      <c r="AC22" s="154">
        <f t="shared" si="6"/>
        <v>46340</v>
      </c>
      <c r="AD22" s="155"/>
      <c r="AE22" s="155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</row>
    <row r="23">
      <c r="A23" s="90"/>
      <c r="B23" s="95" t="str">
        <f>'1° Parcial'!B23</f>
        <v>ECUACIONES DIFERENCIALES</v>
      </c>
      <c r="C23" s="97" t="str">
        <f>'1° Parcial'!C23</f>
        <v>SIS-211</v>
      </c>
      <c r="D23" s="100" t="str">
        <f>'1° Parcial'!D23</f>
        <v>3º </v>
      </c>
      <c r="E23" s="100" t="str">
        <f>'1° Parcial'!E23</f>
        <v>TA-01</v>
      </c>
      <c r="F23" s="103" t="str">
        <f>'1° Parcial'!F23</f>
        <v>MAURICIO QUIROZ LAFUENTE</v>
      </c>
      <c r="G23" s="106" t="str">
        <f>'1° Parcial'!G23</f>
        <v/>
      </c>
      <c r="H23" s="150">
        <f t="shared" si="1"/>
        <v>46339</v>
      </c>
      <c r="I23" s="115">
        <f t="shared" si="2"/>
        <v>46339</v>
      </c>
      <c r="J23" s="151">
        <f>'1° Parcial'!J23+(7*8)</f>
        <v>46342</v>
      </c>
      <c r="K23" s="118">
        <f>'1° Parcial'!K23</f>
        <v>0.34375</v>
      </c>
      <c r="L23" s="118">
        <f>'1° Parcial'!L23</f>
        <v>10</v>
      </c>
      <c r="M23" s="119" t="s">
        <v>23</v>
      </c>
      <c r="N23" s="150">
        <f t="shared" si="3"/>
        <v>46332</v>
      </c>
      <c r="O23" s="151">
        <f>'1° Parcial'!O23+(7*8)</f>
        <v>46335</v>
      </c>
      <c r="P23" s="118">
        <f>'1° Parcial'!P23</f>
        <v>0.34375</v>
      </c>
      <c r="Q23" s="118" t="str">
        <f>'1° Parcial'!Q23</f>
        <v>A</v>
      </c>
      <c r="R23" s="97"/>
      <c r="S23" s="150">
        <f t="shared" si="4"/>
        <v>53</v>
      </c>
      <c r="T23" s="151">
        <f>'1° Parcial'!T23+(7*8)</f>
        <v>56</v>
      </c>
      <c r="U23" s="118" t="str">
        <f>'1° Parcial'!U23</f>
        <v/>
      </c>
      <c r="V23" s="118" t="str">
        <f>'1° Parcial'!V23</f>
        <v/>
      </c>
      <c r="W23" s="97"/>
      <c r="X23" s="150">
        <f t="shared" si="5"/>
        <v>46339</v>
      </c>
      <c r="Y23" s="151">
        <f>'1° Parcial'!Y23+(7*8)</f>
        <v>46342</v>
      </c>
      <c r="Z23" s="118">
        <f>'1° Parcial'!Z23</f>
        <v>0.34375</v>
      </c>
      <c r="AA23" s="118" t="str">
        <f>'1° Parcial'!AA23</f>
        <v/>
      </c>
      <c r="AB23" s="97"/>
      <c r="AC23" s="154">
        <f t="shared" si="6"/>
        <v>46345</v>
      </c>
      <c r="AD23" s="155"/>
      <c r="AE23" s="155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</row>
    <row r="24">
      <c r="A24" s="90"/>
      <c r="B24" s="95" t="str">
        <f>'1° Parcial'!B24</f>
        <v>SISTEMAS DIGITALES</v>
      </c>
      <c r="C24" s="97" t="str">
        <f>'1° Parcial'!C24</f>
        <v>SIS-212</v>
      </c>
      <c r="D24" s="100" t="str">
        <f>'1° Parcial'!D24</f>
        <v>3º </v>
      </c>
      <c r="E24" s="100" t="str">
        <f>'1° Parcial'!E24</f>
        <v>TA-01</v>
      </c>
      <c r="F24" s="103" t="str">
        <f>'1° Parcial'!F24</f>
        <v>DANIEL CAMACHO PASTOR</v>
      </c>
      <c r="G24" s="106" t="str">
        <f>'1° Parcial'!G24</f>
        <v/>
      </c>
      <c r="H24" s="150">
        <f t="shared" si="1"/>
        <v>46346</v>
      </c>
      <c r="I24" s="115">
        <f t="shared" si="2"/>
        <v>46346</v>
      </c>
      <c r="J24" s="151">
        <f>'1° Parcial'!J24+(7*8)</f>
        <v>46349</v>
      </c>
      <c r="K24" s="118">
        <f>'1° Parcial'!K24</f>
        <v>0.40625</v>
      </c>
      <c r="L24" s="118">
        <f>'1° Parcial'!L24</f>
        <v>10</v>
      </c>
      <c r="M24" s="119" t="s">
        <v>23</v>
      </c>
      <c r="N24" s="150">
        <f t="shared" si="3"/>
        <v>46339</v>
      </c>
      <c r="O24" s="151">
        <f>'1° Parcial'!O24+(7*8)</f>
        <v>46342</v>
      </c>
      <c r="P24" s="118">
        <f>'1° Parcial'!P24</f>
        <v>0.40625</v>
      </c>
      <c r="Q24" s="118" t="str">
        <f>'1° Parcial'!Q24</f>
        <v>A</v>
      </c>
      <c r="R24" s="97"/>
      <c r="S24" s="150">
        <f t="shared" si="4"/>
        <v>53</v>
      </c>
      <c r="T24" s="151">
        <f>'1° Parcial'!T24+(7*8)</f>
        <v>56</v>
      </c>
      <c r="U24" s="118" t="str">
        <f>'1° Parcial'!U24</f>
        <v/>
      </c>
      <c r="V24" s="118" t="str">
        <f>'1° Parcial'!V24</f>
        <v/>
      </c>
      <c r="W24" s="97"/>
      <c r="X24" s="150">
        <f t="shared" si="5"/>
        <v>46346</v>
      </c>
      <c r="Y24" s="151">
        <f>'1° Parcial'!Y24+(7*8)</f>
        <v>46349</v>
      </c>
      <c r="Z24" s="118">
        <f>'1° Parcial'!Z24</f>
        <v>0.40625</v>
      </c>
      <c r="AA24" s="118" t="str">
        <f>'1° Parcial'!AA24</f>
        <v/>
      </c>
      <c r="AB24" s="97"/>
      <c r="AC24" s="154">
        <f t="shared" si="6"/>
        <v>46352</v>
      </c>
      <c r="AD24" s="155"/>
      <c r="AE24" s="155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</row>
    <row r="25">
      <c r="A25" s="90"/>
      <c r="B25" s="95" t="str">
        <f>'1° Parcial'!B25</f>
        <v>PROGRAMACIÓN III</v>
      </c>
      <c r="C25" s="97" t="str">
        <f>'1° Parcial'!C25</f>
        <v>SIS-213</v>
      </c>
      <c r="D25" s="100" t="str">
        <f>'1° Parcial'!D25</f>
        <v>3º </v>
      </c>
      <c r="E25" s="100" t="str">
        <f>'1° Parcial'!E25</f>
        <v>TA-01</v>
      </c>
      <c r="F25" s="103" t="str">
        <f>'1° Parcial'!F25</f>
        <v>ARIEL DENYS CAMARA ARZE</v>
      </c>
      <c r="G25" s="106" t="str">
        <f>'1° Parcial'!G25</f>
        <v/>
      </c>
      <c r="H25" s="150">
        <f t="shared" si="1"/>
        <v>46341</v>
      </c>
      <c r="I25" s="115">
        <f t="shared" si="2"/>
        <v>46341</v>
      </c>
      <c r="J25" s="151">
        <f>'1° Parcial'!J25+(7*8)</f>
        <v>46344</v>
      </c>
      <c r="K25" s="118">
        <f>'1° Parcial'!K25</f>
        <v>0.46875</v>
      </c>
      <c r="L25" s="118">
        <f>'1° Parcial'!L25</f>
        <v>10</v>
      </c>
      <c r="M25" s="119" t="s">
        <v>23</v>
      </c>
      <c r="N25" s="150">
        <f t="shared" si="3"/>
        <v>46334</v>
      </c>
      <c r="O25" s="151">
        <f>'1° Parcial'!O25+(7*8)</f>
        <v>46337</v>
      </c>
      <c r="P25" s="118">
        <f>'1° Parcial'!P25</f>
        <v>0.46875</v>
      </c>
      <c r="Q25" s="118" t="str">
        <f>'1° Parcial'!Q25</f>
        <v>A</v>
      </c>
      <c r="R25" s="97"/>
      <c r="S25" s="150">
        <f t="shared" si="4"/>
        <v>53</v>
      </c>
      <c r="T25" s="151">
        <f>'1° Parcial'!T25+(7*8)</f>
        <v>56</v>
      </c>
      <c r="U25" s="118" t="str">
        <f>'1° Parcial'!U25</f>
        <v/>
      </c>
      <c r="V25" s="118" t="str">
        <f>'1° Parcial'!V25</f>
        <v/>
      </c>
      <c r="W25" s="97"/>
      <c r="X25" s="150">
        <f t="shared" si="5"/>
        <v>46341</v>
      </c>
      <c r="Y25" s="151">
        <f>'1° Parcial'!Y25+(7*8)</f>
        <v>46344</v>
      </c>
      <c r="Z25" s="118">
        <f>'1° Parcial'!Z25</f>
        <v>0.46875</v>
      </c>
      <c r="AA25" s="118" t="str">
        <f>'1° Parcial'!AA25</f>
        <v/>
      </c>
      <c r="AB25" s="97"/>
      <c r="AC25" s="154">
        <f t="shared" si="6"/>
        <v>46347</v>
      </c>
      <c r="AD25" s="155"/>
      <c r="AE25" s="155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</row>
    <row r="26">
      <c r="A26" s="90"/>
      <c r="B26" s="95" t="str">
        <f>'1° Parcial'!B26</f>
        <v>PROBALIDAD Y ESTADÍSTICA</v>
      </c>
      <c r="C26" s="97" t="str">
        <f>'1° Parcial'!C26</f>
        <v>SIS-214</v>
      </c>
      <c r="D26" s="100" t="str">
        <f>'1° Parcial'!D26</f>
        <v>3º </v>
      </c>
      <c r="E26" s="100" t="str">
        <f>'1° Parcial'!E26</f>
        <v>TA-01</v>
      </c>
      <c r="F26" s="103" t="str">
        <f>'1° Parcial'!F26</f>
        <v>IVETT JACQUELINE TANCARA ZAMBRANA</v>
      </c>
      <c r="G26" s="106" t="str">
        <f>'1° Parcial'!G26</f>
        <v/>
      </c>
      <c r="H26" s="150">
        <f t="shared" si="1"/>
        <v>46335</v>
      </c>
      <c r="I26" s="115">
        <f t="shared" si="2"/>
        <v>46335</v>
      </c>
      <c r="J26" s="151">
        <f>'1° Parcial'!J26+(7*8)</f>
        <v>46338</v>
      </c>
      <c r="K26" s="118">
        <f>'1° Parcial'!K26</f>
        <v>0.46875</v>
      </c>
      <c r="L26" s="118">
        <f>'1° Parcial'!L26</f>
        <v>8</v>
      </c>
      <c r="M26" s="119" t="s">
        <v>23</v>
      </c>
      <c r="N26" s="150">
        <f t="shared" si="3"/>
        <v>46328</v>
      </c>
      <c r="O26" s="151">
        <f>'1° Parcial'!O26+(7*8)</f>
        <v>46331</v>
      </c>
      <c r="P26" s="118">
        <f>'1° Parcial'!P26</f>
        <v>0.46875</v>
      </c>
      <c r="Q26" s="118" t="str">
        <f>'1° Parcial'!Q26</f>
        <v>A</v>
      </c>
      <c r="R26" s="97"/>
      <c r="S26" s="150">
        <f t="shared" si="4"/>
        <v>53</v>
      </c>
      <c r="T26" s="151">
        <f>'1° Parcial'!T26+(7*8)</f>
        <v>56</v>
      </c>
      <c r="U26" s="118" t="str">
        <f>'1° Parcial'!U26</f>
        <v/>
      </c>
      <c r="V26" s="118" t="str">
        <f>'1° Parcial'!V26</f>
        <v/>
      </c>
      <c r="W26" s="97"/>
      <c r="X26" s="150">
        <f t="shared" si="5"/>
        <v>46335</v>
      </c>
      <c r="Y26" s="151">
        <f>'1° Parcial'!Y26+(7*8)</f>
        <v>46338</v>
      </c>
      <c r="Z26" s="118">
        <f>'1° Parcial'!Z26</f>
        <v>0.46875</v>
      </c>
      <c r="AA26" s="118" t="str">
        <f>'1° Parcial'!AA26</f>
        <v/>
      </c>
      <c r="AB26" s="97"/>
      <c r="AC26" s="154">
        <f t="shared" si="6"/>
        <v>46341</v>
      </c>
      <c r="AD26" s="155"/>
      <c r="AE26" s="155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</row>
    <row r="27">
      <c r="A27" s="90"/>
      <c r="B27" s="95" t="str">
        <f>'1° Parcial'!B27</f>
        <v>INGLÉS TÉCNICO III</v>
      </c>
      <c r="C27" s="97" t="str">
        <f>'1° Parcial'!C27</f>
        <v>SIS-215</v>
      </c>
      <c r="D27" s="100" t="str">
        <f>'1° Parcial'!D27</f>
        <v>3º </v>
      </c>
      <c r="E27" s="100" t="str">
        <f>'1° Parcial'!E27</f>
        <v>TA-01</v>
      </c>
      <c r="F27" s="103" t="str">
        <f>'1° Parcial'!F27</f>
        <v>KARINA PAOLA LOPEZ ECHEVERRIA</v>
      </c>
      <c r="G27" s="106" t="str">
        <f>'1° Parcial'!G27</f>
        <v/>
      </c>
      <c r="H27" s="150">
        <f t="shared" si="1"/>
        <v>46337</v>
      </c>
      <c r="I27" s="115">
        <f t="shared" si="2"/>
        <v>46337</v>
      </c>
      <c r="J27" s="151">
        <f>'1° Parcial'!J27+(7*8)</f>
        <v>46340</v>
      </c>
      <c r="K27" s="118">
        <f>'1° Parcial'!K27</f>
        <v>0.34375</v>
      </c>
      <c r="L27" s="118">
        <f>'1° Parcial'!L27</f>
        <v>10</v>
      </c>
      <c r="M27" s="119" t="s">
        <v>23</v>
      </c>
      <c r="N27" s="150">
        <f t="shared" si="3"/>
        <v>46330</v>
      </c>
      <c r="O27" s="151">
        <f>'1° Parcial'!O27+(7*8)</f>
        <v>46333</v>
      </c>
      <c r="P27" s="118">
        <f>'1° Parcial'!P27</f>
        <v>0.34375</v>
      </c>
      <c r="Q27" s="118" t="str">
        <f>'1° Parcial'!Q27</f>
        <v>A</v>
      </c>
      <c r="R27" s="97"/>
      <c r="S27" s="150">
        <f t="shared" si="4"/>
        <v>53</v>
      </c>
      <c r="T27" s="151">
        <f>'1° Parcial'!T27+(7*8)</f>
        <v>56</v>
      </c>
      <c r="U27" s="118" t="str">
        <f>'1° Parcial'!U27</f>
        <v/>
      </c>
      <c r="V27" s="118" t="str">
        <f>'1° Parcial'!V27</f>
        <v/>
      </c>
      <c r="W27" s="97"/>
      <c r="X27" s="150">
        <f t="shared" si="5"/>
        <v>46337</v>
      </c>
      <c r="Y27" s="151">
        <f>'1° Parcial'!Y27+(7*8)</f>
        <v>46340</v>
      </c>
      <c r="Z27" s="118">
        <f>'1° Parcial'!Z27</f>
        <v>0.34375</v>
      </c>
      <c r="AA27" s="118" t="str">
        <f>'1° Parcial'!AA27</f>
        <v/>
      </c>
      <c r="AB27" s="97"/>
      <c r="AC27" s="154">
        <f t="shared" si="6"/>
        <v>46343</v>
      </c>
      <c r="AD27" s="155"/>
      <c r="AE27" s="155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</row>
    <row r="28">
      <c r="A28" s="90"/>
      <c r="B28" s="95" t="str">
        <f>'1° Parcial'!B28</f>
        <v>TALLER DE PROGRAMACIÓN II</v>
      </c>
      <c r="C28" s="97" t="str">
        <f>'1° Parcial'!C28</f>
        <v>SIS-216</v>
      </c>
      <c r="D28" s="100" t="str">
        <f>'1° Parcial'!D28</f>
        <v>3º </v>
      </c>
      <c r="E28" s="100" t="str">
        <f>'1° Parcial'!E28</f>
        <v>TA-01</v>
      </c>
      <c r="F28" s="103" t="str">
        <f>'1° Parcial'!F28</f>
        <v>YAMIL YASMANI CRESPO AYALA</v>
      </c>
      <c r="G28" s="106" t="str">
        <f>'1° Parcial'!G28</f>
        <v/>
      </c>
      <c r="H28" s="150">
        <f t="shared" si="1"/>
        <v>46343</v>
      </c>
      <c r="I28" s="115">
        <f t="shared" si="2"/>
        <v>46343</v>
      </c>
      <c r="J28" s="151">
        <f>'1° Parcial'!J28+(7*8)</f>
        <v>46346</v>
      </c>
      <c r="K28" s="118">
        <f>'1° Parcial'!K28</f>
        <v>0.34375</v>
      </c>
      <c r="L28" s="118">
        <f>'1° Parcial'!L28</f>
        <v>10</v>
      </c>
      <c r="M28" s="119" t="s">
        <v>23</v>
      </c>
      <c r="N28" s="150">
        <f t="shared" si="3"/>
        <v>46336</v>
      </c>
      <c r="O28" s="151">
        <f>'1° Parcial'!O28+(7*8)</f>
        <v>46339</v>
      </c>
      <c r="P28" s="118">
        <f>'1° Parcial'!P28</f>
        <v>0.34375</v>
      </c>
      <c r="Q28" s="118" t="str">
        <f>'1° Parcial'!Q28</f>
        <v>A</v>
      </c>
      <c r="R28" s="97"/>
      <c r="S28" s="150">
        <f t="shared" si="4"/>
        <v>53</v>
      </c>
      <c r="T28" s="151">
        <f>'1° Parcial'!T28+(7*8)</f>
        <v>56</v>
      </c>
      <c r="U28" s="118" t="str">
        <f>'1° Parcial'!U28</f>
        <v/>
      </c>
      <c r="V28" s="118" t="str">
        <f>'1° Parcial'!V28</f>
        <v/>
      </c>
      <c r="W28" s="97"/>
      <c r="X28" s="150">
        <f t="shared" si="5"/>
        <v>46343</v>
      </c>
      <c r="Y28" s="151">
        <f>'1° Parcial'!Y28+(7*8)</f>
        <v>46346</v>
      </c>
      <c r="Z28" s="118">
        <f>'1° Parcial'!Z28</f>
        <v>0.34375</v>
      </c>
      <c r="AA28" s="118" t="str">
        <f>'1° Parcial'!AA28</f>
        <v/>
      </c>
      <c r="AB28" s="97"/>
      <c r="AC28" s="154">
        <f t="shared" si="6"/>
        <v>46349</v>
      </c>
      <c r="AD28" s="155"/>
      <c r="AE28" s="155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</row>
    <row r="29">
      <c r="A29" s="90"/>
      <c r="B29" s="95" t="str">
        <f>'1° Parcial'!B29</f>
        <v>ÉTICA E INSTRUCCIÓN AL DERECHO INFORMÁTICO</v>
      </c>
      <c r="C29" s="97" t="str">
        <f>'1° Parcial'!C29</f>
        <v>SIS-217</v>
      </c>
      <c r="D29" s="100" t="str">
        <f>'1° Parcial'!D29</f>
        <v>3º </v>
      </c>
      <c r="E29" s="100" t="str">
        <f>'1° Parcial'!E29</f>
        <v>TA-01</v>
      </c>
      <c r="F29" s="103" t="str">
        <f>'1° Parcial'!F29</f>
        <v>MARIA DE LOS ANGELES MENESES PARRA</v>
      </c>
      <c r="G29" s="106" t="str">
        <f>'1° Parcial'!G29</f>
        <v/>
      </c>
      <c r="H29" s="150">
        <f t="shared" si="1"/>
        <v>46333</v>
      </c>
      <c r="I29" s="115">
        <f t="shared" si="2"/>
        <v>46333</v>
      </c>
      <c r="J29" s="151">
        <f>'1° Parcial'!J29+(7*8)</f>
        <v>46336</v>
      </c>
      <c r="K29" s="118">
        <f>'1° Parcial'!K29</f>
        <v>0.34375</v>
      </c>
      <c r="L29" s="118">
        <f>'1° Parcial'!L29</f>
        <v>10</v>
      </c>
      <c r="M29" s="119" t="s">
        <v>23</v>
      </c>
      <c r="N29" s="150">
        <f t="shared" si="3"/>
        <v>46326</v>
      </c>
      <c r="O29" s="151">
        <f>'1° Parcial'!O29+(7*8)</f>
        <v>46329</v>
      </c>
      <c r="P29" s="118">
        <f>'1° Parcial'!P29</f>
        <v>0.34375</v>
      </c>
      <c r="Q29" s="118" t="str">
        <f>'1° Parcial'!Q29</f>
        <v>A</v>
      </c>
      <c r="R29" s="97"/>
      <c r="S29" s="150">
        <f t="shared" si="4"/>
        <v>53</v>
      </c>
      <c r="T29" s="151">
        <f>'1° Parcial'!T29+(7*8)</f>
        <v>56</v>
      </c>
      <c r="U29" s="118" t="str">
        <f>'1° Parcial'!U29</f>
        <v/>
      </c>
      <c r="V29" s="118" t="str">
        <f>'1° Parcial'!V29</f>
        <v/>
      </c>
      <c r="W29" s="97"/>
      <c r="X29" s="150">
        <f t="shared" si="5"/>
        <v>46333</v>
      </c>
      <c r="Y29" s="151">
        <f>'1° Parcial'!Y29+(7*8)</f>
        <v>46336</v>
      </c>
      <c r="Z29" s="118">
        <f>'1° Parcial'!Z29</f>
        <v>0.34375</v>
      </c>
      <c r="AA29" s="118" t="str">
        <f>'1° Parcial'!AA29</f>
        <v/>
      </c>
      <c r="AB29" s="97"/>
      <c r="AC29" s="154">
        <f t="shared" si="6"/>
        <v>46339</v>
      </c>
      <c r="AD29" s="155"/>
      <c r="AE29" s="155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</row>
    <row r="30">
      <c r="A30" s="90"/>
      <c r="B30" s="95" t="str">
        <f>'1° Parcial'!B30</f>
        <v>MÉTODOS NUMÉRICOS</v>
      </c>
      <c r="C30" s="97" t="str">
        <f>'1° Parcial'!C30</f>
        <v>SIS-221</v>
      </c>
      <c r="D30" s="100" t="str">
        <f>'1° Parcial'!D30</f>
        <v>4º </v>
      </c>
      <c r="E30" s="100" t="str">
        <f>'1° Parcial'!E30</f>
        <v>TA-01</v>
      </c>
      <c r="F30" s="103" t="str">
        <f>'1° Parcial'!F30</f>
        <v>JANETH GIOVANA ALANEZ VILLEGAS</v>
      </c>
      <c r="G30" s="106" t="str">
        <f>'1° Parcial'!G30</f>
        <v/>
      </c>
      <c r="H30" s="150">
        <f t="shared" si="1"/>
        <v>46339</v>
      </c>
      <c r="I30" s="115">
        <f t="shared" si="2"/>
        <v>46339</v>
      </c>
      <c r="J30" s="151">
        <f>'1° Parcial'!J30+(7*8)</f>
        <v>46342</v>
      </c>
      <c r="K30" s="118">
        <f>'1° Parcial'!K30</f>
        <v>0.40625</v>
      </c>
      <c r="L30" s="118">
        <f>'1° Parcial'!L30</f>
        <v>15</v>
      </c>
      <c r="M30" s="119" t="s">
        <v>23</v>
      </c>
      <c r="N30" s="150">
        <f t="shared" si="3"/>
        <v>46332</v>
      </c>
      <c r="O30" s="151">
        <f>'1° Parcial'!O30+(7*8)</f>
        <v>46335</v>
      </c>
      <c r="P30" s="118">
        <f>'1° Parcial'!P30</f>
        <v>0.40625</v>
      </c>
      <c r="Q30" s="118" t="str">
        <f>'1° Parcial'!Q30</f>
        <v>A</v>
      </c>
      <c r="R30" s="97"/>
      <c r="S30" s="150">
        <f t="shared" si="4"/>
        <v>53</v>
      </c>
      <c r="T30" s="151">
        <f>'1° Parcial'!T30+(7*8)</f>
        <v>56</v>
      </c>
      <c r="U30" s="118" t="str">
        <f>'1° Parcial'!U30</f>
        <v/>
      </c>
      <c r="V30" s="118" t="str">
        <f>'1° Parcial'!V30</f>
        <v/>
      </c>
      <c r="W30" s="97"/>
      <c r="X30" s="150">
        <f t="shared" si="5"/>
        <v>46339</v>
      </c>
      <c r="Y30" s="151">
        <f>'1° Parcial'!Y30+(7*8)</f>
        <v>46342</v>
      </c>
      <c r="Z30" s="118">
        <f>'1° Parcial'!Z30</f>
        <v>0.40625</v>
      </c>
      <c r="AA30" s="118" t="str">
        <f>'1° Parcial'!AA30</f>
        <v/>
      </c>
      <c r="AB30" s="97"/>
      <c r="AC30" s="154">
        <f t="shared" si="6"/>
        <v>46345</v>
      </c>
      <c r="AD30" s="155"/>
      <c r="AE30" s="155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</row>
    <row r="31">
      <c r="A31" s="90"/>
      <c r="B31" s="95" t="str">
        <f>'1° Parcial'!B31</f>
        <v>REDACCIÓN, COMUNICACIÓN E INTERCULTURALIDAD</v>
      </c>
      <c r="C31" s="97" t="str">
        <f>'1° Parcial'!C31</f>
        <v>SIS-222</v>
      </c>
      <c r="D31" s="100" t="str">
        <f>'1° Parcial'!D31</f>
        <v>4º </v>
      </c>
      <c r="E31" s="100" t="str">
        <f>'1° Parcial'!E31</f>
        <v>TA-01</v>
      </c>
      <c r="F31" s="103" t="str">
        <f>'1° Parcial'!F31</f>
        <v>MARIA DE LOS ANGELES MENESES PARRA</v>
      </c>
      <c r="G31" s="106" t="str">
        <f>'1° Parcial'!G31</f>
        <v/>
      </c>
      <c r="H31" s="150">
        <f t="shared" si="1"/>
        <v>46346</v>
      </c>
      <c r="I31" s="115">
        <f t="shared" si="2"/>
        <v>46346</v>
      </c>
      <c r="J31" s="151">
        <f>'1° Parcial'!J31+(7*8)</f>
        <v>46349</v>
      </c>
      <c r="K31" s="118">
        <f>'1° Parcial'!K31</f>
        <v>0.34375</v>
      </c>
      <c r="L31" s="118">
        <f>'1° Parcial'!L31</f>
        <v>15</v>
      </c>
      <c r="M31" s="119" t="s">
        <v>23</v>
      </c>
      <c r="N31" s="150">
        <f t="shared" si="3"/>
        <v>46339</v>
      </c>
      <c r="O31" s="151">
        <f>'1° Parcial'!O31+(7*8)</f>
        <v>46342</v>
      </c>
      <c r="P31" s="118">
        <f>'1° Parcial'!P31</f>
        <v>0.34375</v>
      </c>
      <c r="Q31" s="118" t="str">
        <f>'1° Parcial'!Q31</f>
        <v>A</v>
      </c>
      <c r="R31" s="97"/>
      <c r="S31" s="150">
        <f t="shared" si="4"/>
        <v>53</v>
      </c>
      <c r="T31" s="151">
        <f>'1° Parcial'!T31+(7*8)</f>
        <v>56</v>
      </c>
      <c r="U31" s="118" t="str">
        <f>'1° Parcial'!U31</f>
        <v/>
      </c>
      <c r="V31" s="118" t="str">
        <f>'1° Parcial'!V31</f>
        <v/>
      </c>
      <c r="W31" s="97"/>
      <c r="X31" s="150">
        <f t="shared" si="5"/>
        <v>46346</v>
      </c>
      <c r="Y31" s="151">
        <f>'1° Parcial'!Y31+(7*8)</f>
        <v>46349</v>
      </c>
      <c r="Z31" s="118">
        <f>'1° Parcial'!Z31</f>
        <v>0.34375</v>
      </c>
      <c r="AA31" s="118" t="str">
        <f>'1° Parcial'!AA31</f>
        <v/>
      </c>
      <c r="AB31" s="97"/>
      <c r="AC31" s="154">
        <f t="shared" si="6"/>
        <v>46352</v>
      </c>
      <c r="AD31" s="155"/>
      <c r="AE31" s="155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</row>
    <row r="32">
      <c r="A32" s="90"/>
      <c r="B32" s="95" t="str">
        <f>'1° Parcial'!B32</f>
        <v>SISTEMAS OPERATIVOS</v>
      </c>
      <c r="C32" s="97" t="str">
        <f>'1° Parcial'!C32</f>
        <v>SIS-223</v>
      </c>
      <c r="D32" s="100" t="str">
        <f>'1° Parcial'!D32</f>
        <v>4º </v>
      </c>
      <c r="E32" s="100" t="str">
        <f>'1° Parcial'!E32</f>
        <v>TA-01</v>
      </c>
      <c r="F32" s="103" t="str">
        <f>'1° Parcial'!F32</f>
        <v>GUSTAVO MAGARIÑOS CAMACHO</v>
      </c>
      <c r="G32" s="106" t="str">
        <f>'1° Parcial'!G32</f>
        <v/>
      </c>
      <c r="H32" s="150">
        <f t="shared" si="1"/>
        <v>46333</v>
      </c>
      <c r="I32" s="115">
        <f t="shared" si="2"/>
        <v>46333</v>
      </c>
      <c r="J32" s="151">
        <f>'1° Parcial'!J32+(7*8)</f>
        <v>46336</v>
      </c>
      <c r="K32" s="118">
        <f>'1° Parcial'!K32</f>
        <v>0.40625</v>
      </c>
      <c r="L32" s="118">
        <f>'1° Parcial'!L32</f>
        <v>15</v>
      </c>
      <c r="M32" s="119" t="s">
        <v>23</v>
      </c>
      <c r="N32" s="150">
        <f t="shared" si="3"/>
        <v>46326</v>
      </c>
      <c r="O32" s="151">
        <f>'1° Parcial'!O32+(7*8)</f>
        <v>46329</v>
      </c>
      <c r="P32" s="118">
        <f>'1° Parcial'!P32</f>
        <v>0.40625</v>
      </c>
      <c r="Q32" s="118" t="str">
        <f>'1° Parcial'!Q32</f>
        <v>A</v>
      </c>
      <c r="R32" s="97"/>
      <c r="S32" s="150">
        <f t="shared" si="4"/>
        <v>53</v>
      </c>
      <c r="T32" s="151">
        <f>'1° Parcial'!T32+(7*8)</f>
        <v>56</v>
      </c>
      <c r="U32" s="118" t="str">
        <f>'1° Parcial'!U32</f>
        <v/>
      </c>
      <c r="V32" s="118" t="str">
        <f>'1° Parcial'!V32</f>
        <v/>
      </c>
      <c r="W32" s="97"/>
      <c r="X32" s="150">
        <f t="shared" si="5"/>
        <v>46333</v>
      </c>
      <c r="Y32" s="151">
        <f>'1° Parcial'!Y32+(7*8)</f>
        <v>46336</v>
      </c>
      <c r="Z32" s="118">
        <f>'1° Parcial'!Z32</f>
        <v>0.40625</v>
      </c>
      <c r="AA32" s="118" t="str">
        <f>'1° Parcial'!AA32</f>
        <v/>
      </c>
      <c r="AB32" s="97"/>
      <c r="AC32" s="154">
        <f t="shared" si="6"/>
        <v>46339</v>
      </c>
      <c r="AD32" s="155"/>
      <c r="AE32" s="155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</row>
    <row r="33">
      <c r="A33" s="90"/>
      <c r="B33" s="95" t="str">
        <f>'1° Parcial'!B33</f>
        <v>DISEÑO DE BASE DE DATOS</v>
      </c>
      <c r="C33" s="97" t="str">
        <f>'1° Parcial'!C33</f>
        <v>SIS-224</v>
      </c>
      <c r="D33" s="100" t="str">
        <f>'1° Parcial'!D33</f>
        <v>4º </v>
      </c>
      <c r="E33" s="100" t="str">
        <f>'1° Parcial'!E33</f>
        <v>TA-01</v>
      </c>
      <c r="F33" s="103" t="str">
        <f>'1° Parcial'!F33</f>
        <v>WALTER JOSE CAZAS CASTRO</v>
      </c>
      <c r="G33" s="106" t="str">
        <f>'1° Parcial'!G33</f>
        <v/>
      </c>
      <c r="H33" s="150">
        <f t="shared" si="1"/>
        <v>46341</v>
      </c>
      <c r="I33" s="115">
        <f t="shared" si="2"/>
        <v>46341</v>
      </c>
      <c r="J33" s="151">
        <f>'1° Parcial'!J33+(7*8)</f>
        <v>46344</v>
      </c>
      <c r="K33" s="118">
        <f>'1° Parcial'!K33</f>
        <v>0.34375</v>
      </c>
      <c r="L33" s="118">
        <f>'1° Parcial'!L33</f>
        <v>15</v>
      </c>
      <c r="M33" s="119" t="s">
        <v>23</v>
      </c>
      <c r="N33" s="150">
        <f t="shared" si="3"/>
        <v>46334</v>
      </c>
      <c r="O33" s="151">
        <f>'1° Parcial'!O33+(7*8)</f>
        <v>46337</v>
      </c>
      <c r="P33" s="118">
        <f>'1° Parcial'!P33</f>
        <v>0.34375</v>
      </c>
      <c r="Q33" s="118" t="str">
        <f>'1° Parcial'!Q33</f>
        <v>A</v>
      </c>
      <c r="R33" s="97"/>
      <c r="S33" s="150">
        <f t="shared" si="4"/>
        <v>53</v>
      </c>
      <c r="T33" s="151">
        <f>'1° Parcial'!T33+(7*8)</f>
        <v>56</v>
      </c>
      <c r="U33" s="118" t="str">
        <f>'1° Parcial'!U33</f>
        <v/>
      </c>
      <c r="V33" s="118" t="str">
        <f>'1° Parcial'!V33</f>
        <v/>
      </c>
      <c r="W33" s="97"/>
      <c r="X33" s="150">
        <f t="shared" si="5"/>
        <v>46341</v>
      </c>
      <c r="Y33" s="151">
        <f>'1° Parcial'!Y33+(7*8)</f>
        <v>46344</v>
      </c>
      <c r="Z33" s="118">
        <f>'1° Parcial'!Z33</f>
        <v>0.34375</v>
      </c>
      <c r="AA33" s="118" t="str">
        <f>'1° Parcial'!AA33</f>
        <v/>
      </c>
      <c r="AB33" s="97"/>
      <c r="AC33" s="154">
        <f t="shared" si="6"/>
        <v>46347</v>
      </c>
      <c r="AD33" s="155"/>
      <c r="AE33" s="155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</row>
    <row r="34">
      <c r="A34" s="90"/>
      <c r="B34" s="95" t="str">
        <f>'1° Parcial'!B34</f>
        <v>INGLÉS TÉCNICO IV</v>
      </c>
      <c r="C34" s="97" t="str">
        <f>'1° Parcial'!C34</f>
        <v>SIS-225</v>
      </c>
      <c r="D34" s="100" t="str">
        <f>'1° Parcial'!D34</f>
        <v>4º </v>
      </c>
      <c r="E34" s="100" t="str">
        <f>'1° Parcial'!E34</f>
        <v>TA-01</v>
      </c>
      <c r="F34" s="103" t="str">
        <f>'1° Parcial'!F34</f>
        <v>EDUARDO CARLOS MOSCOSO RICALDI</v>
      </c>
      <c r="G34" s="106" t="str">
        <f>'1° Parcial'!G34</f>
        <v/>
      </c>
      <c r="H34" s="150">
        <f t="shared" si="1"/>
        <v>46343</v>
      </c>
      <c r="I34" s="115">
        <f t="shared" si="2"/>
        <v>46343</v>
      </c>
      <c r="J34" s="151">
        <f>'1° Parcial'!J34+(7*8)</f>
        <v>46346</v>
      </c>
      <c r="K34" s="118">
        <f>'1° Parcial'!K34</f>
        <v>0.40625</v>
      </c>
      <c r="L34" s="118">
        <f>'1° Parcial'!L34</f>
        <v>15</v>
      </c>
      <c r="M34" s="119" t="s">
        <v>23</v>
      </c>
      <c r="N34" s="150">
        <f t="shared" si="3"/>
        <v>46336</v>
      </c>
      <c r="O34" s="151">
        <f>'1° Parcial'!O34+(7*8)</f>
        <v>46339</v>
      </c>
      <c r="P34" s="118">
        <f>'1° Parcial'!P34</f>
        <v>0.40625</v>
      </c>
      <c r="Q34" s="118" t="str">
        <f>'1° Parcial'!Q34</f>
        <v>A</v>
      </c>
      <c r="R34" s="97"/>
      <c r="S34" s="150">
        <f t="shared" si="4"/>
        <v>53</v>
      </c>
      <c r="T34" s="151">
        <f>'1° Parcial'!T34+(7*8)</f>
        <v>56</v>
      </c>
      <c r="U34" s="118" t="str">
        <f>'1° Parcial'!U34</f>
        <v/>
      </c>
      <c r="V34" s="118" t="str">
        <f>'1° Parcial'!V34</f>
        <v/>
      </c>
      <c r="W34" s="97"/>
      <c r="X34" s="150">
        <f t="shared" si="5"/>
        <v>46343</v>
      </c>
      <c r="Y34" s="151">
        <f>'1° Parcial'!Y34+(7*8)</f>
        <v>46346</v>
      </c>
      <c r="Z34" s="118">
        <f>'1° Parcial'!Z34</f>
        <v>0.40625</v>
      </c>
      <c r="AA34" s="118" t="str">
        <f>'1° Parcial'!AA34</f>
        <v/>
      </c>
      <c r="AB34" s="97"/>
      <c r="AC34" s="154">
        <f t="shared" si="6"/>
        <v>46349</v>
      </c>
      <c r="AD34" s="155"/>
      <c r="AE34" s="155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</row>
    <row r="35">
      <c r="A35" s="90"/>
      <c r="B35" s="95" t="str">
        <f>'1° Parcial'!B35</f>
        <v>TALLER DE PROGRAMACIÓN III</v>
      </c>
      <c r="C35" s="97" t="str">
        <f>'1° Parcial'!C35</f>
        <v>SIS-226</v>
      </c>
      <c r="D35" s="100" t="str">
        <f>'1° Parcial'!D35</f>
        <v>4º </v>
      </c>
      <c r="E35" s="100" t="str">
        <f>'1° Parcial'!E35</f>
        <v>TA-01</v>
      </c>
      <c r="F35" s="103" t="str">
        <f>'1° Parcial'!F35</f>
        <v>YAMIL YASMANI CRESPO AYALA</v>
      </c>
      <c r="G35" s="106" t="str">
        <f>'1° Parcial'!G35</f>
        <v/>
      </c>
      <c r="H35" s="150">
        <f t="shared" si="1"/>
        <v>46337</v>
      </c>
      <c r="I35" s="115">
        <f t="shared" si="2"/>
        <v>46337</v>
      </c>
      <c r="J35" s="151">
        <f>'1° Parcial'!J35+(7*8)</f>
        <v>46340</v>
      </c>
      <c r="K35" s="118">
        <f>'1° Parcial'!K35</f>
        <v>0.34375</v>
      </c>
      <c r="L35" s="118">
        <f>'1° Parcial'!L35</f>
        <v>15</v>
      </c>
      <c r="M35" s="119" t="s">
        <v>23</v>
      </c>
      <c r="N35" s="150">
        <f t="shared" si="3"/>
        <v>46330</v>
      </c>
      <c r="O35" s="151">
        <f>'1° Parcial'!O35+(7*8)</f>
        <v>46333</v>
      </c>
      <c r="P35" s="118">
        <f>'1° Parcial'!P35</f>
        <v>0.34375</v>
      </c>
      <c r="Q35" s="118" t="str">
        <f>'1° Parcial'!Q35</f>
        <v>A</v>
      </c>
      <c r="R35" s="97"/>
      <c r="S35" s="150">
        <f t="shared" si="4"/>
        <v>53</v>
      </c>
      <c r="T35" s="151">
        <f>'1° Parcial'!T35+(7*8)</f>
        <v>56</v>
      </c>
      <c r="U35" s="118" t="str">
        <f>'1° Parcial'!U35</f>
        <v/>
      </c>
      <c r="V35" s="118" t="str">
        <f>'1° Parcial'!V35</f>
        <v/>
      </c>
      <c r="W35" s="97"/>
      <c r="X35" s="150">
        <f t="shared" si="5"/>
        <v>46337</v>
      </c>
      <c r="Y35" s="151">
        <f>'1° Parcial'!Y35+(7*8)</f>
        <v>46340</v>
      </c>
      <c r="Z35" s="118">
        <f>'1° Parcial'!Z35</f>
        <v>0.34375</v>
      </c>
      <c r="AA35" s="118" t="str">
        <f>'1° Parcial'!AA35</f>
        <v/>
      </c>
      <c r="AB35" s="97"/>
      <c r="AC35" s="154">
        <f t="shared" si="6"/>
        <v>46343</v>
      </c>
      <c r="AD35" s="155"/>
      <c r="AE35" s="155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</row>
    <row r="36">
      <c r="A36" s="90"/>
      <c r="B36" s="95" t="str">
        <f>'1° Parcial'!B36</f>
        <v>DISEÑO GRÁFICO Y SISTEMAS DE INFORMACIÓN GEOGRÁFICA</v>
      </c>
      <c r="C36" s="97" t="str">
        <f>'1° Parcial'!C36</f>
        <v>SIS-227</v>
      </c>
      <c r="D36" s="100" t="str">
        <f>'1° Parcial'!D36</f>
        <v>4º </v>
      </c>
      <c r="E36" s="100" t="str">
        <f>'1° Parcial'!E36</f>
        <v>TA-01</v>
      </c>
      <c r="F36" s="103" t="str">
        <f>'1° Parcial'!F36</f>
        <v>JIMENA GIOVANNA ARNEZ MARTINEZ</v>
      </c>
      <c r="G36" s="106" t="str">
        <f>'1° Parcial'!G36</f>
        <v/>
      </c>
      <c r="H36" s="150">
        <f t="shared" si="1"/>
        <v>46335</v>
      </c>
      <c r="I36" s="115">
        <f t="shared" si="2"/>
        <v>46335</v>
      </c>
      <c r="J36" s="151">
        <f>'1° Parcial'!J36+(7*8)</f>
        <v>46338</v>
      </c>
      <c r="K36" s="118">
        <f>'1° Parcial'!K36</f>
        <v>0.34375</v>
      </c>
      <c r="L36" s="118">
        <f>'1° Parcial'!L36</f>
        <v>15</v>
      </c>
      <c r="M36" s="119" t="s">
        <v>23</v>
      </c>
      <c r="N36" s="150">
        <f t="shared" si="3"/>
        <v>46328</v>
      </c>
      <c r="O36" s="151">
        <f>'1° Parcial'!O36+(7*8)</f>
        <v>46331</v>
      </c>
      <c r="P36" s="118">
        <f>'1° Parcial'!P36</f>
        <v>0.34375</v>
      </c>
      <c r="Q36" s="118" t="str">
        <f>'1° Parcial'!Q36</f>
        <v>A</v>
      </c>
      <c r="R36" s="97"/>
      <c r="S36" s="150">
        <f t="shared" si="4"/>
        <v>53</v>
      </c>
      <c r="T36" s="151">
        <f>'1° Parcial'!T36+(7*8)</f>
        <v>56</v>
      </c>
      <c r="U36" s="118" t="str">
        <f>'1° Parcial'!U36</f>
        <v/>
      </c>
      <c r="V36" s="118" t="str">
        <f>'1° Parcial'!V36</f>
        <v/>
      </c>
      <c r="W36" s="97"/>
      <c r="X36" s="150">
        <f t="shared" si="5"/>
        <v>46335</v>
      </c>
      <c r="Y36" s="151">
        <f>'1° Parcial'!Y36+(7*8)</f>
        <v>46338</v>
      </c>
      <c r="Z36" s="118">
        <f>'1° Parcial'!Z36</f>
        <v>0.34375</v>
      </c>
      <c r="AA36" s="118" t="str">
        <f>'1° Parcial'!AA36</f>
        <v/>
      </c>
      <c r="AB36" s="97"/>
      <c r="AC36" s="154">
        <f t="shared" si="6"/>
        <v>46341</v>
      </c>
      <c r="AD36" s="155"/>
      <c r="AE36" s="155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</row>
    <row r="37">
      <c r="A37" s="90"/>
      <c r="B37" s="95" t="str">
        <f>'1° Parcial'!B37</f>
        <v>INVESTIGACIÓN OPERATIVA</v>
      </c>
      <c r="C37" s="97" t="str">
        <f>'1° Parcial'!C37</f>
        <v>SIS-311</v>
      </c>
      <c r="D37" s="100" t="str">
        <f>'1° Parcial'!D37</f>
        <v>5º </v>
      </c>
      <c r="E37" s="100" t="str">
        <f>'1° Parcial'!E37</f>
        <v>TA-01</v>
      </c>
      <c r="F37" s="103" t="str">
        <f>'1° Parcial'!F37</f>
        <v>JIMENA GIOVANNA ARNEZ MARTINEZ</v>
      </c>
      <c r="G37" s="106" t="str">
        <f>'1° Parcial'!G37</f>
        <v/>
      </c>
      <c r="H37" s="150">
        <f t="shared" si="1"/>
        <v>46335</v>
      </c>
      <c r="I37" s="115">
        <f t="shared" si="2"/>
        <v>46335</v>
      </c>
      <c r="J37" s="151">
        <f>'1° Parcial'!J37+(7*8)</f>
        <v>46338</v>
      </c>
      <c r="K37" s="118">
        <f>'1° Parcial'!K37</f>
        <v>0.59375</v>
      </c>
      <c r="L37" s="118">
        <f>'1° Parcial'!L37</f>
        <v>8</v>
      </c>
      <c r="M37" s="119" t="s">
        <v>23</v>
      </c>
      <c r="N37" s="150">
        <f t="shared" si="3"/>
        <v>46328</v>
      </c>
      <c r="O37" s="151">
        <f>'1° Parcial'!O37+(7*8)</f>
        <v>46331</v>
      </c>
      <c r="P37" s="118">
        <f>'1° Parcial'!P37</f>
        <v>0.59375</v>
      </c>
      <c r="Q37" s="118" t="str">
        <f>'1° Parcial'!Q37</f>
        <v>A</v>
      </c>
      <c r="R37" s="97"/>
      <c r="S37" s="150">
        <f t="shared" si="4"/>
        <v>53</v>
      </c>
      <c r="T37" s="151">
        <f>'1° Parcial'!T37+(7*8)</f>
        <v>56</v>
      </c>
      <c r="U37" s="118" t="str">
        <f>'1° Parcial'!U37</f>
        <v/>
      </c>
      <c r="V37" s="118" t="str">
        <f>'1° Parcial'!V37</f>
        <v/>
      </c>
      <c r="W37" s="97"/>
      <c r="X37" s="150">
        <f t="shared" si="5"/>
        <v>46335</v>
      </c>
      <c r="Y37" s="151">
        <f>'1° Parcial'!Y37+(7*8)</f>
        <v>46338</v>
      </c>
      <c r="Z37" s="118">
        <f>'1° Parcial'!Z37</f>
        <v>0.59375</v>
      </c>
      <c r="AA37" s="118" t="str">
        <f>'1° Parcial'!AA37</f>
        <v/>
      </c>
      <c r="AB37" s="97"/>
      <c r="AC37" s="154">
        <f t="shared" si="6"/>
        <v>46341</v>
      </c>
      <c r="AD37" s="155"/>
      <c r="AE37" s="155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</row>
    <row r="38">
      <c r="A38" s="90"/>
      <c r="B38" s="95" t="str">
        <f>'1° Parcial'!B38</f>
        <v>MICROCONTROLADORES</v>
      </c>
      <c r="C38" s="97" t="str">
        <f>'1° Parcial'!C38</f>
        <v>SIS-312</v>
      </c>
      <c r="D38" s="100" t="str">
        <f>'1° Parcial'!D38</f>
        <v>5º </v>
      </c>
      <c r="E38" s="100" t="str">
        <f>'1° Parcial'!E38</f>
        <v>TA-01</v>
      </c>
      <c r="F38" s="103" t="str">
        <f>'1° Parcial'!F38</f>
        <v>JOAQUIN RICARDO ARAOZ JALDIN</v>
      </c>
      <c r="G38" s="106" t="str">
        <f>'1° Parcial'!G38</f>
        <v/>
      </c>
      <c r="H38" s="150">
        <f t="shared" si="1"/>
        <v>46339</v>
      </c>
      <c r="I38" s="115">
        <f t="shared" si="2"/>
        <v>46339</v>
      </c>
      <c r="J38" s="151">
        <f>'1° Parcial'!J38+(7*8)</f>
        <v>46342</v>
      </c>
      <c r="K38" s="118">
        <f>'1° Parcial'!K38</f>
        <v>0.53125</v>
      </c>
      <c r="L38" s="118">
        <f>'1° Parcial'!L38</f>
        <v>8</v>
      </c>
      <c r="M38" s="119" t="s">
        <v>23</v>
      </c>
      <c r="N38" s="150">
        <f t="shared" si="3"/>
        <v>46332</v>
      </c>
      <c r="O38" s="151">
        <f>'1° Parcial'!O38+(7*8)</f>
        <v>46335</v>
      </c>
      <c r="P38" s="118">
        <f>'1° Parcial'!P38</f>
        <v>0.53125</v>
      </c>
      <c r="Q38" s="118" t="str">
        <f>'1° Parcial'!Q38</f>
        <v>A</v>
      </c>
      <c r="R38" s="97"/>
      <c r="S38" s="150">
        <f t="shared" si="4"/>
        <v>53</v>
      </c>
      <c r="T38" s="151">
        <f>'1° Parcial'!T38+(7*8)</f>
        <v>56</v>
      </c>
      <c r="U38" s="118" t="str">
        <f>'1° Parcial'!U38</f>
        <v/>
      </c>
      <c r="V38" s="118" t="str">
        <f>'1° Parcial'!V38</f>
        <v/>
      </c>
      <c r="W38" s="97"/>
      <c r="X38" s="150">
        <f t="shared" si="5"/>
        <v>46339</v>
      </c>
      <c r="Y38" s="151">
        <f>'1° Parcial'!Y38+(7*8)</f>
        <v>46342</v>
      </c>
      <c r="Z38" s="118">
        <f>'1° Parcial'!Z38</f>
        <v>0.53125</v>
      </c>
      <c r="AA38" s="118" t="str">
        <f>'1° Parcial'!AA38</f>
        <v/>
      </c>
      <c r="AB38" s="97"/>
      <c r="AC38" s="154">
        <f t="shared" si="6"/>
        <v>46345</v>
      </c>
      <c r="AD38" s="155"/>
      <c r="AE38" s="155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</row>
    <row r="39">
      <c r="A39" s="90"/>
      <c r="B39" s="95" t="str">
        <f>'1° Parcial'!B39</f>
        <v>ARQUITECTURA DE NUEVAS TECNOLÓGIAS</v>
      </c>
      <c r="C39" s="97" t="str">
        <f>'1° Parcial'!C39</f>
        <v>SIS-313</v>
      </c>
      <c r="D39" s="100" t="str">
        <f>'1° Parcial'!D39</f>
        <v>5º </v>
      </c>
      <c r="E39" s="100" t="str">
        <f>'1° Parcial'!E39</f>
        <v>TA-01</v>
      </c>
      <c r="F39" s="103" t="str">
        <f>'1° Parcial'!F39</f>
        <v>JANNETH SOFIA MEDINA ALEMAN</v>
      </c>
      <c r="G39" s="106" t="str">
        <f>'1° Parcial'!G39</f>
        <v/>
      </c>
      <c r="H39" s="150">
        <f t="shared" si="1"/>
        <v>46337</v>
      </c>
      <c r="I39" s="115">
        <f t="shared" si="2"/>
        <v>46337</v>
      </c>
      <c r="J39" s="151">
        <f>'1° Parcial'!J39+(7*8)</f>
        <v>46340</v>
      </c>
      <c r="K39" s="118">
        <f>'1° Parcial'!K39</f>
        <v>0.34375</v>
      </c>
      <c r="L39" s="118">
        <f>'1° Parcial'!L39</f>
        <v>8</v>
      </c>
      <c r="M39" s="119" t="s">
        <v>23</v>
      </c>
      <c r="N39" s="150">
        <f t="shared" si="3"/>
        <v>46330</v>
      </c>
      <c r="O39" s="151">
        <f>'1° Parcial'!O39+(7*8)</f>
        <v>46333</v>
      </c>
      <c r="P39" s="118">
        <f>'1° Parcial'!P39</f>
        <v>0.34375</v>
      </c>
      <c r="Q39" s="118" t="str">
        <f>'1° Parcial'!Q39</f>
        <v>A</v>
      </c>
      <c r="R39" s="97"/>
      <c r="S39" s="150">
        <f t="shared" si="4"/>
        <v>53</v>
      </c>
      <c r="T39" s="151">
        <f>'1° Parcial'!T39+(7*8)</f>
        <v>56</v>
      </c>
      <c r="U39" s="118" t="str">
        <f>'1° Parcial'!U39</f>
        <v/>
      </c>
      <c r="V39" s="118" t="str">
        <f>'1° Parcial'!V39</f>
        <v/>
      </c>
      <c r="W39" s="97"/>
      <c r="X39" s="150">
        <f t="shared" si="5"/>
        <v>46337</v>
      </c>
      <c r="Y39" s="151">
        <f>'1° Parcial'!Y39+(7*8)</f>
        <v>46340</v>
      </c>
      <c r="Z39" s="118">
        <f>'1° Parcial'!Z39</f>
        <v>0.34375</v>
      </c>
      <c r="AA39" s="118" t="str">
        <f>'1° Parcial'!AA39</f>
        <v/>
      </c>
      <c r="AB39" s="97"/>
      <c r="AC39" s="154">
        <f t="shared" si="6"/>
        <v>46343</v>
      </c>
      <c r="AD39" s="155"/>
      <c r="AE39" s="155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</row>
    <row r="40">
      <c r="A40" s="90"/>
      <c r="B40" s="95" t="str">
        <f>'1° Parcial'!B40</f>
        <v>ANÁLISIS DE SISTEMAS I</v>
      </c>
      <c r="C40" s="97" t="str">
        <f>'1° Parcial'!C40</f>
        <v>SIS-314</v>
      </c>
      <c r="D40" s="100" t="str">
        <f>'1° Parcial'!D40</f>
        <v>5º </v>
      </c>
      <c r="E40" s="100" t="str">
        <f>'1° Parcial'!E40</f>
        <v>TA-01</v>
      </c>
      <c r="F40" s="103" t="str">
        <f>'1° Parcial'!F40</f>
        <v>MARIA LUZ DEL CASTILLO GONZALES</v>
      </c>
      <c r="G40" s="106" t="str">
        <f>'1° Parcial'!G40</f>
        <v/>
      </c>
      <c r="H40" s="150">
        <f t="shared" si="1"/>
        <v>46346</v>
      </c>
      <c r="I40" s="115">
        <f t="shared" si="2"/>
        <v>46346</v>
      </c>
      <c r="J40" s="151">
        <f>'1° Parcial'!J40+(7*8)</f>
        <v>46349</v>
      </c>
      <c r="K40" s="118">
        <f>'1° Parcial'!K40</f>
        <v>0.65625</v>
      </c>
      <c r="L40" s="118">
        <f>'1° Parcial'!L40</f>
        <v>8</v>
      </c>
      <c r="M40" s="119" t="s">
        <v>23</v>
      </c>
      <c r="N40" s="150">
        <f t="shared" si="3"/>
        <v>46339</v>
      </c>
      <c r="O40" s="151">
        <f>'1° Parcial'!O40+(7*8)</f>
        <v>46342</v>
      </c>
      <c r="P40" s="118">
        <f>'1° Parcial'!P40</f>
        <v>0.65625</v>
      </c>
      <c r="Q40" s="118" t="str">
        <f>'1° Parcial'!Q40</f>
        <v>A</v>
      </c>
      <c r="R40" s="97"/>
      <c r="S40" s="150">
        <f t="shared" si="4"/>
        <v>53</v>
      </c>
      <c r="T40" s="151">
        <f>'1° Parcial'!T40+(7*8)</f>
        <v>56</v>
      </c>
      <c r="U40" s="118" t="str">
        <f>'1° Parcial'!U40</f>
        <v/>
      </c>
      <c r="V40" s="118" t="str">
        <f>'1° Parcial'!V40</f>
        <v/>
      </c>
      <c r="W40" s="97"/>
      <c r="X40" s="150">
        <f t="shared" si="5"/>
        <v>46346</v>
      </c>
      <c r="Y40" s="151">
        <f>'1° Parcial'!Y40+(7*8)</f>
        <v>46349</v>
      </c>
      <c r="Z40" s="118">
        <f>'1° Parcial'!Z40</f>
        <v>0.65625</v>
      </c>
      <c r="AA40" s="118" t="str">
        <f>'1° Parcial'!AA40</f>
        <v/>
      </c>
      <c r="AB40" s="97"/>
      <c r="AC40" s="154">
        <f t="shared" si="6"/>
        <v>46352</v>
      </c>
      <c r="AD40" s="155"/>
      <c r="AE40" s="155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</row>
    <row r="41">
      <c r="A41" s="90"/>
      <c r="B41" s="95" t="str">
        <f>'1° Parcial'!B41</f>
        <v>INFORMÁTICA FORENSE</v>
      </c>
      <c r="C41" s="97" t="str">
        <f>'1° Parcial'!C41</f>
        <v>SIS-315</v>
      </c>
      <c r="D41" s="100" t="str">
        <f>'1° Parcial'!D41</f>
        <v>5º </v>
      </c>
      <c r="E41" s="100" t="str">
        <f>'1° Parcial'!E41</f>
        <v>TA-01</v>
      </c>
      <c r="F41" s="103" t="str">
        <f>'1° Parcial'!F41</f>
        <v>GUSTAVO MAGARIÑOS CAMACHO</v>
      </c>
      <c r="G41" s="106" t="str">
        <f>'1° Parcial'!G41</f>
        <v/>
      </c>
      <c r="H41" s="150">
        <f t="shared" si="1"/>
        <v>46333</v>
      </c>
      <c r="I41" s="115">
        <f t="shared" si="2"/>
        <v>46333</v>
      </c>
      <c r="J41" s="151">
        <f>'1° Parcial'!J41+(7*8)</f>
        <v>46336</v>
      </c>
      <c r="K41" s="118">
        <f>'1° Parcial'!K41</f>
        <v>0.65625</v>
      </c>
      <c r="L41" s="118">
        <f>'1° Parcial'!L41</f>
        <v>8</v>
      </c>
      <c r="M41" s="119" t="s">
        <v>23</v>
      </c>
      <c r="N41" s="150">
        <f t="shared" si="3"/>
        <v>46326</v>
      </c>
      <c r="O41" s="151">
        <f>'1° Parcial'!O41+(7*8)</f>
        <v>46329</v>
      </c>
      <c r="P41" s="118">
        <f>'1° Parcial'!P41</f>
        <v>0.65625</v>
      </c>
      <c r="Q41" s="118" t="str">
        <f>'1° Parcial'!Q41</f>
        <v>A</v>
      </c>
      <c r="R41" s="97"/>
      <c r="S41" s="150">
        <f t="shared" si="4"/>
        <v>53</v>
      </c>
      <c r="T41" s="151">
        <f>'1° Parcial'!T41+(7*8)</f>
        <v>56</v>
      </c>
      <c r="U41" s="118" t="str">
        <f>'1° Parcial'!U41</f>
        <v/>
      </c>
      <c r="V41" s="118" t="str">
        <f>'1° Parcial'!V41</f>
        <v/>
      </c>
      <c r="W41" s="97"/>
      <c r="X41" s="150">
        <f t="shared" si="5"/>
        <v>46333</v>
      </c>
      <c r="Y41" s="151">
        <f>'1° Parcial'!Y41+(7*8)</f>
        <v>46336</v>
      </c>
      <c r="Z41" s="118">
        <f>'1° Parcial'!Z41</f>
        <v>0.65625</v>
      </c>
      <c r="AA41" s="118" t="str">
        <f>'1° Parcial'!AA41</f>
        <v/>
      </c>
      <c r="AB41" s="97"/>
      <c r="AC41" s="154">
        <f t="shared" si="6"/>
        <v>46339</v>
      </c>
      <c r="AD41" s="155"/>
      <c r="AE41" s="155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</row>
    <row r="42">
      <c r="A42" s="90"/>
      <c r="B42" s="95" t="str">
        <f>'1° Parcial'!B42</f>
        <v>REDES Y COMUNICACIÓNES</v>
      </c>
      <c r="C42" s="97" t="str">
        <f>'1° Parcial'!C42</f>
        <v>SIS-316</v>
      </c>
      <c r="D42" s="100" t="str">
        <f>'1° Parcial'!D42</f>
        <v>5º </v>
      </c>
      <c r="E42" s="100" t="str">
        <f>'1° Parcial'!E42</f>
        <v>TA-01</v>
      </c>
      <c r="F42" s="103" t="str">
        <f>'1° Parcial'!F42</f>
        <v>GUSTAVO ADOLFO RIVERA ARTEAGA</v>
      </c>
      <c r="G42" s="106" t="str">
        <f>'1° Parcial'!G42</f>
        <v/>
      </c>
      <c r="H42" s="150">
        <f t="shared" si="1"/>
        <v>46343</v>
      </c>
      <c r="I42" s="115">
        <f t="shared" si="2"/>
        <v>46343</v>
      </c>
      <c r="J42" s="151">
        <f>'1° Parcial'!J42+(7*8)</f>
        <v>46346</v>
      </c>
      <c r="K42" s="118">
        <f>'1° Parcial'!K42</f>
        <v>0.59375</v>
      </c>
      <c r="L42" s="118">
        <f>'1° Parcial'!L42</f>
        <v>8</v>
      </c>
      <c r="M42" s="119" t="s">
        <v>23</v>
      </c>
      <c r="N42" s="150">
        <f t="shared" si="3"/>
        <v>46336</v>
      </c>
      <c r="O42" s="151">
        <f>'1° Parcial'!O42+(7*8)</f>
        <v>46339</v>
      </c>
      <c r="P42" s="118">
        <f>'1° Parcial'!P42</f>
        <v>0.59375</v>
      </c>
      <c r="Q42" s="118" t="str">
        <f>'1° Parcial'!Q42</f>
        <v>A</v>
      </c>
      <c r="R42" s="97"/>
      <c r="S42" s="150">
        <f t="shared" si="4"/>
        <v>53</v>
      </c>
      <c r="T42" s="151">
        <f>'1° Parcial'!T42+(7*8)</f>
        <v>56</v>
      </c>
      <c r="U42" s="118" t="str">
        <f>'1° Parcial'!U42</f>
        <v/>
      </c>
      <c r="V42" s="118" t="str">
        <f>'1° Parcial'!V42</f>
        <v/>
      </c>
      <c r="W42" s="97"/>
      <c r="X42" s="150">
        <f t="shared" si="5"/>
        <v>46343</v>
      </c>
      <c r="Y42" s="151">
        <f>'1° Parcial'!Y42+(7*8)</f>
        <v>46346</v>
      </c>
      <c r="Z42" s="118">
        <f>'1° Parcial'!Z42</f>
        <v>0.59375</v>
      </c>
      <c r="AA42" s="118" t="str">
        <f>'1° Parcial'!AA42</f>
        <v/>
      </c>
      <c r="AB42" s="97"/>
      <c r="AC42" s="154">
        <f t="shared" si="6"/>
        <v>46349</v>
      </c>
      <c r="AD42" s="155"/>
      <c r="AE42" s="155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</row>
    <row r="43">
      <c r="A43" s="90"/>
      <c r="B43" s="95" t="str">
        <f>'1° Parcial'!B43</f>
        <v>CONCEPTOS AVANZADOS DE BASE DE DATOS</v>
      </c>
      <c r="C43" s="97" t="str">
        <f>'1° Parcial'!C43</f>
        <v>SIS-317</v>
      </c>
      <c r="D43" s="100" t="str">
        <f>'1° Parcial'!D43</f>
        <v>5º </v>
      </c>
      <c r="E43" s="100" t="str">
        <f>'1° Parcial'!E43</f>
        <v>TA-01</v>
      </c>
      <c r="F43" s="103" t="str">
        <f>'1° Parcial'!F43</f>
        <v>AMILKAR JESUS MIRANDA ROMERO</v>
      </c>
      <c r="G43" s="106" t="str">
        <f>'1° Parcial'!G43</f>
        <v/>
      </c>
      <c r="H43" s="150">
        <f t="shared" si="1"/>
        <v>46341</v>
      </c>
      <c r="I43" s="115">
        <f t="shared" si="2"/>
        <v>46341</v>
      </c>
      <c r="J43" s="151">
        <f>'1° Parcial'!J43+(7*8)</f>
        <v>46344</v>
      </c>
      <c r="K43" s="118">
        <f>'1° Parcial'!K43</f>
        <v>0.71875</v>
      </c>
      <c r="L43" s="118">
        <f>'1° Parcial'!L43</f>
        <v>8</v>
      </c>
      <c r="M43" s="119" t="s">
        <v>23</v>
      </c>
      <c r="N43" s="150">
        <f t="shared" si="3"/>
        <v>46334</v>
      </c>
      <c r="O43" s="151">
        <f>'1° Parcial'!O43+(7*8)</f>
        <v>46337</v>
      </c>
      <c r="P43" s="118">
        <f>'1° Parcial'!P43</f>
        <v>0.71875</v>
      </c>
      <c r="Q43" s="118" t="str">
        <f>'1° Parcial'!Q43</f>
        <v>A</v>
      </c>
      <c r="R43" s="97"/>
      <c r="S43" s="150">
        <f t="shared" si="4"/>
        <v>53</v>
      </c>
      <c r="T43" s="151">
        <f>'1° Parcial'!T43+(7*8)</f>
        <v>56</v>
      </c>
      <c r="U43" s="118" t="str">
        <f>'1° Parcial'!U43</f>
        <v/>
      </c>
      <c r="V43" s="118" t="str">
        <f>'1° Parcial'!V43</f>
        <v/>
      </c>
      <c r="W43" s="97"/>
      <c r="X43" s="150">
        <f t="shared" si="5"/>
        <v>46341</v>
      </c>
      <c r="Y43" s="151">
        <f>'1° Parcial'!Y43+(7*8)</f>
        <v>46344</v>
      </c>
      <c r="Z43" s="118">
        <f>'1° Parcial'!Z43</f>
        <v>0.71875</v>
      </c>
      <c r="AA43" s="118" t="str">
        <f>'1° Parcial'!AA43</f>
        <v/>
      </c>
      <c r="AB43" s="97"/>
      <c r="AC43" s="154">
        <f t="shared" si="6"/>
        <v>46347</v>
      </c>
      <c r="AD43" s="155"/>
      <c r="AE43" s="155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</row>
    <row r="44">
      <c r="A44" s="90"/>
      <c r="B44" s="95" t="str">
        <f>'1° Parcial'!B44</f>
        <v>ROBÓTICA</v>
      </c>
      <c r="C44" s="97" t="str">
        <f>'1° Parcial'!C44</f>
        <v>SIS-321</v>
      </c>
      <c r="D44" s="100" t="str">
        <f>'1° Parcial'!D44</f>
        <v>6º </v>
      </c>
      <c r="E44" s="100" t="str">
        <f>'1° Parcial'!E44</f>
        <v>TA-01</v>
      </c>
      <c r="F44" s="103" t="str">
        <f>'1° Parcial'!F44</f>
        <v>JOAQUIN RICARDO ARAOZ JALDIN</v>
      </c>
      <c r="G44" s="106" t="str">
        <f>'1° Parcial'!G44</f>
        <v/>
      </c>
      <c r="H44" s="150">
        <f t="shared" si="1"/>
        <v>46333</v>
      </c>
      <c r="I44" s="115">
        <f t="shared" si="2"/>
        <v>46333</v>
      </c>
      <c r="J44" s="151">
        <f>'1° Parcial'!J44+(7*8)</f>
        <v>46336</v>
      </c>
      <c r="K44" s="118">
        <f>'1° Parcial'!K44</f>
        <v>0.65625</v>
      </c>
      <c r="L44" s="118">
        <f>'1° Parcial'!L44</f>
        <v>12</v>
      </c>
      <c r="M44" s="119" t="s">
        <v>23</v>
      </c>
      <c r="N44" s="150">
        <f t="shared" si="3"/>
        <v>46326</v>
      </c>
      <c r="O44" s="151">
        <f>'1° Parcial'!O44+(7*8)</f>
        <v>46329</v>
      </c>
      <c r="P44" s="118">
        <f>'1° Parcial'!P44</f>
        <v>0.65625</v>
      </c>
      <c r="Q44" s="118" t="str">
        <f>'1° Parcial'!Q44</f>
        <v>A</v>
      </c>
      <c r="R44" s="97"/>
      <c r="S44" s="150">
        <f t="shared" si="4"/>
        <v>53</v>
      </c>
      <c r="T44" s="151">
        <f>'1° Parcial'!T44+(7*8)</f>
        <v>56</v>
      </c>
      <c r="U44" s="118" t="str">
        <f>'1° Parcial'!U44</f>
        <v/>
      </c>
      <c r="V44" s="118" t="str">
        <f>'1° Parcial'!V44</f>
        <v/>
      </c>
      <c r="W44" s="97"/>
      <c r="X44" s="150">
        <f t="shared" si="5"/>
        <v>46333</v>
      </c>
      <c r="Y44" s="151">
        <f>'1° Parcial'!Y44+(7*8)</f>
        <v>46336</v>
      </c>
      <c r="Z44" s="118">
        <f>'1° Parcial'!Z44</f>
        <v>0.65625</v>
      </c>
      <c r="AA44" s="118" t="str">
        <f>'1° Parcial'!AA44</f>
        <v/>
      </c>
      <c r="AB44" s="97"/>
      <c r="AC44" s="154">
        <f t="shared" si="6"/>
        <v>46339</v>
      </c>
      <c r="AD44" s="155"/>
      <c r="AE44" s="155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</row>
    <row r="45">
      <c r="A45" s="90"/>
      <c r="B45" s="95" t="str">
        <f>'1° Parcial'!B45</f>
        <v>INFRAESTRUCTURA TECNOLÓGICA</v>
      </c>
      <c r="C45" s="97" t="str">
        <f>'1° Parcial'!C45</f>
        <v>SIS-322</v>
      </c>
      <c r="D45" s="100" t="str">
        <f>'1° Parcial'!D45</f>
        <v>6º </v>
      </c>
      <c r="E45" s="100" t="str">
        <f>'1° Parcial'!E45</f>
        <v>TA-01</v>
      </c>
      <c r="F45" s="103" t="str">
        <f>'1° Parcial'!F45</f>
        <v>WILSON JAVIER CONTRERAS VARGAS</v>
      </c>
      <c r="G45" s="106" t="str">
        <f>'1° Parcial'!G45</f>
        <v/>
      </c>
      <c r="H45" s="150">
        <f t="shared" si="1"/>
        <v>46341</v>
      </c>
      <c r="I45" s="115">
        <f t="shared" si="2"/>
        <v>46341</v>
      </c>
      <c r="J45" s="151">
        <f>'1° Parcial'!J45+(7*8)</f>
        <v>46344</v>
      </c>
      <c r="K45" s="118">
        <f>'1° Parcial'!K45</f>
        <v>0.65625</v>
      </c>
      <c r="L45" s="118">
        <f>'1° Parcial'!L45</f>
        <v>12</v>
      </c>
      <c r="M45" s="119" t="s">
        <v>23</v>
      </c>
      <c r="N45" s="150">
        <f t="shared" si="3"/>
        <v>46334</v>
      </c>
      <c r="O45" s="151">
        <f>'1° Parcial'!O45+(7*8)</f>
        <v>46337</v>
      </c>
      <c r="P45" s="118">
        <f>'1° Parcial'!P45</f>
        <v>0.65625</v>
      </c>
      <c r="Q45" s="118" t="str">
        <f>'1° Parcial'!Q45</f>
        <v>A</v>
      </c>
      <c r="R45" s="97"/>
      <c r="S45" s="150">
        <f t="shared" si="4"/>
        <v>53</v>
      </c>
      <c r="T45" s="151">
        <f>'1° Parcial'!T45+(7*8)</f>
        <v>56</v>
      </c>
      <c r="U45" s="118" t="str">
        <f>'1° Parcial'!U45</f>
        <v/>
      </c>
      <c r="V45" s="118" t="str">
        <f>'1° Parcial'!V45</f>
        <v/>
      </c>
      <c r="W45" s="97"/>
      <c r="X45" s="150">
        <f t="shared" si="5"/>
        <v>46341</v>
      </c>
      <c r="Y45" s="151">
        <f>'1° Parcial'!Y45+(7*8)</f>
        <v>46344</v>
      </c>
      <c r="Z45" s="118">
        <f>'1° Parcial'!Z45</f>
        <v>0.65625</v>
      </c>
      <c r="AA45" s="118" t="str">
        <f>'1° Parcial'!AA45</f>
        <v/>
      </c>
      <c r="AB45" s="97"/>
      <c r="AC45" s="154">
        <f t="shared" si="6"/>
        <v>46347</v>
      </c>
      <c r="AD45" s="155"/>
      <c r="AE45" s="155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</row>
    <row r="46">
      <c r="A46" s="90"/>
      <c r="B46" s="95" t="str">
        <f>'1° Parcial'!B46</f>
        <v>ANÁLISIS DE SISTEMAS II</v>
      </c>
      <c r="C46" s="97" t="str">
        <f>'1° Parcial'!C46</f>
        <v>SIS-323</v>
      </c>
      <c r="D46" s="100" t="str">
        <f>'1° Parcial'!D46</f>
        <v>6º </v>
      </c>
      <c r="E46" s="100" t="str">
        <f>'1° Parcial'!E46</f>
        <v>TA-01</v>
      </c>
      <c r="F46" s="103" t="str">
        <f>'1° Parcial'!F46</f>
        <v>MARIA LUZ DEL CASTILLO GONZALES</v>
      </c>
      <c r="G46" s="106" t="str">
        <f>'1° Parcial'!G46</f>
        <v/>
      </c>
      <c r="H46" s="150">
        <f t="shared" si="1"/>
        <v>46339</v>
      </c>
      <c r="I46" s="115">
        <f t="shared" si="2"/>
        <v>46339</v>
      </c>
      <c r="J46" s="151">
        <f>'1° Parcial'!J46+(7*8)</f>
        <v>46342</v>
      </c>
      <c r="K46" s="118">
        <f>'1° Parcial'!K46</f>
        <v>0.59375</v>
      </c>
      <c r="L46" s="118">
        <f>'1° Parcial'!L46</f>
        <v>12</v>
      </c>
      <c r="M46" s="119" t="s">
        <v>23</v>
      </c>
      <c r="N46" s="150">
        <f t="shared" si="3"/>
        <v>46332</v>
      </c>
      <c r="O46" s="151">
        <f>'1° Parcial'!O46+(7*8)</f>
        <v>46335</v>
      </c>
      <c r="P46" s="118">
        <f>'1° Parcial'!P46</f>
        <v>0.59375</v>
      </c>
      <c r="Q46" s="118" t="str">
        <f>'1° Parcial'!Q46</f>
        <v>A</v>
      </c>
      <c r="R46" s="97"/>
      <c r="S46" s="150">
        <f t="shared" si="4"/>
        <v>53</v>
      </c>
      <c r="T46" s="151">
        <f>'1° Parcial'!T46+(7*8)</f>
        <v>56</v>
      </c>
      <c r="U46" s="118" t="str">
        <f>'1° Parcial'!U46</f>
        <v/>
      </c>
      <c r="V46" s="118" t="str">
        <f>'1° Parcial'!V46</f>
        <v/>
      </c>
      <c r="W46" s="97"/>
      <c r="X46" s="150">
        <f t="shared" si="5"/>
        <v>46339</v>
      </c>
      <c r="Y46" s="151">
        <f>'1° Parcial'!Y46+(7*8)</f>
        <v>46342</v>
      </c>
      <c r="Z46" s="118">
        <f>'1° Parcial'!Z46</f>
        <v>0.59375</v>
      </c>
      <c r="AA46" s="118" t="str">
        <f>'1° Parcial'!AA46</f>
        <v/>
      </c>
      <c r="AB46" s="97"/>
      <c r="AC46" s="154">
        <f t="shared" si="6"/>
        <v>46345</v>
      </c>
      <c r="AD46" s="155"/>
      <c r="AE46" s="155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</row>
    <row r="47">
      <c r="A47" s="90"/>
      <c r="B47" s="95" t="str">
        <f>'1° Parcial'!B47</f>
        <v>INGENIERÍA DE MÉTODOS Y REINGENIERÍA</v>
      </c>
      <c r="C47" s="97" t="str">
        <f>'1° Parcial'!C47</f>
        <v>SIS-324</v>
      </c>
      <c r="D47" s="100" t="str">
        <f>'1° Parcial'!D47</f>
        <v>6º </v>
      </c>
      <c r="E47" s="100" t="str">
        <f>'1° Parcial'!E47</f>
        <v>TA-01</v>
      </c>
      <c r="F47" s="103" t="str">
        <f>'1° Parcial'!F47</f>
        <v>ELIANA LESLY MICORDIA ROMERO</v>
      </c>
      <c r="G47" s="106" t="str">
        <f>'1° Parcial'!G47</f>
        <v/>
      </c>
      <c r="H47" s="150">
        <f t="shared" si="1"/>
        <v>46337</v>
      </c>
      <c r="I47" s="115">
        <f t="shared" si="2"/>
        <v>46337</v>
      </c>
      <c r="J47" s="151">
        <f>'1° Parcial'!J47+(7*8)</f>
        <v>46340</v>
      </c>
      <c r="K47" s="118">
        <f>'1° Parcial'!K47</f>
        <v>0.46875</v>
      </c>
      <c r="L47" s="118">
        <f>'1° Parcial'!L47</f>
        <v>12</v>
      </c>
      <c r="M47" s="119" t="s">
        <v>23</v>
      </c>
      <c r="N47" s="150">
        <f t="shared" si="3"/>
        <v>46330</v>
      </c>
      <c r="O47" s="151">
        <f>'1° Parcial'!O47+(7*8)</f>
        <v>46333</v>
      </c>
      <c r="P47" s="118">
        <f>'1° Parcial'!P47</f>
        <v>0.46875</v>
      </c>
      <c r="Q47" s="118" t="str">
        <f>'1° Parcial'!Q47</f>
        <v>A</v>
      </c>
      <c r="R47" s="97"/>
      <c r="S47" s="150">
        <f t="shared" si="4"/>
        <v>53</v>
      </c>
      <c r="T47" s="151">
        <f>'1° Parcial'!T47+(7*8)</f>
        <v>56</v>
      </c>
      <c r="U47" s="118" t="str">
        <f>'1° Parcial'!U47</f>
        <v/>
      </c>
      <c r="V47" s="118" t="str">
        <f>'1° Parcial'!V47</f>
        <v/>
      </c>
      <c r="W47" s="97"/>
      <c r="X47" s="150">
        <f t="shared" si="5"/>
        <v>46337</v>
      </c>
      <c r="Y47" s="151">
        <f>'1° Parcial'!Y47+(7*8)</f>
        <v>46340</v>
      </c>
      <c r="Z47" s="118">
        <f>'1° Parcial'!Z47</f>
        <v>0.46875</v>
      </c>
      <c r="AA47" s="118" t="str">
        <f>'1° Parcial'!AA47</f>
        <v/>
      </c>
      <c r="AB47" s="97"/>
      <c r="AC47" s="154">
        <f t="shared" si="6"/>
        <v>46343</v>
      </c>
      <c r="AD47" s="155"/>
      <c r="AE47" s="155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</row>
    <row r="48">
      <c r="A48" s="90"/>
      <c r="B48" s="95" t="str">
        <f>'1° Parcial'!B48</f>
        <v>TALLER DE REDES</v>
      </c>
      <c r="C48" s="97" t="str">
        <f>'1° Parcial'!C48</f>
        <v>SIS-325</v>
      </c>
      <c r="D48" s="100" t="str">
        <f>'1° Parcial'!D48</f>
        <v>6º </v>
      </c>
      <c r="E48" s="100" t="str">
        <f>'1° Parcial'!E48</f>
        <v>TA-01</v>
      </c>
      <c r="F48" s="103" t="str">
        <f>'1° Parcial'!F48</f>
        <v>AMILKAR JESUS MIRANDA ROMERO</v>
      </c>
      <c r="G48" s="106" t="str">
        <f>'1° Parcial'!G48</f>
        <v/>
      </c>
      <c r="H48" s="150">
        <f t="shared" si="1"/>
        <v>46335</v>
      </c>
      <c r="I48" s="115">
        <f t="shared" si="2"/>
        <v>46335</v>
      </c>
      <c r="J48" s="151">
        <f>'1° Parcial'!J48+(7*8)</f>
        <v>46338</v>
      </c>
      <c r="K48" s="118">
        <f>'1° Parcial'!K48</f>
        <v>0.71875</v>
      </c>
      <c r="L48" s="118">
        <f>'1° Parcial'!L48</f>
        <v>12</v>
      </c>
      <c r="M48" s="119" t="s">
        <v>23</v>
      </c>
      <c r="N48" s="150">
        <f t="shared" si="3"/>
        <v>46328</v>
      </c>
      <c r="O48" s="151">
        <f>'1° Parcial'!O48+(7*8)</f>
        <v>46331</v>
      </c>
      <c r="P48" s="118">
        <f>'1° Parcial'!P48</f>
        <v>0.71875</v>
      </c>
      <c r="Q48" s="118" t="str">
        <f>'1° Parcial'!Q48</f>
        <v>A</v>
      </c>
      <c r="R48" s="97"/>
      <c r="S48" s="150">
        <f t="shared" si="4"/>
        <v>53</v>
      </c>
      <c r="T48" s="151">
        <f>'1° Parcial'!T48+(7*8)</f>
        <v>56</v>
      </c>
      <c r="U48" s="118" t="str">
        <f>'1° Parcial'!U48</f>
        <v/>
      </c>
      <c r="V48" s="118" t="str">
        <f>'1° Parcial'!V48</f>
        <v/>
      </c>
      <c r="W48" s="97"/>
      <c r="X48" s="150">
        <f t="shared" si="5"/>
        <v>46335</v>
      </c>
      <c r="Y48" s="151">
        <f>'1° Parcial'!Y48+(7*8)</f>
        <v>46338</v>
      </c>
      <c r="Z48" s="118">
        <f>'1° Parcial'!Z48</f>
        <v>0.71875</v>
      </c>
      <c r="AA48" s="118" t="str">
        <f>'1° Parcial'!AA48</f>
        <v/>
      </c>
      <c r="AB48" s="97"/>
      <c r="AC48" s="154">
        <f t="shared" si="6"/>
        <v>46341</v>
      </c>
      <c r="AD48" s="155"/>
      <c r="AE48" s="155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</row>
    <row r="49">
      <c r="A49" s="90"/>
      <c r="B49" s="95" t="str">
        <f>'1° Parcial'!B49</f>
        <v>LENGUAJES DE PROGRAMACIÓN DE ÚLTIMA GENERACIÓN</v>
      </c>
      <c r="C49" s="97" t="str">
        <f>'1° Parcial'!C49</f>
        <v>SIS-326</v>
      </c>
      <c r="D49" s="100" t="str">
        <f>'1° Parcial'!D49</f>
        <v>6º </v>
      </c>
      <c r="E49" s="100" t="str">
        <f>'1° Parcial'!E49</f>
        <v>TA-01</v>
      </c>
      <c r="F49" s="103" t="str">
        <f>'1° Parcial'!F49</f>
        <v>HAROLD MARCO ANTONIO ROJAS TORRES</v>
      </c>
      <c r="G49" s="106" t="str">
        <f>'1° Parcial'!G49</f>
        <v/>
      </c>
      <c r="H49" s="150">
        <f t="shared" si="1"/>
        <v>46346</v>
      </c>
      <c r="I49" s="115">
        <f t="shared" si="2"/>
        <v>46346</v>
      </c>
      <c r="J49" s="151">
        <f>'1° Parcial'!J49+(7*8)</f>
        <v>46349</v>
      </c>
      <c r="K49" s="118">
        <f>'1° Parcial'!K49</f>
        <v>0.65625</v>
      </c>
      <c r="L49" s="118">
        <f>'1° Parcial'!L49</f>
        <v>12</v>
      </c>
      <c r="M49" s="119" t="s">
        <v>23</v>
      </c>
      <c r="N49" s="150">
        <f t="shared" si="3"/>
        <v>46339</v>
      </c>
      <c r="O49" s="151">
        <f>'1° Parcial'!O49+(7*8)</f>
        <v>46342</v>
      </c>
      <c r="P49" s="118">
        <f>'1° Parcial'!P49</f>
        <v>0.65625</v>
      </c>
      <c r="Q49" s="118" t="str">
        <f>'1° Parcial'!Q49</f>
        <v>A</v>
      </c>
      <c r="R49" s="97"/>
      <c r="S49" s="150">
        <f t="shared" si="4"/>
        <v>53</v>
      </c>
      <c r="T49" s="151">
        <f>'1° Parcial'!T49+(7*8)</f>
        <v>56</v>
      </c>
      <c r="U49" s="118" t="str">
        <f>'1° Parcial'!U49</f>
        <v/>
      </c>
      <c r="V49" s="118" t="str">
        <f>'1° Parcial'!V49</f>
        <v/>
      </c>
      <c r="W49" s="97"/>
      <c r="X49" s="150">
        <f t="shared" si="5"/>
        <v>46346</v>
      </c>
      <c r="Y49" s="151">
        <f>'1° Parcial'!Y49+(7*8)</f>
        <v>46349</v>
      </c>
      <c r="Z49" s="118">
        <f>'1° Parcial'!Z49</f>
        <v>0.65625</v>
      </c>
      <c r="AA49" s="118" t="str">
        <f>'1° Parcial'!AA49</f>
        <v/>
      </c>
      <c r="AB49" s="97"/>
      <c r="AC49" s="154">
        <f t="shared" si="6"/>
        <v>46352</v>
      </c>
      <c r="AD49" s="155"/>
      <c r="AE49" s="155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</row>
    <row r="50">
      <c r="A50" s="90"/>
      <c r="B50" s="95" t="str">
        <f>'1° Parcial'!B50</f>
        <v>MÉTODOS Y TÉCNICAS DE INVESTIGACIÓN</v>
      </c>
      <c r="C50" s="97" t="str">
        <f>'1° Parcial'!C50</f>
        <v>SIS-411</v>
      </c>
      <c r="D50" s="100" t="str">
        <f>'1° Parcial'!D50</f>
        <v>7º </v>
      </c>
      <c r="E50" s="100" t="str">
        <f>'1° Parcial'!E50</f>
        <v>TA-01</v>
      </c>
      <c r="F50" s="103" t="str">
        <f>'1° Parcial'!F50</f>
        <v>EDWIN WINDSOR JARA ARIAS</v>
      </c>
      <c r="G50" s="106" t="str">
        <f>'1° Parcial'!G50</f>
        <v/>
      </c>
      <c r="H50" s="150">
        <f t="shared" si="1"/>
        <v>46341</v>
      </c>
      <c r="I50" s="115">
        <f t="shared" si="2"/>
        <v>46341</v>
      </c>
      <c r="J50" s="151">
        <f>'1° Parcial'!J50+(7*8)</f>
        <v>46344</v>
      </c>
      <c r="K50" s="118">
        <f>'1° Parcial'!K50</f>
        <v>0.71875</v>
      </c>
      <c r="L50" s="118">
        <f>'1° Parcial'!L50</f>
        <v>7</v>
      </c>
      <c r="M50" s="119" t="s">
        <v>23</v>
      </c>
      <c r="N50" s="150">
        <f t="shared" si="3"/>
        <v>46334</v>
      </c>
      <c r="O50" s="151">
        <f>'1° Parcial'!O50+(7*8)</f>
        <v>46337</v>
      </c>
      <c r="P50" s="118">
        <f>'1° Parcial'!P50</f>
        <v>0.71875</v>
      </c>
      <c r="Q50" s="118" t="str">
        <f>'1° Parcial'!Q50</f>
        <v>A</v>
      </c>
      <c r="R50" s="97"/>
      <c r="S50" s="150">
        <f t="shared" si="4"/>
        <v>53</v>
      </c>
      <c r="T50" s="151">
        <f>'1° Parcial'!T50+(7*8)</f>
        <v>56</v>
      </c>
      <c r="U50" s="118" t="str">
        <f>'1° Parcial'!U50</f>
        <v/>
      </c>
      <c r="V50" s="118" t="str">
        <f>'1° Parcial'!V50</f>
        <v/>
      </c>
      <c r="W50" s="97"/>
      <c r="X50" s="150">
        <f t="shared" si="5"/>
        <v>46341</v>
      </c>
      <c r="Y50" s="151">
        <f>'1° Parcial'!Y50+(7*8)</f>
        <v>46344</v>
      </c>
      <c r="Z50" s="118">
        <f>'1° Parcial'!Z50</f>
        <v>0.71875</v>
      </c>
      <c r="AA50" s="118" t="str">
        <f>'1° Parcial'!AA50</f>
        <v/>
      </c>
      <c r="AB50" s="97"/>
      <c r="AC50" s="154">
        <f t="shared" si="6"/>
        <v>46347</v>
      </c>
      <c r="AD50" s="155"/>
      <c r="AE50" s="155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</row>
    <row r="51">
      <c r="A51" s="90"/>
      <c r="B51" s="95" t="str">
        <f>'1° Parcial'!B51</f>
        <v>REDES NEURONALES E INTELIGENCIA ARTIFICIAL</v>
      </c>
      <c r="C51" s="97" t="str">
        <f>'1° Parcial'!C51</f>
        <v>SIS-412</v>
      </c>
      <c r="D51" s="100" t="str">
        <f>'1° Parcial'!D51</f>
        <v>7º </v>
      </c>
      <c r="E51" s="100" t="str">
        <f>'1° Parcial'!E51</f>
        <v>TA-01</v>
      </c>
      <c r="F51" s="103" t="str">
        <f>'1° Parcial'!F51</f>
        <v>BLADIMIR MARCELO AJATA GUZMAN</v>
      </c>
      <c r="G51" s="106" t="str">
        <f>'1° Parcial'!G51</f>
        <v/>
      </c>
      <c r="H51" s="150">
        <f t="shared" si="1"/>
        <v>46339</v>
      </c>
      <c r="I51" s="115">
        <f t="shared" si="2"/>
        <v>46339</v>
      </c>
      <c r="J51" s="151">
        <f>'1° Parcial'!J51+(7*8)</f>
        <v>46342</v>
      </c>
      <c r="K51" s="118">
        <f>'1° Parcial'!K51</f>
        <v>0.78125</v>
      </c>
      <c r="L51" s="118">
        <f>'1° Parcial'!L51</f>
        <v>7</v>
      </c>
      <c r="M51" s="119" t="s">
        <v>23</v>
      </c>
      <c r="N51" s="150">
        <f t="shared" si="3"/>
        <v>46332</v>
      </c>
      <c r="O51" s="151">
        <f>'1° Parcial'!O51+(7*8)</f>
        <v>46335</v>
      </c>
      <c r="P51" s="118">
        <f>'1° Parcial'!P51</f>
        <v>0.78125</v>
      </c>
      <c r="Q51" s="118" t="str">
        <f>'1° Parcial'!Q51</f>
        <v>A</v>
      </c>
      <c r="R51" s="97"/>
      <c r="S51" s="150">
        <f t="shared" si="4"/>
        <v>53</v>
      </c>
      <c r="T51" s="151">
        <f>'1° Parcial'!T51+(7*8)</f>
        <v>56</v>
      </c>
      <c r="U51" s="118" t="str">
        <f>'1° Parcial'!U51</f>
        <v/>
      </c>
      <c r="V51" s="118" t="str">
        <f>'1° Parcial'!V51</f>
        <v/>
      </c>
      <c r="W51" s="97"/>
      <c r="X51" s="150">
        <f t="shared" si="5"/>
        <v>46339</v>
      </c>
      <c r="Y51" s="151">
        <f>'1° Parcial'!Y51+(7*8)</f>
        <v>46342</v>
      </c>
      <c r="Z51" s="118">
        <f>'1° Parcial'!Z51</f>
        <v>0.78125</v>
      </c>
      <c r="AA51" s="118" t="str">
        <f>'1° Parcial'!AA51</f>
        <v/>
      </c>
      <c r="AB51" s="97"/>
      <c r="AC51" s="154">
        <f t="shared" si="6"/>
        <v>46345</v>
      </c>
      <c r="AD51" s="155"/>
      <c r="AE51" s="155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</row>
    <row r="52">
      <c r="A52" s="90"/>
      <c r="B52" s="95" t="str">
        <f>'1° Parcial'!B52</f>
        <v>TELECOMUNICACIONES</v>
      </c>
      <c r="C52" s="97" t="str">
        <f>'1° Parcial'!C52</f>
        <v>SIS-413</v>
      </c>
      <c r="D52" s="100" t="str">
        <f>'1° Parcial'!D52</f>
        <v>7º </v>
      </c>
      <c r="E52" s="100" t="str">
        <f>'1° Parcial'!E52</f>
        <v>TA-01</v>
      </c>
      <c r="F52" s="103" t="str">
        <f>'1° Parcial'!F52</f>
        <v>ARIEL DENYS CAMARA ARZE</v>
      </c>
      <c r="G52" s="106" t="str">
        <f>'1° Parcial'!G52</f>
        <v/>
      </c>
      <c r="H52" s="150">
        <f t="shared" si="1"/>
        <v>46343</v>
      </c>
      <c r="I52" s="115">
        <f t="shared" si="2"/>
        <v>46343</v>
      </c>
      <c r="J52" s="151">
        <f>'1° Parcial'!J52+(7*8)</f>
        <v>46346</v>
      </c>
      <c r="K52" s="118">
        <f>'1° Parcial'!K52</f>
        <v>0.71875</v>
      </c>
      <c r="L52" s="118">
        <f>'1° Parcial'!L52</f>
        <v>7</v>
      </c>
      <c r="M52" s="119" t="s">
        <v>23</v>
      </c>
      <c r="N52" s="150">
        <f t="shared" si="3"/>
        <v>46336</v>
      </c>
      <c r="O52" s="151">
        <f>'1° Parcial'!O52+(7*8)</f>
        <v>46339</v>
      </c>
      <c r="P52" s="118">
        <f>'1° Parcial'!P52</f>
        <v>0.71875</v>
      </c>
      <c r="Q52" s="118" t="str">
        <f>'1° Parcial'!Q52</f>
        <v>A</v>
      </c>
      <c r="R52" s="97"/>
      <c r="S52" s="150">
        <f t="shared" si="4"/>
        <v>53</v>
      </c>
      <c r="T52" s="151">
        <f>'1° Parcial'!T52+(7*8)</f>
        <v>56</v>
      </c>
      <c r="U52" s="118" t="str">
        <f>'1° Parcial'!U52</f>
        <v/>
      </c>
      <c r="V52" s="118" t="str">
        <f>'1° Parcial'!V52</f>
        <v/>
      </c>
      <c r="W52" s="97"/>
      <c r="X52" s="150">
        <f t="shared" si="5"/>
        <v>46343</v>
      </c>
      <c r="Y52" s="151">
        <f>'1° Parcial'!Y52+(7*8)</f>
        <v>46346</v>
      </c>
      <c r="Z52" s="118">
        <f>'1° Parcial'!Z52</f>
        <v>0.71875</v>
      </c>
      <c r="AA52" s="118" t="str">
        <f>'1° Parcial'!AA52</f>
        <v/>
      </c>
      <c r="AB52" s="97"/>
      <c r="AC52" s="154">
        <f t="shared" si="6"/>
        <v>46349</v>
      </c>
      <c r="AD52" s="155"/>
      <c r="AE52" s="155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</row>
    <row r="53">
      <c r="A53" s="90"/>
      <c r="B53" s="95" t="str">
        <f>'1° Parcial'!B53</f>
        <v>INGENIERÍA DE SOFTWARE</v>
      </c>
      <c r="C53" s="97" t="str">
        <f>'1° Parcial'!C53</f>
        <v>SIS-414</v>
      </c>
      <c r="D53" s="100" t="str">
        <f>'1° Parcial'!D53</f>
        <v>7º </v>
      </c>
      <c r="E53" s="100" t="str">
        <f>'1° Parcial'!E53</f>
        <v>TA-01</v>
      </c>
      <c r="F53" s="103" t="str">
        <f>'1° Parcial'!F53</f>
        <v>WALTER JOSE CAZAS CASTRO</v>
      </c>
      <c r="G53" s="106" t="str">
        <f>'1° Parcial'!G53</f>
        <v/>
      </c>
      <c r="H53" s="150">
        <f t="shared" si="1"/>
        <v>46333</v>
      </c>
      <c r="I53" s="115">
        <f t="shared" si="2"/>
        <v>46333</v>
      </c>
      <c r="J53" s="151">
        <f>'1° Parcial'!J53+(7*8)</f>
        <v>46336</v>
      </c>
      <c r="K53" s="118">
        <f>'1° Parcial'!K53</f>
        <v>0.59375</v>
      </c>
      <c r="L53" s="118">
        <f>'1° Parcial'!L53</f>
        <v>7</v>
      </c>
      <c r="M53" s="119" t="s">
        <v>23</v>
      </c>
      <c r="N53" s="150">
        <f t="shared" si="3"/>
        <v>46326</v>
      </c>
      <c r="O53" s="151">
        <f>'1° Parcial'!O53+(7*8)</f>
        <v>46329</v>
      </c>
      <c r="P53" s="118">
        <f>'1° Parcial'!P53</f>
        <v>0.59375</v>
      </c>
      <c r="Q53" s="118" t="str">
        <f>'1° Parcial'!Q53</f>
        <v>A</v>
      </c>
      <c r="R53" s="97"/>
      <c r="S53" s="150">
        <f t="shared" si="4"/>
        <v>53</v>
      </c>
      <c r="T53" s="151">
        <f>'1° Parcial'!T53+(7*8)</f>
        <v>56</v>
      </c>
      <c r="U53" s="118" t="str">
        <f>'1° Parcial'!U53</f>
        <v/>
      </c>
      <c r="V53" s="118" t="str">
        <f>'1° Parcial'!V53</f>
        <v/>
      </c>
      <c r="W53" s="97"/>
      <c r="X53" s="150">
        <f t="shared" si="5"/>
        <v>46333</v>
      </c>
      <c r="Y53" s="151">
        <f>'1° Parcial'!Y53+(7*8)</f>
        <v>46336</v>
      </c>
      <c r="Z53" s="118">
        <f>'1° Parcial'!Z53</f>
        <v>0.59375</v>
      </c>
      <c r="AA53" s="118" t="str">
        <f>'1° Parcial'!AA53</f>
        <v/>
      </c>
      <c r="AB53" s="97"/>
      <c r="AC53" s="154">
        <f t="shared" si="6"/>
        <v>46339</v>
      </c>
      <c r="AD53" s="155"/>
      <c r="AE53" s="155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</row>
    <row r="54">
      <c r="A54" s="90"/>
      <c r="B54" s="95" t="str">
        <f>'1° Parcial'!B54</f>
        <v>TALLER DE SIMULACIÓN DE SISTEMAS</v>
      </c>
      <c r="C54" s="97" t="str">
        <f>'1° Parcial'!C54</f>
        <v>SIS-415</v>
      </c>
      <c r="D54" s="100" t="str">
        <f>'1° Parcial'!D54</f>
        <v>7º </v>
      </c>
      <c r="E54" s="100" t="str">
        <f>'1° Parcial'!E54</f>
        <v>TA-01</v>
      </c>
      <c r="F54" s="103" t="str">
        <f>'1° Parcial'!F54</f>
        <v>WILSON JAVIER CONTRERAS VARGAS</v>
      </c>
      <c r="G54" s="106" t="str">
        <f>'1° Parcial'!G54</f>
        <v/>
      </c>
      <c r="H54" s="150">
        <f t="shared" si="1"/>
        <v>46335</v>
      </c>
      <c r="I54" s="115">
        <f t="shared" si="2"/>
        <v>46335</v>
      </c>
      <c r="J54" s="151">
        <f>'1° Parcial'!J54+(7*8)</f>
        <v>46338</v>
      </c>
      <c r="K54" s="118">
        <f>'1° Parcial'!K54</f>
        <v>0.59375</v>
      </c>
      <c r="L54" s="118">
        <f>'1° Parcial'!L54</f>
        <v>7</v>
      </c>
      <c r="M54" s="119" t="s">
        <v>23</v>
      </c>
      <c r="N54" s="150">
        <f t="shared" si="3"/>
        <v>46328</v>
      </c>
      <c r="O54" s="151">
        <f>'1° Parcial'!O54+(7*8)</f>
        <v>46331</v>
      </c>
      <c r="P54" s="118">
        <f>'1° Parcial'!P54</f>
        <v>0.59375</v>
      </c>
      <c r="Q54" s="118" t="str">
        <f>'1° Parcial'!Q54</f>
        <v>A</v>
      </c>
      <c r="R54" s="97"/>
      <c r="S54" s="150">
        <f t="shared" si="4"/>
        <v>53</v>
      </c>
      <c r="T54" s="151">
        <f>'1° Parcial'!T54+(7*8)</f>
        <v>56</v>
      </c>
      <c r="U54" s="118" t="str">
        <f>'1° Parcial'!U54</f>
        <v/>
      </c>
      <c r="V54" s="118" t="str">
        <f>'1° Parcial'!V54</f>
        <v/>
      </c>
      <c r="W54" s="97"/>
      <c r="X54" s="150">
        <f t="shared" si="5"/>
        <v>46335</v>
      </c>
      <c r="Y54" s="151">
        <f>'1° Parcial'!Y54+(7*8)</f>
        <v>46338</v>
      </c>
      <c r="Z54" s="118">
        <f>'1° Parcial'!Z54</f>
        <v>0.59375</v>
      </c>
      <c r="AA54" s="118" t="str">
        <f>'1° Parcial'!AA54</f>
        <v/>
      </c>
      <c r="AB54" s="97"/>
      <c r="AC54" s="154">
        <f t="shared" si="6"/>
        <v>46341</v>
      </c>
      <c r="AD54" s="155"/>
      <c r="AE54" s="155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</row>
    <row r="55">
      <c r="A55" s="90"/>
      <c r="B55" s="95" t="str">
        <f>'1° Parcial'!B55</f>
        <v>MÉTODO DE DESARROLLO DE SOFTWARE</v>
      </c>
      <c r="C55" s="97" t="str">
        <f>'1° Parcial'!C55</f>
        <v>SIS-416</v>
      </c>
      <c r="D55" s="100" t="str">
        <f>'1° Parcial'!D55</f>
        <v>7º </v>
      </c>
      <c r="E55" s="100" t="str">
        <f>'1° Parcial'!E55</f>
        <v>TA-01</v>
      </c>
      <c r="F55" s="103" t="str">
        <f>'1° Parcial'!F55</f>
        <v>JANNETH SOFIA MEDINA ALEMAN</v>
      </c>
      <c r="G55" s="106" t="str">
        <f>'1° Parcial'!G55</f>
        <v/>
      </c>
      <c r="H55" s="150">
        <f t="shared" si="1"/>
        <v>46346</v>
      </c>
      <c r="I55" s="115">
        <f t="shared" si="2"/>
        <v>46346</v>
      </c>
      <c r="J55" s="151">
        <f>'1° Parcial'!J55+(7*8)</f>
        <v>46349</v>
      </c>
      <c r="K55" s="118">
        <f>'1° Parcial'!K55</f>
        <v>0.65625</v>
      </c>
      <c r="L55" s="118">
        <f>'1° Parcial'!L55</f>
        <v>7</v>
      </c>
      <c r="M55" s="119" t="s">
        <v>23</v>
      </c>
      <c r="N55" s="150">
        <f t="shared" si="3"/>
        <v>46339</v>
      </c>
      <c r="O55" s="151">
        <f>'1° Parcial'!O55+(7*8)</f>
        <v>46342</v>
      </c>
      <c r="P55" s="118">
        <f>'1° Parcial'!P55</f>
        <v>0.65625</v>
      </c>
      <c r="Q55" s="118" t="str">
        <f>'1° Parcial'!Q55</f>
        <v>A</v>
      </c>
      <c r="R55" s="97"/>
      <c r="S55" s="150">
        <f t="shared" si="4"/>
        <v>53</v>
      </c>
      <c r="T55" s="151">
        <f>'1° Parcial'!T55+(7*8)</f>
        <v>56</v>
      </c>
      <c r="U55" s="118" t="str">
        <f>'1° Parcial'!U55</f>
        <v/>
      </c>
      <c r="V55" s="118" t="str">
        <f>'1° Parcial'!V55</f>
        <v/>
      </c>
      <c r="W55" s="97"/>
      <c r="X55" s="150">
        <f t="shared" si="5"/>
        <v>46346</v>
      </c>
      <c r="Y55" s="151">
        <f>'1° Parcial'!Y55+(7*8)</f>
        <v>46349</v>
      </c>
      <c r="Z55" s="118">
        <f>'1° Parcial'!Z55</f>
        <v>0.65625</v>
      </c>
      <c r="AA55" s="118" t="str">
        <f>'1° Parcial'!AA55</f>
        <v/>
      </c>
      <c r="AB55" s="97"/>
      <c r="AC55" s="154">
        <f t="shared" si="6"/>
        <v>46352</v>
      </c>
      <c r="AD55" s="155"/>
      <c r="AE55" s="155"/>
      <c r="AF55" s="124"/>
      <c r="AG55" s="124"/>
      <c r="AH55" s="124"/>
      <c r="AI55" s="124"/>
      <c r="AJ55" s="124"/>
      <c r="AK55" s="124"/>
      <c r="AL55" s="124"/>
      <c r="AM55" s="124"/>
      <c r="AN55" s="124"/>
      <c r="AO55" s="124"/>
      <c r="AP55" s="124"/>
      <c r="AQ55" s="124"/>
      <c r="AR55" s="124"/>
      <c r="AS55" s="124"/>
    </row>
    <row r="56">
      <c r="A56" s="90"/>
      <c r="B56" s="95" t="str">
        <f>'1° Parcial'!B56</f>
        <v>TALLER DE TITULACIÓN</v>
      </c>
      <c r="C56" s="97" t="str">
        <f>'1° Parcial'!C56</f>
        <v>SIS-421</v>
      </c>
      <c r="D56" s="100" t="str">
        <f>'1° Parcial'!D56</f>
        <v>8º </v>
      </c>
      <c r="E56" s="100" t="str">
        <f>'1° Parcial'!E56</f>
        <v>TA-01</v>
      </c>
      <c r="F56" s="103" t="str">
        <f>'1° Parcial'!F56</f>
        <v>JANNETH SOFIA MEDINA ALEMAN</v>
      </c>
      <c r="G56" s="106" t="str">
        <f>'1° Parcial'!G56</f>
        <v/>
      </c>
      <c r="H56" s="150">
        <f t="shared" si="1"/>
        <v>46339</v>
      </c>
      <c r="I56" s="115">
        <f t="shared" si="2"/>
        <v>46339</v>
      </c>
      <c r="J56" s="151">
        <f>'1° Parcial'!J56+(7*8)</f>
        <v>46342</v>
      </c>
      <c r="K56" s="118">
        <f>'1° Parcial'!K56</f>
        <v>0.53125</v>
      </c>
      <c r="L56" s="118">
        <f>'1° Parcial'!L56</f>
        <v>10</v>
      </c>
      <c r="M56" s="119" t="s">
        <v>23</v>
      </c>
      <c r="N56" s="150">
        <f t="shared" si="3"/>
        <v>46332</v>
      </c>
      <c r="O56" s="151">
        <f>'1° Parcial'!O56+(7*8)</f>
        <v>46335</v>
      </c>
      <c r="P56" s="118">
        <f>'1° Parcial'!P56</f>
        <v>0.53125</v>
      </c>
      <c r="Q56" s="118" t="str">
        <f>'1° Parcial'!Q56</f>
        <v>A</v>
      </c>
      <c r="R56" s="97"/>
      <c r="S56" s="150">
        <f t="shared" si="4"/>
        <v>53</v>
      </c>
      <c r="T56" s="151">
        <f>'1° Parcial'!T56+(7*8)</f>
        <v>56</v>
      </c>
      <c r="U56" s="118" t="str">
        <f>'1° Parcial'!U56</f>
        <v/>
      </c>
      <c r="V56" s="118" t="str">
        <f>'1° Parcial'!V56</f>
        <v/>
      </c>
      <c r="W56" s="97"/>
      <c r="X56" s="150">
        <f t="shared" si="5"/>
        <v>46339</v>
      </c>
      <c r="Y56" s="151">
        <f>'1° Parcial'!Y56+(7*8)</f>
        <v>46342</v>
      </c>
      <c r="Z56" s="118">
        <f>'1° Parcial'!Z56</f>
        <v>0.53125</v>
      </c>
      <c r="AA56" s="118" t="str">
        <f>'1° Parcial'!AA56</f>
        <v/>
      </c>
      <c r="AB56" s="97"/>
      <c r="AC56" s="154">
        <f t="shared" si="6"/>
        <v>46345</v>
      </c>
      <c r="AD56" s="155"/>
      <c r="AE56" s="155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</row>
    <row r="57">
      <c r="A57" s="90"/>
      <c r="B57" s="95" t="str">
        <f>'1° Parcial'!B57</f>
        <v>GESTIÓN ESTRATÉGICA DE EMPRESAS</v>
      </c>
      <c r="C57" s="97" t="str">
        <f>'1° Parcial'!C57</f>
        <v>SIS-422</v>
      </c>
      <c r="D57" s="100" t="str">
        <f>'1° Parcial'!D57</f>
        <v>8º </v>
      </c>
      <c r="E57" s="100" t="str">
        <f>'1° Parcial'!E57</f>
        <v>TA-01</v>
      </c>
      <c r="F57" s="103" t="str">
        <f>'1° Parcial'!F57</f>
        <v>ELIANA LESLY MICORDIA ROMERO</v>
      </c>
      <c r="G57" s="106" t="str">
        <f>'1° Parcial'!G57</f>
        <v/>
      </c>
      <c r="H57" s="150">
        <f t="shared" si="1"/>
        <v>46333</v>
      </c>
      <c r="I57" s="115">
        <f t="shared" si="2"/>
        <v>46333</v>
      </c>
      <c r="J57" s="151">
        <f>'1° Parcial'!J57+(7*8)</f>
        <v>46336</v>
      </c>
      <c r="K57" s="118">
        <f>'1° Parcial'!K57</f>
        <v>0.59375</v>
      </c>
      <c r="L57" s="118">
        <f>'1° Parcial'!L57</f>
        <v>10</v>
      </c>
      <c r="M57" s="119" t="s">
        <v>23</v>
      </c>
      <c r="N57" s="150">
        <f t="shared" si="3"/>
        <v>46326</v>
      </c>
      <c r="O57" s="151">
        <f>'1° Parcial'!O57+(7*8)</f>
        <v>46329</v>
      </c>
      <c r="P57" s="118">
        <f>'1° Parcial'!P57</f>
        <v>0.59375</v>
      </c>
      <c r="Q57" s="118" t="str">
        <f>'1° Parcial'!Q57</f>
        <v>A</v>
      </c>
      <c r="R57" s="97"/>
      <c r="S57" s="150">
        <f t="shared" si="4"/>
        <v>53</v>
      </c>
      <c r="T57" s="151">
        <f>'1° Parcial'!T57+(7*8)</f>
        <v>56</v>
      </c>
      <c r="U57" s="118" t="str">
        <f>'1° Parcial'!U57</f>
        <v/>
      </c>
      <c r="V57" s="118" t="str">
        <f>'1° Parcial'!V57</f>
        <v/>
      </c>
      <c r="W57" s="97"/>
      <c r="X57" s="150">
        <f t="shared" si="5"/>
        <v>46333</v>
      </c>
      <c r="Y57" s="151">
        <f>'1° Parcial'!Y57+(7*8)</f>
        <v>46336</v>
      </c>
      <c r="Z57" s="118">
        <f>'1° Parcial'!Z57</f>
        <v>0.59375</v>
      </c>
      <c r="AA57" s="118" t="str">
        <f>'1° Parcial'!AA57</f>
        <v/>
      </c>
      <c r="AB57" s="97"/>
      <c r="AC57" s="154">
        <f t="shared" si="6"/>
        <v>46339</v>
      </c>
      <c r="AD57" s="155"/>
      <c r="AE57" s="155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</row>
    <row r="58">
      <c r="A58" s="90"/>
      <c r="B58" s="95" t="str">
        <f>'1° Parcial'!B58</f>
        <v>TALLER DE INGENIERÍA DE SOFTWARE</v>
      </c>
      <c r="C58" s="97" t="str">
        <f>'1° Parcial'!C58</f>
        <v>SIS-423</v>
      </c>
      <c r="D58" s="100" t="str">
        <f>'1° Parcial'!D58</f>
        <v>8º </v>
      </c>
      <c r="E58" s="100" t="str">
        <f>'1° Parcial'!E58</f>
        <v>TA-01</v>
      </c>
      <c r="F58" s="103" t="str">
        <f>'1° Parcial'!F58</f>
        <v>HAROLD MARCO ANTONIO ROJAS TORRES</v>
      </c>
      <c r="G58" s="106" t="str">
        <f>'1° Parcial'!G58</f>
        <v/>
      </c>
      <c r="H58" s="150">
        <f t="shared" si="1"/>
        <v>46335</v>
      </c>
      <c r="I58" s="115">
        <f t="shared" si="2"/>
        <v>46335</v>
      </c>
      <c r="J58" s="151">
        <f>'1° Parcial'!J58+(7*8)</f>
        <v>46338</v>
      </c>
      <c r="K58" s="118">
        <f>'1° Parcial'!K58</f>
        <v>0.59375</v>
      </c>
      <c r="L58" s="118">
        <f>'1° Parcial'!L58</f>
        <v>10</v>
      </c>
      <c r="M58" s="119" t="s">
        <v>23</v>
      </c>
      <c r="N58" s="150">
        <f t="shared" si="3"/>
        <v>46328</v>
      </c>
      <c r="O58" s="151">
        <f>'1° Parcial'!O58+(7*8)</f>
        <v>46331</v>
      </c>
      <c r="P58" s="118">
        <f>'1° Parcial'!P58</f>
        <v>0.59375</v>
      </c>
      <c r="Q58" s="118" t="str">
        <f>'1° Parcial'!Q58</f>
        <v>A</v>
      </c>
      <c r="R58" s="97"/>
      <c r="S58" s="150">
        <f t="shared" si="4"/>
        <v>53</v>
      </c>
      <c r="T58" s="151">
        <f>'1° Parcial'!T58+(7*8)</f>
        <v>56</v>
      </c>
      <c r="U58" s="118" t="str">
        <f>'1° Parcial'!U58</f>
        <v/>
      </c>
      <c r="V58" s="118" t="str">
        <f>'1° Parcial'!V58</f>
        <v/>
      </c>
      <c r="W58" s="97"/>
      <c r="X58" s="150">
        <f t="shared" si="5"/>
        <v>46335</v>
      </c>
      <c r="Y58" s="151">
        <f>'1° Parcial'!Y58+(7*8)</f>
        <v>46338</v>
      </c>
      <c r="Z58" s="118">
        <f>'1° Parcial'!Z58</f>
        <v>0.59375</v>
      </c>
      <c r="AA58" s="118" t="str">
        <f>'1° Parcial'!AA58</f>
        <v/>
      </c>
      <c r="AB58" s="97"/>
      <c r="AC58" s="154">
        <f t="shared" si="6"/>
        <v>46341</v>
      </c>
      <c r="AD58" s="155"/>
      <c r="AE58" s="155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</row>
    <row r="59">
      <c r="A59" s="90"/>
      <c r="B59" s="95" t="str">
        <f>'1° Parcial'!B59</f>
        <v>GESTIÓN DE CALIDAD ESTRATÉGICA DE PROYECTOS DE SOFTWARE</v>
      </c>
      <c r="C59" s="97" t="str">
        <f>'1° Parcial'!C59</f>
        <v>SIS-425</v>
      </c>
      <c r="D59" s="100" t="str">
        <f>'1° Parcial'!D59</f>
        <v>8º </v>
      </c>
      <c r="E59" s="100" t="str">
        <f>'1° Parcial'!E59</f>
        <v>TA-01</v>
      </c>
      <c r="F59" s="103" t="str">
        <f>'1° Parcial'!F59</f>
        <v>AMILKAR JESUS MIRANDA ROMERO</v>
      </c>
      <c r="G59" s="106" t="str">
        <f>'1° Parcial'!G59</f>
        <v/>
      </c>
      <c r="H59" s="150">
        <f t="shared" si="1"/>
        <v>46343</v>
      </c>
      <c r="I59" s="115">
        <f t="shared" si="2"/>
        <v>46343</v>
      </c>
      <c r="J59" s="151">
        <f>'1° Parcial'!J59+(7*8)</f>
        <v>46346</v>
      </c>
      <c r="K59" s="118">
        <f>'1° Parcial'!K59</f>
        <v>0.71875</v>
      </c>
      <c r="L59" s="118">
        <f>'1° Parcial'!L59</f>
        <v>10</v>
      </c>
      <c r="M59" s="119" t="s">
        <v>23</v>
      </c>
      <c r="N59" s="150">
        <f t="shared" si="3"/>
        <v>46336</v>
      </c>
      <c r="O59" s="151">
        <f>'1° Parcial'!O59+(7*8)</f>
        <v>46339</v>
      </c>
      <c r="P59" s="118">
        <f>'1° Parcial'!P59</f>
        <v>0.71875</v>
      </c>
      <c r="Q59" s="118" t="str">
        <f>'1° Parcial'!Q59</f>
        <v>A</v>
      </c>
      <c r="R59" s="97"/>
      <c r="S59" s="150">
        <f t="shared" si="4"/>
        <v>53</v>
      </c>
      <c r="T59" s="151">
        <f>'1° Parcial'!T59+(7*8)</f>
        <v>56</v>
      </c>
      <c r="U59" s="118" t="str">
        <f>'1° Parcial'!U59</f>
        <v/>
      </c>
      <c r="V59" s="118" t="str">
        <f>'1° Parcial'!V59</f>
        <v/>
      </c>
      <c r="W59" s="97"/>
      <c r="X59" s="150">
        <f t="shared" si="5"/>
        <v>46343</v>
      </c>
      <c r="Y59" s="151">
        <f>'1° Parcial'!Y59+(7*8)</f>
        <v>46346</v>
      </c>
      <c r="Z59" s="118">
        <f>'1° Parcial'!Z59</f>
        <v>0.71875</v>
      </c>
      <c r="AA59" s="118" t="str">
        <f>'1° Parcial'!AA59</f>
        <v/>
      </c>
      <c r="AB59" s="97"/>
      <c r="AC59" s="154">
        <f t="shared" si="6"/>
        <v>46349</v>
      </c>
      <c r="AD59" s="155"/>
      <c r="AE59" s="155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</row>
  </sheetData>
  <mergeCells count="6">
    <mergeCell ref="B2:AE2"/>
    <mergeCell ref="B3:AE3"/>
    <mergeCell ref="B4:AE4"/>
    <mergeCell ref="B5:AE5"/>
    <mergeCell ref="B6:AE6"/>
    <mergeCell ref="B7:AE7"/>
  </mergeCells>
  <dataValidations>
    <dataValidation type="list" allowBlank="1" showErrorMessage="1" sqref="M10:M59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9.75"/>
    <col customWidth="1" min="3" max="3" width="10.0"/>
    <col customWidth="1" min="4" max="5" width="5.0"/>
    <col customWidth="1" min="6" max="7" width="29.75"/>
    <col customWidth="1" min="8" max="9" width="9.88"/>
    <col customWidth="1" min="10" max="10" width="5.38"/>
    <col customWidth="1" min="11" max="11" width="5.25"/>
    <col customWidth="1" min="12" max="12" width="8.13"/>
    <col customWidth="1" min="13" max="13" width="9.88"/>
    <col customWidth="1" min="14" max="14" width="5.38"/>
    <col customWidth="1" min="15" max="15" width="6.38"/>
    <col customWidth="1" min="16" max="16" width="5.25"/>
    <col customWidth="1" min="17" max="17" width="9.88"/>
    <col customWidth="1" min="18" max="18" width="5.38"/>
    <col customWidth="1" min="19" max="19" width="6.38"/>
    <col customWidth="1" min="20" max="20" width="5.25"/>
    <col customWidth="1" min="21" max="21" width="9.88"/>
    <col customWidth="1" min="22" max="22" width="5.38"/>
    <col customWidth="1" min="23" max="23" width="6.38"/>
    <col customWidth="1" min="24" max="24" width="5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3"/>
    </row>
    <row r="3">
      <c r="A3" s="8"/>
      <c r="B3" s="11" t="str">
        <f>'1° Parcial'!B3</f>
        <v>UNIVERSIDAD TÉCNICA PRIVADA COSMOS</v>
      </c>
      <c r="X3" s="12"/>
      <c r="Y3" s="3"/>
    </row>
    <row r="4">
      <c r="A4" s="1"/>
      <c r="B4" s="14" t="str">
        <f>'1° Parcial'!B4</f>
        <v>CARRERA DE INGENIERÍA DE SONIDO</v>
      </c>
      <c r="X4" s="12"/>
      <c r="Y4" s="3"/>
    </row>
    <row r="5">
      <c r="A5" s="13"/>
      <c r="B5" s="17" t="str">
        <f>'1° Parcial'!B5</f>
        <v>SEDE COCHABAMBA</v>
      </c>
      <c r="X5" s="12"/>
      <c r="Y5" s="3"/>
    </row>
    <row r="6">
      <c r="A6" s="18"/>
      <c r="B6" s="19" t="s">
        <v>3</v>
      </c>
      <c r="X6" s="12"/>
      <c r="Y6" s="3"/>
    </row>
    <row r="7">
      <c r="A7" s="20"/>
      <c r="B7" s="21" t="s">
        <v>5</v>
      </c>
      <c r="X7" s="12"/>
      <c r="Y7" s="3"/>
    </row>
    <row r="8">
      <c r="A8" s="23"/>
      <c r="B8" s="24"/>
      <c r="C8" s="25"/>
      <c r="D8" s="25"/>
      <c r="E8" s="26"/>
      <c r="F8" s="28"/>
      <c r="G8" s="26"/>
      <c r="H8" s="30"/>
      <c r="I8" s="30"/>
      <c r="J8" s="31"/>
      <c r="K8" s="31"/>
      <c r="L8" s="26"/>
      <c r="M8" s="30"/>
      <c r="N8" s="26"/>
      <c r="O8" s="26"/>
      <c r="P8" s="26"/>
      <c r="Q8" s="30"/>
      <c r="R8" s="26"/>
      <c r="S8" s="26"/>
      <c r="T8" s="26"/>
      <c r="U8" s="30"/>
      <c r="V8" s="26"/>
      <c r="W8" s="26"/>
      <c r="X8" s="32"/>
      <c r="Y8" s="35"/>
    </row>
    <row r="9" ht="72.0" customHeight="1">
      <c r="A9" s="41"/>
      <c r="B9" s="45" t="s">
        <v>7</v>
      </c>
      <c r="C9" s="48" t="s">
        <v>8</v>
      </c>
      <c r="D9" s="50" t="s">
        <v>9</v>
      </c>
      <c r="E9" s="50" t="s">
        <v>10</v>
      </c>
      <c r="F9" s="52" t="s">
        <v>11</v>
      </c>
      <c r="G9" s="52" t="s">
        <v>12</v>
      </c>
      <c r="H9" s="55" t="s">
        <v>13</v>
      </c>
      <c r="I9" s="55" t="s">
        <v>15</v>
      </c>
      <c r="J9" s="57" t="s">
        <v>16</v>
      </c>
      <c r="K9" s="59" t="s">
        <v>17</v>
      </c>
      <c r="L9" s="61" t="s">
        <v>18</v>
      </c>
      <c r="M9" s="63" t="s">
        <v>19</v>
      </c>
      <c r="N9" s="66" t="s">
        <v>16</v>
      </c>
      <c r="O9" s="68" t="s">
        <v>10</v>
      </c>
      <c r="P9" s="68" t="s">
        <v>17</v>
      </c>
      <c r="Q9" s="72" t="s">
        <v>19</v>
      </c>
      <c r="R9" s="74" t="s">
        <v>16</v>
      </c>
      <c r="S9" s="76" t="s">
        <v>10</v>
      </c>
      <c r="T9" s="76" t="s">
        <v>17</v>
      </c>
      <c r="U9" s="80" t="s">
        <v>19</v>
      </c>
      <c r="V9" s="82" t="s">
        <v>16</v>
      </c>
      <c r="W9" s="84" t="s">
        <v>10</v>
      </c>
      <c r="X9" s="85" t="s">
        <v>17</v>
      </c>
      <c r="Y9" s="87"/>
    </row>
    <row r="10">
      <c r="A10" s="90"/>
      <c r="B10" s="95" t="str">
        <f>'1° Parcial'!B10</f>
        <v>CALCULO I</v>
      </c>
      <c r="C10" s="97" t="str">
        <f>'1° Parcial'!C10</f>
        <v>SIS-111</v>
      </c>
      <c r="D10" s="100" t="str">
        <f>'1° Parcial'!D10</f>
        <v>1º </v>
      </c>
      <c r="E10" s="100" t="str">
        <f>'1° Parcial'!E10</f>
        <v>TA-01</v>
      </c>
      <c r="F10" s="103" t="str">
        <f>'1° Parcial'!F10</f>
        <v>JIMENA GIOVANNA ARNEZ MARTINEZ</v>
      </c>
      <c r="G10" s="106" t="str">
        <f>'1° Parcial'!G10</f>
        <v/>
      </c>
      <c r="H10" s="115">
        <f t="shared" ref="H10:H59" si="1">I10-3</f>
        <v>46364</v>
      </c>
      <c r="I10" s="117">
        <f>'2° Parcial'!J10+(7*3)</f>
        <v>46367</v>
      </c>
      <c r="J10" s="118">
        <f>'1° Parcial'!K10</f>
        <v>0.46875</v>
      </c>
      <c r="K10" s="97"/>
      <c r="L10" s="119" t="s">
        <v>23</v>
      </c>
      <c r="M10" s="117">
        <f>'2° Parcial'!O10+(7*3)</f>
        <v>46360</v>
      </c>
      <c r="N10" s="118">
        <f>'1° Parcial'!P10</f>
        <v>0.46875</v>
      </c>
      <c r="O10" s="119"/>
      <c r="P10" s="97"/>
      <c r="Q10" s="117">
        <f>'2° Parcial'!T10+(7*3)</f>
        <v>77</v>
      </c>
      <c r="R10" s="118" t="str">
        <f>'1° Parcial'!U10</f>
        <v/>
      </c>
      <c r="S10" s="119"/>
      <c r="T10" s="97"/>
      <c r="U10" s="117">
        <f>'2° Parcial'!Y10+(7*3)</f>
        <v>46367</v>
      </c>
      <c r="V10" s="118">
        <f>'1° Parcial'!Z10</f>
        <v>0.46875</v>
      </c>
      <c r="W10" s="119"/>
      <c r="X10" s="97"/>
      <c r="Y10" s="124"/>
    </row>
    <row r="11">
      <c r="A11" s="90"/>
      <c r="B11" s="95" t="str">
        <f>'1° Parcial'!B11</f>
        <v>FÍSICA I</v>
      </c>
      <c r="C11" s="97" t="str">
        <f>'1° Parcial'!C11</f>
        <v>SIS-112</v>
      </c>
      <c r="D11" s="100" t="str">
        <f>'1° Parcial'!D11</f>
        <v>1º </v>
      </c>
      <c r="E11" s="100" t="str">
        <f>'1° Parcial'!E11</f>
        <v>TA-01</v>
      </c>
      <c r="F11" s="103" t="str">
        <f>'1° Parcial'!F11</f>
        <v>XIMENA WENDY CALIZAYA PEREZ</v>
      </c>
      <c r="G11" s="106" t="str">
        <f>'1° Parcial'!G11</f>
        <v/>
      </c>
      <c r="H11" s="120">
        <f t="shared" si="1"/>
        <v>46367</v>
      </c>
      <c r="I11" s="117">
        <f>'2° Parcial'!J11+(7*3)</f>
        <v>46370</v>
      </c>
      <c r="J11" s="118">
        <f>'1° Parcial'!K11</f>
        <v>0.40625</v>
      </c>
      <c r="K11" s="118"/>
      <c r="L11" s="132" t="s">
        <v>29</v>
      </c>
      <c r="M11" s="117">
        <f>'2° Parcial'!O11+(7*3)</f>
        <v>46363</v>
      </c>
      <c r="N11" s="118">
        <f>'1° Parcial'!P11</f>
        <v>0.40625</v>
      </c>
      <c r="O11" s="119"/>
      <c r="P11" s="97"/>
      <c r="Q11" s="117">
        <f>'2° Parcial'!T11+(7*3)</f>
        <v>77</v>
      </c>
      <c r="R11" s="118" t="str">
        <f>'1° Parcial'!U11</f>
        <v/>
      </c>
      <c r="S11" s="119"/>
      <c r="T11" s="97"/>
      <c r="U11" s="117">
        <f>'2° Parcial'!Y11+(7*3)</f>
        <v>46370</v>
      </c>
      <c r="V11" s="118">
        <f>'1° Parcial'!Z11</f>
        <v>0.40625</v>
      </c>
      <c r="W11" s="119"/>
      <c r="X11" s="99"/>
      <c r="Y11" s="124"/>
    </row>
    <row r="12">
      <c r="A12" s="90"/>
      <c r="B12" s="95" t="str">
        <f>'1° Parcial'!B12</f>
        <v>PROGRAMACIÓN I</v>
      </c>
      <c r="C12" s="97" t="str">
        <f>'1° Parcial'!C12</f>
        <v>SIS-113</v>
      </c>
      <c r="D12" s="100" t="str">
        <f>'1° Parcial'!D12</f>
        <v>1º </v>
      </c>
      <c r="E12" s="100" t="str">
        <f>'1° Parcial'!E12</f>
        <v>TA-01</v>
      </c>
      <c r="F12" s="103" t="str">
        <f>'1° Parcial'!F12</f>
        <v>ROSMERY LUIZAGA SALINAS</v>
      </c>
      <c r="G12" s="106" t="str">
        <f>'1° Parcial'!G12</f>
        <v/>
      </c>
      <c r="H12" s="120">
        <f t="shared" si="1"/>
        <v>46360</v>
      </c>
      <c r="I12" s="117">
        <f>'2° Parcial'!J12+(7*3)</f>
        <v>46363</v>
      </c>
      <c r="J12" s="118">
        <f>'1° Parcial'!K12</f>
        <v>0.46875</v>
      </c>
      <c r="K12" s="118"/>
      <c r="L12" s="132"/>
      <c r="M12" s="117">
        <f>'2° Parcial'!O12+(7*3)</f>
        <v>46356</v>
      </c>
      <c r="N12" s="118">
        <f>'1° Parcial'!P12</f>
        <v>0.46875</v>
      </c>
      <c r="O12" s="119"/>
      <c r="P12" s="97"/>
      <c r="Q12" s="117">
        <f>'2° Parcial'!T12+(7*3)</f>
        <v>77</v>
      </c>
      <c r="R12" s="118" t="str">
        <f>'1° Parcial'!U12</f>
        <v/>
      </c>
      <c r="S12" s="119"/>
      <c r="T12" s="97"/>
      <c r="U12" s="117">
        <f>'2° Parcial'!Y12+(7*3)</f>
        <v>46363</v>
      </c>
      <c r="V12" s="118">
        <f>'1° Parcial'!Z12</f>
        <v>0.46875</v>
      </c>
      <c r="W12" s="119"/>
      <c r="X12" s="99"/>
      <c r="Y12" s="124"/>
    </row>
    <row r="13">
      <c r="A13" s="90"/>
      <c r="B13" s="95" t="str">
        <f>'1° Parcial'!B13</f>
        <v>ÁLGEBRA</v>
      </c>
      <c r="C13" s="97" t="str">
        <f>'1° Parcial'!C13</f>
        <v>SIS-114</v>
      </c>
      <c r="D13" s="100" t="str">
        <f>'1° Parcial'!D13</f>
        <v>1º </v>
      </c>
      <c r="E13" s="100" t="str">
        <f>'1° Parcial'!E13</f>
        <v>TA-01</v>
      </c>
      <c r="F13" s="103" t="str">
        <f>'1° Parcial'!F13</f>
        <v>ELIANA LESLY MICORDIA ROMERO</v>
      </c>
      <c r="G13" s="106" t="str">
        <f>'1° Parcial'!G13</f>
        <v/>
      </c>
      <c r="H13" s="120">
        <f t="shared" si="1"/>
        <v>46362</v>
      </c>
      <c r="I13" s="117">
        <f>'2° Parcial'!J13+(7*3)</f>
        <v>46365</v>
      </c>
      <c r="J13" s="118">
        <f>'1° Parcial'!K13</f>
        <v>0.34375</v>
      </c>
      <c r="K13" s="118"/>
      <c r="L13" s="149"/>
      <c r="M13" s="117">
        <f>'2° Parcial'!O13+(7*3)</f>
        <v>46358</v>
      </c>
      <c r="N13" s="118">
        <f>'1° Parcial'!P13</f>
        <v>0.34375</v>
      </c>
      <c r="O13" s="119"/>
      <c r="P13" s="97"/>
      <c r="Q13" s="117">
        <f>'2° Parcial'!T13+(7*3)</f>
        <v>77</v>
      </c>
      <c r="R13" s="118" t="str">
        <f>'1° Parcial'!U13</f>
        <v/>
      </c>
      <c r="S13" s="119"/>
      <c r="T13" s="97"/>
      <c r="U13" s="117">
        <f>'2° Parcial'!Y13+(7*3)</f>
        <v>46365</v>
      </c>
      <c r="V13" s="118">
        <f>'1° Parcial'!Z13</f>
        <v>0.34375</v>
      </c>
      <c r="W13" s="119"/>
      <c r="X13" s="152"/>
      <c r="Y13" s="124"/>
    </row>
    <row r="14">
      <c r="A14" s="90"/>
      <c r="B14" s="95" t="str">
        <f>'1° Parcial'!B14</f>
        <v>INGLÉS TÉCNICO I</v>
      </c>
      <c r="C14" s="97" t="str">
        <f>'1° Parcial'!C14</f>
        <v>SIS-115</v>
      </c>
      <c r="D14" s="100" t="str">
        <f>'1° Parcial'!D14</f>
        <v>1º </v>
      </c>
      <c r="E14" s="100" t="str">
        <f>'1° Parcial'!E14</f>
        <v>TA-01</v>
      </c>
      <c r="F14" s="103" t="str">
        <f>'1° Parcial'!F14</f>
        <v>KARINA PAOLA LOPEZ ECHEVERRIA</v>
      </c>
      <c r="G14" s="106" t="str">
        <f>'1° Parcial'!G14</f>
        <v/>
      </c>
      <c r="H14" s="120">
        <f t="shared" si="1"/>
        <v>46354</v>
      </c>
      <c r="I14" s="117">
        <f>'2° Parcial'!J14+(7*3)</f>
        <v>46357</v>
      </c>
      <c r="J14" s="118">
        <f>'1° Parcial'!K14</f>
        <v>0.34375</v>
      </c>
      <c r="K14" s="118"/>
      <c r="L14" s="149"/>
      <c r="M14" s="117">
        <f>'2° Parcial'!O14+(7*3)</f>
        <v>46350</v>
      </c>
      <c r="N14" s="118">
        <f>'1° Parcial'!P14</f>
        <v>0.34375</v>
      </c>
      <c r="O14" s="119"/>
      <c r="P14" s="97"/>
      <c r="Q14" s="117">
        <f>'2° Parcial'!T14+(7*3)</f>
        <v>77</v>
      </c>
      <c r="R14" s="118" t="str">
        <f>'1° Parcial'!U14</f>
        <v/>
      </c>
      <c r="S14" s="119"/>
      <c r="T14" s="97"/>
      <c r="U14" s="117">
        <f>'2° Parcial'!Y14+(7*3)</f>
        <v>46357</v>
      </c>
      <c r="V14" s="118">
        <f>'1° Parcial'!Z14</f>
        <v>0.34375</v>
      </c>
      <c r="W14" s="119"/>
      <c r="X14" s="99"/>
      <c r="Y14" s="124"/>
    </row>
    <row r="15">
      <c r="A15" s="90"/>
      <c r="B15" s="95" t="str">
        <f>'1° Parcial'!B15</f>
        <v>INTRODUCCIÓN A LAS CIENCIAS DE LA COMPUTACIÓN</v>
      </c>
      <c r="C15" s="97" t="str">
        <f>'1° Parcial'!C15</f>
        <v>SIS-116</v>
      </c>
      <c r="D15" s="100" t="str">
        <f>'1° Parcial'!D15</f>
        <v>1º </v>
      </c>
      <c r="E15" s="100" t="str">
        <f>'1° Parcial'!E15</f>
        <v>TA-01</v>
      </c>
      <c r="F15" s="103" t="str">
        <f>'1° Parcial'!F15</f>
        <v>WALTER JOSE CAZAS CASTRO</v>
      </c>
      <c r="G15" s="106" t="str">
        <f>'1° Parcial'!G15</f>
        <v/>
      </c>
      <c r="H15" s="120">
        <f t="shared" si="1"/>
        <v>46356</v>
      </c>
      <c r="I15" s="117">
        <f>'2° Parcial'!J15+(7*3)</f>
        <v>46359</v>
      </c>
      <c r="J15" s="118">
        <f>'1° Parcial'!K15</f>
        <v>0.40625</v>
      </c>
      <c r="K15" s="118"/>
      <c r="L15" s="149"/>
      <c r="M15" s="117">
        <f>'2° Parcial'!O15+(7*3)</f>
        <v>46352</v>
      </c>
      <c r="N15" s="118">
        <f>'1° Parcial'!P15</f>
        <v>0.40625</v>
      </c>
      <c r="O15" s="119"/>
      <c r="P15" s="97"/>
      <c r="Q15" s="117">
        <f>'2° Parcial'!T15+(7*3)</f>
        <v>77</v>
      </c>
      <c r="R15" s="118" t="str">
        <f>'1° Parcial'!U15</f>
        <v/>
      </c>
      <c r="S15" s="119"/>
      <c r="T15" s="97"/>
      <c r="U15" s="117">
        <f>'2° Parcial'!Y15+(7*3)</f>
        <v>46359</v>
      </c>
      <c r="V15" s="118">
        <f>'1° Parcial'!Z15</f>
        <v>0.40625</v>
      </c>
      <c r="W15" s="119"/>
      <c r="X15" s="152"/>
      <c r="Y15" s="124"/>
    </row>
    <row r="16">
      <c r="A16" s="90"/>
      <c r="B16" s="95" t="str">
        <f>'1° Parcial'!B16</f>
        <v>CALCULO II</v>
      </c>
      <c r="C16" s="97" t="str">
        <f>'1° Parcial'!C16</f>
        <v>SIS-121</v>
      </c>
      <c r="D16" s="100" t="str">
        <f>'1° Parcial'!D16</f>
        <v>2º </v>
      </c>
      <c r="E16" s="100" t="str">
        <f>'1° Parcial'!E16</f>
        <v>TA-01</v>
      </c>
      <c r="F16" s="103" t="str">
        <f>'1° Parcial'!F16</f>
        <v>EDSON LUIS BASCOPE GALARZA</v>
      </c>
      <c r="G16" s="106" t="str">
        <f>'1° Parcial'!G16</f>
        <v/>
      </c>
      <c r="H16" s="120">
        <f t="shared" si="1"/>
        <v>46357</v>
      </c>
      <c r="I16" s="117">
        <f>'2° Parcial'!J16+(7*3)</f>
        <v>46360</v>
      </c>
      <c r="J16" s="118">
        <f>'1° Parcial'!K16</f>
        <v>0.34375</v>
      </c>
      <c r="K16" s="118"/>
      <c r="L16" s="149"/>
      <c r="M16" s="117">
        <f>'2° Parcial'!O16+(7*3)</f>
        <v>46353</v>
      </c>
      <c r="N16" s="118">
        <f>'1° Parcial'!P16</f>
        <v>0.34375</v>
      </c>
      <c r="O16" s="119"/>
      <c r="P16" s="97"/>
      <c r="Q16" s="117">
        <f>'2° Parcial'!T16+(7*3)</f>
        <v>77</v>
      </c>
      <c r="R16" s="118" t="str">
        <f>'1° Parcial'!U16</f>
        <v/>
      </c>
      <c r="S16" s="119"/>
      <c r="T16" s="97"/>
      <c r="U16" s="117">
        <f>'2° Parcial'!Y16+(7*3)</f>
        <v>46360</v>
      </c>
      <c r="V16" s="118">
        <f>'1° Parcial'!Z16</f>
        <v>0.34375</v>
      </c>
      <c r="W16" s="119"/>
      <c r="X16" s="99"/>
      <c r="Y16" s="124"/>
    </row>
    <row r="17">
      <c r="A17" s="90"/>
      <c r="B17" s="95" t="str">
        <f>'1° Parcial'!B17</f>
        <v>FÍSICA II</v>
      </c>
      <c r="C17" s="97" t="str">
        <f>'1° Parcial'!C17</f>
        <v>SIS-122</v>
      </c>
      <c r="D17" s="100" t="str">
        <f>'1° Parcial'!D17</f>
        <v>2º </v>
      </c>
      <c r="E17" s="100" t="str">
        <f>'1° Parcial'!E17</f>
        <v>TA-01</v>
      </c>
      <c r="F17" s="103" t="str">
        <f>'1° Parcial'!F17</f>
        <v>JOSE DAVID QUIÑONES COCA</v>
      </c>
      <c r="G17" s="106" t="str">
        <f>'1° Parcial'!G17</f>
        <v/>
      </c>
      <c r="H17" s="120">
        <f t="shared" si="1"/>
        <v>46354</v>
      </c>
      <c r="I17" s="117">
        <f>'2° Parcial'!J17+(7*3)</f>
        <v>46357</v>
      </c>
      <c r="J17" s="118">
        <f>'1° Parcial'!K17</f>
        <v>0.46875</v>
      </c>
      <c r="K17" s="118"/>
      <c r="L17" s="149"/>
      <c r="M17" s="117">
        <f>'2° Parcial'!O17+(7*3)</f>
        <v>46350</v>
      </c>
      <c r="N17" s="118">
        <f>'1° Parcial'!P17</f>
        <v>0.46875</v>
      </c>
      <c r="O17" s="119"/>
      <c r="P17" s="97"/>
      <c r="Q17" s="117">
        <f>'2° Parcial'!T17+(7*3)</f>
        <v>77</v>
      </c>
      <c r="R17" s="118" t="str">
        <f>'1° Parcial'!U17</f>
        <v/>
      </c>
      <c r="S17" s="119"/>
      <c r="T17" s="97"/>
      <c r="U17" s="117">
        <f>'2° Parcial'!Y17+(7*3)</f>
        <v>46357</v>
      </c>
      <c r="V17" s="118">
        <f>'1° Parcial'!Z17</f>
        <v>0.46875</v>
      </c>
      <c r="W17" s="119"/>
      <c r="X17" s="152"/>
      <c r="Y17" s="124"/>
    </row>
    <row r="18">
      <c r="A18" s="90"/>
      <c r="B18" s="95" t="str">
        <f>'1° Parcial'!B18</f>
        <v>PROGRAMACIÓN II</v>
      </c>
      <c r="C18" s="97" t="str">
        <f>'1° Parcial'!C18</f>
        <v>SIS-123</v>
      </c>
      <c r="D18" s="100" t="str">
        <f>'1° Parcial'!D18</f>
        <v>2º </v>
      </c>
      <c r="E18" s="100" t="str">
        <f>'1° Parcial'!E18</f>
        <v>TA-01</v>
      </c>
      <c r="F18" s="103" t="str">
        <f>'1° Parcial'!F18</f>
        <v>ROSMERY LUIZAGA SALINAS</v>
      </c>
      <c r="G18" s="106" t="str">
        <f>'1° Parcial'!G18</f>
        <v/>
      </c>
      <c r="H18" s="120">
        <f t="shared" si="1"/>
        <v>46361</v>
      </c>
      <c r="I18" s="117">
        <f>'2° Parcial'!J18+(7*3)</f>
        <v>46364</v>
      </c>
      <c r="J18" s="118">
        <f>'1° Parcial'!K18</f>
        <v>0.34375</v>
      </c>
      <c r="K18" s="118"/>
      <c r="L18" s="149"/>
      <c r="M18" s="117">
        <f>'2° Parcial'!O18+(7*3)</f>
        <v>46357</v>
      </c>
      <c r="N18" s="118">
        <f>'1° Parcial'!P18</f>
        <v>0.34375</v>
      </c>
      <c r="O18" s="119"/>
      <c r="P18" s="97"/>
      <c r="Q18" s="117">
        <f>'2° Parcial'!T18+(7*3)</f>
        <v>77</v>
      </c>
      <c r="R18" s="118" t="str">
        <f>'1° Parcial'!U18</f>
        <v/>
      </c>
      <c r="S18" s="119"/>
      <c r="T18" s="97"/>
      <c r="U18" s="117">
        <f>'2° Parcial'!Y18+(7*3)</f>
        <v>46364</v>
      </c>
      <c r="V18" s="118">
        <f>'1° Parcial'!Z18</f>
        <v>0.34375</v>
      </c>
      <c r="W18" s="119"/>
      <c r="X18" s="99"/>
      <c r="Y18" s="124"/>
    </row>
    <row r="19">
      <c r="A19" s="90"/>
      <c r="B19" s="95" t="str">
        <f>'1° Parcial'!B19</f>
        <v>ÁLGEBRA LINEAL</v>
      </c>
      <c r="C19" s="97" t="str">
        <f>'1° Parcial'!C19</f>
        <v>SIS-124</v>
      </c>
      <c r="D19" s="100" t="str">
        <f>'1° Parcial'!D19</f>
        <v>2º </v>
      </c>
      <c r="E19" s="100" t="str">
        <f>'1° Parcial'!E19</f>
        <v>TA-01</v>
      </c>
      <c r="F19" s="103" t="str">
        <f>'1° Parcial'!F19</f>
        <v>XIMENA WENDY CALIZAYA PEREZ</v>
      </c>
      <c r="G19" s="106" t="str">
        <f>'1° Parcial'!G19</f>
        <v/>
      </c>
      <c r="H19" s="120">
        <f t="shared" si="1"/>
        <v>46367</v>
      </c>
      <c r="I19" s="117">
        <f>'2° Parcial'!J19+(7*3)</f>
        <v>46370</v>
      </c>
      <c r="J19" s="118">
        <f>'1° Parcial'!K19</f>
        <v>0.46875</v>
      </c>
      <c r="K19" s="118"/>
      <c r="L19" s="149"/>
      <c r="M19" s="117">
        <f>'2° Parcial'!O19+(7*3)</f>
        <v>46363</v>
      </c>
      <c r="N19" s="118">
        <f>'1° Parcial'!P19</f>
        <v>0.46875</v>
      </c>
      <c r="O19" s="119"/>
      <c r="P19" s="97"/>
      <c r="Q19" s="117">
        <f>'2° Parcial'!T19+(7*3)</f>
        <v>77</v>
      </c>
      <c r="R19" s="118" t="str">
        <f>'1° Parcial'!U19</f>
        <v/>
      </c>
      <c r="S19" s="119"/>
      <c r="T19" s="97"/>
      <c r="U19" s="117">
        <f>'2° Parcial'!Y19+(7*3)</f>
        <v>46370</v>
      </c>
      <c r="V19" s="118">
        <f>'1° Parcial'!Z19</f>
        <v>0.46875</v>
      </c>
      <c r="W19" s="119"/>
      <c r="X19" s="99"/>
      <c r="Y19" s="124"/>
    </row>
    <row r="20">
      <c r="A20" s="90"/>
      <c r="B20" s="95" t="str">
        <f>'1° Parcial'!B20</f>
        <v>INGLÉS TÉCNICO II</v>
      </c>
      <c r="C20" s="97" t="str">
        <f>'1° Parcial'!C20</f>
        <v>SIS-125</v>
      </c>
      <c r="D20" s="100" t="str">
        <f>'1° Parcial'!D20</f>
        <v>2º </v>
      </c>
      <c r="E20" s="100" t="str">
        <f>'1° Parcial'!E20</f>
        <v>TA-01</v>
      </c>
      <c r="F20" s="103" t="str">
        <f>'1° Parcial'!F20</f>
        <v>KARINA PAOLA LOPEZ ECHEVERRIA</v>
      </c>
      <c r="G20" s="106" t="str">
        <f>'1° Parcial'!G20</f>
        <v/>
      </c>
      <c r="H20" s="120">
        <f t="shared" si="1"/>
        <v>46363</v>
      </c>
      <c r="I20" s="117">
        <f>'2° Parcial'!J20+(7*3)</f>
        <v>46366</v>
      </c>
      <c r="J20" s="118">
        <f>'1° Parcial'!K20</f>
        <v>0.40625</v>
      </c>
      <c r="K20" s="118"/>
      <c r="L20" s="149"/>
      <c r="M20" s="117">
        <f>'2° Parcial'!O20+(7*3)</f>
        <v>46359</v>
      </c>
      <c r="N20" s="118">
        <f>'1° Parcial'!P20</f>
        <v>0.40625</v>
      </c>
      <c r="O20" s="119"/>
      <c r="P20" s="97"/>
      <c r="Q20" s="117">
        <f>'2° Parcial'!T20+(7*3)</f>
        <v>77</v>
      </c>
      <c r="R20" s="118" t="str">
        <f>'1° Parcial'!U20</f>
        <v/>
      </c>
      <c r="S20" s="119"/>
      <c r="T20" s="97"/>
      <c r="U20" s="117">
        <f>'2° Parcial'!Y20+(7*3)</f>
        <v>46366</v>
      </c>
      <c r="V20" s="118">
        <f>'1° Parcial'!Z20</f>
        <v>0.40625</v>
      </c>
      <c r="W20" s="119"/>
      <c r="X20" s="99"/>
      <c r="Y20" s="124"/>
    </row>
    <row r="21">
      <c r="A21" s="90"/>
      <c r="B21" s="95" t="str">
        <f>'1° Parcial'!B21</f>
        <v>TALLER DE PROGRAMACIÓN I</v>
      </c>
      <c r="C21" s="97" t="str">
        <f>'1° Parcial'!C21</f>
        <v>SIS-126</v>
      </c>
      <c r="D21" s="100" t="str">
        <f>'1° Parcial'!D21</f>
        <v>2º </v>
      </c>
      <c r="E21" s="100" t="str">
        <f>'1° Parcial'!E21</f>
        <v>TA-01</v>
      </c>
      <c r="F21" s="103" t="str">
        <f>'1° Parcial'!F21</f>
        <v>JANETH GIOVANA ALANEZ VILLEGAS</v>
      </c>
      <c r="G21" s="106" t="str">
        <f>'1° Parcial'!G21</f>
        <v/>
      </c>
      <c r="H21" s="120">
        <f t="shared" si="1"/>
        <v>46365</v>
      </c>
      <c r="I21" s="117">
        <f>'2° Parcial'!J21+(7*3)</f>
        <v>46368</v>
      </c>
      <c r="J21" s="118">
        <f>'1° Parcial'!K21</f>
        <v>0.34375</v>
      </c>
      <c r="K21" s="118"/>
      <c r="L21" s="149"/>
      <c r="M21" s="117">
        <f>'2° Parcial'!O21+(7*3)</f>
        <v>46361</v>
      </c>
      <c r="N21" s="118">
        <f>'1° Parcial'!P21</f>
        <v>0.34375</v>
      </c>
      <c r="O21" s="119"/>
      <c r="P21" s="97"/>
      <c r="Q21" s="117">
        <f>'2° Parcial'!T21+(7*3)</f>
        <v>77</v>
      </c>
      <c r="R21" s="118" t="str">
        <f>'1° Parcial'!U21</f>
        <v/>
      </c>
      <c r="S21" s="119"/>
      <c r="T21" s="97"/>
      <c r="U21" s="117">
        <f>'2° Parcial'!Y21+(7*3)</f>
        <v>46368</v>
      </c>
      <c r="V21" s="118">
        <f>'1° Parcial'!Z21</f>
        <v>0.34375</v>
      </c>
      <c r="W21" s="119"/>
      <c r="X21" s="152"/>
      <c r="Y21" s="124"/>
    </row>
    <row r="22">
      <c r="A22" s="90"/>
      <c r="B22" s="95" t="str">
        <f>'1° Parcial'!B22</f>
        <v>DISPOSITIVOS ELECTRÓNICOS</v>
      </c>
      <c r="C22" s="97" t="str">
        <f>'1° Parcial'!C22</f>
        <v>SIS-127</v>
      </c>
      <c r="D22" s="100" t="str">
        <f>'1° Parcial'!D22</f>
        <v>2º </v>
      </c>
      <c r="E22" s="100" t="str">
        <f>'1° Parcial'!E22</f>
        <v>TA-01</v>
      </c>
      <c r="F22" s="103" t="str">
        <f>'1° Parcial'!F22</f>
        <v>EDUARDO CARLOS MOSCOSO RICALDI</v>
      </c>
      <c r="G22" s="106" t="str">
        <f>'1° Parcial'!G22</f>
        <v/>
      </c>
      <c r="H22" s="120">
        <f t="shared" si="1"/>
        <v>46355</v>
      </c>
      <c r="I22" s="117">
        <f>'2° Parcial'!J22+(7*3)</f>
        <v>46358</v>
      </c>
      <c r="J22" s="118">
        <f>'1° Parcial'!K22</f>
        <v>0.34375</v>
      </c>
      <c r="K22" s="118"/>
      <c r="L22" s="149"/>
      <c r="M22" s="117">
        <f>'2° Parcial'!O22+(7*3)</f>
        <v>46351</v>
      </c>
      <c r="N22" s="118">
        <f>'1° Parcial'!P22</f>
        <v>0.34375</v>
      </c>
      <c r="O22" s="119"/>
      <c r="P22" s="97"/>
      <c r="Q22" s="117">
        <f>'2° Parcial'!T22+(7*3)</f>
        <v>77</v>
      </c>
      <c r="R22" s="118" t="str">
        <f>'1° Parcial'!U22</f>
        <v/>
      </c>
      <c r="S22" s="119"/>
      <c r="T22" s="97"/>
      <c r="U22" s="117">
        <f>'2° Parcial'!Y22+(7*3)</f>
        <v>46358</v>
      </c>
      <c r="V22" s="118">
        <f>'1° Parcial'!Z22</f>
        <v>0.34375</v>
      </c>
      <c r="W22" s="119"/>
      <c r="X22" s="152"/>
      <c r="Y22" s="124"/>
    </row>
    <row r="23">
      <c r="A23" s="90"/>
      <c r="B23" s="95" t="str">
        <f>'1° Parcial'!B23</f>
        <v>ECUACIONES DIFERENCIALES</v>
      </c>
      <c r="C23" s="97" t="str">
        <f>'1° Parcial'!C23</f>
        <v>SIS-211</v>
      </c>
      <c r="D23" s="100" t="str">
        <f>'1° Parcial'!D23</f>
        <v>3º </v>
      </c>
      <c r="E23" s="100" t="str">
        <f>'1° Parcial'!E23</f>
        <v>TA-01</v>
      </c>
      <c r="F23" s="103" t="str">
        <f>'1° Parcial'!F23</f>
        <v>MAURICIO QUIROZ LAFUENTE</v>
      </c>
      <c r="G23" s="106" t="str">
        <f>'1° Parcial'!G23</f>
        <v/>
      </c>
      <c r="H23" s="120">
        <f t="shared" si="1"/>
        <v>46360</v>
      </c>
      <c r="I23" s="117">
        <f>'2° Parcial'!J23+(7*3)</f>
        <v>46363</v>
      </c>
      <c r="J23" s="118">
        <f>'1° Parcial'!K23</f>
        <v>0.34375</v>
      </c>
      <c r="K23" s="118"/>
      <c r="L23" s="132"/>
      <c r="M23" s="117">
        <f>'2° Parcial'!O23+(7*3)</f>
        <v>46356</v>
      </c>
      <c r="N23" s="118">
        <f>'1° Parcial'!P23</f>
        <v>0.34375</v>
      </c>
      <c r="O23" s="119"/>
      <c r="P23" s="97"/>
      <c r="Q23" s="117">
        <f>'2° Parcial'!T23+(7*3)</f>
        <v>77</v>
      </c>
      <c r="R23" s="118" t="str">
        <f>'1° Parcial'!U23</f>
        <v/>
      </c>
      <c r="S23" s="119"/>
      <c r="T23" s="97"/>
      <c r="U23" s="117">
        <f>'2° Parcial'!Y23+(7*3)</f>
        <v>46363</v>
      </c>
      <c r="V23" s="118">
        <f>'1° Parcial'!Z23</f>
        <v>0.34375</v>
      </c>
      <c r="W23" s="119"/>
      <c r="X23" s="99"/>
      <c r="Y23" s="124"/>
    </row>
    <row r="24">
      <c r="A24" s="90"/>
      <c r="B24" s="95" t="str">
        <f>'1° Parcial'!B24</f>
        <v>SISTEMAS DIGITALES</v>
      </c>
      <c r="C24" s="97" t="str">
        <f>'1° Parcial'!C24</f>
        <v>SIS-212</v>
      </c>
      <c r="D24" s="100" t="str">
        <f>'1° Parcial'!D24</f>
        <v>3º </v>
      </c>
      <c r="E24" s="100" t="str">
        <f>'1° Parcial'!E24</f>
        <v>TA-01</v>
      </c>
      <c r="F24" s="103" t="str">
        <f>'1° Parcial'!F24</f>
        <v>DANIEL CAMACHO PASTOR</v>
      </c>
      <c r="G24" s="106" t="str">
        <f>'1° Parcial'!G24</f>
        <v/>
      </c>
      <c r="H24" s="120">
        <f t="shared" si="1"/>
        <v>46367</v>
      </c>
      <c r="I24" s="117">
        <f>'2° Parcial'!J24+(7*3)</f>
        <v>46370</v>
      </c>
      <c r="J24" s="118">
        <f>'1° Parcial'!K24</f>
        <v>0.40625</v>
      </c>
      <c r="K24" s="118"/>
      <c r="L24" s="149"/>
      <c r="M24" s="117">
        <f>'2° Parcial'!O24+(7*3)</f>
        <v>46363</v>
      </c>
      <c r="N24" s="118">
        <f>'1° Parcial'!P24</f>
        <v>0.40625</v>
      </c>
      <c r="O24" s="119"/>
      <c r="P24" s="97"/>
      <c r="Q24" s="117">
        <f>'2° Parcial'!T24+(7*3)</f>
        <v>77</v>
      </c>
      <c r="R24" s="118" t="str">
        <f>'1° Parcial'!U24</f>
        <v/>
      </c>
      <c r="S24" s="119"/>
      <c r="T24" s="97"/>
      <c r="U24" s="117">
        <f>'2° Parcial'!Y24+(7*3)</f>
        <v>46370</v>
      </c>
      <c r="V24" s="118">
        <f>'1° Parcial'!Z24</f>
        <v>0.40625</v>
      </c>
      <c r="W24" s="119"/>
      <c r="X24" s="152"/>
      <c r="Y24" s="124"/>
    </row>
    <row r="25">
      <c r="A25" s="90"/>
      <c r="B25" s="95" t="str">
        <f>'1° Parcial'!B25</f>
        <v>PROGRAMACIÓN III</v>
      </c>
      <c r="C25" s="97" t="str">
        <f>'1° Parcial'!C25</f>
        <v>SIS-213</v>
      </c>
      <c r="D25" s="100" t="str">
        <f>'1° Parcial'!D25</f>
        <v>3º </v>
      </c>
      <c r="E25" s="100" t="str">
        <f>'1° Parcial'!E25</f>
        <v>TA-01</v>
      </c>
      <c r="F25" s="103" t="str">
        <f>'1° Parcial'!F25</f>
        <v>ARIEL DENYS CAMARA ARZE</v>
      </c>
      <c r="G25" s="106" t="str">
        <f>'1° Parcial'!G25</f>
        <v/>
      </c>
      <c r="H25" s="120">
        <f t="shared" si="1"/>
        <v>46362</v>
      </c>
      <c r="I25" s="117">
        <f>'2° Parcial'!J25+(7*3)</f>
        <v>46365</v>
      </c>
      <c r="J25" s="118">
        <f>'1° Parcial'!K25</f>
        <v>0.46875</v>
      </c>
      <c r="K25" s="118"/>
      <c r="L25" s="149"/>
      <c r="M25" s="117">
        <f>'2° Parcial'!O25+(7*3)</f>
        <v>46358</v>
      </c>
      <c r="N25" s="118">
        <f>'1° Parcial'!P25</f>
        <v>0.46875</v>
      </c>
      <c r="O25" s="119"/>
      <c r="P25" s="97"/>
      <c r="Q25" s="117">
        <f>'2° Parcial'!T25+(7*3)</f>
        <v>77</v>
      </c>
      <c r="R25" s="118" t="str">
        <f>'1° Parcial'!U25</f>
        <v/>
      </c>
      <c r="S25" s="119"/>
      <c r="T25" s="97"/>
      <c r="U25" s="117">
        <f>'2° Parcial'!Y25+(7*3)</f>
        <v>46365</v>
      </c>
      <c r="V25" s="118">
        <f>'1° Parcial'!Z25</f>
        <v>0.46875</v>
      </c>
      <c r="W25" s="119"/>
      <c r="X25" s="99"/>
      <c r="Y25" s="124"/>
    </row>
    <row r="26">
      <c r="A26" s="90"/>
      <c r="B26" s="95" t="str">
        <f>'1° Parcial'!B26</f>
        <v>PROBALIDAD Y ESTADÍSTICA</v>
      </c>
      <c r="C26" s="97" t="str">
        <f>'1° Parcial'!C26</f>
        <v>SIS-214</v>
      </c>
      <c r="D26" s="100" t="str">
        <f>'1° Parcial'!D26</f>
        <v>3º </v>
      </c>
      <c r="E26" s="100" t="str">
        <f>'1° Parcial'!E26</f>
        <v>TA-01</v>
      </c>
      <c r="F26" s="103" t="str">
        <f>'1° Parcial'!F26</f>
        <v>IVETT JACQUELINE TANCARA ZAMBRANA</v>
      </c>
      <c r="G26" s="106" t="str">
        <f>'1° Parcial'!G26</f>
        <v/>
      </c>
      <c r="H26" s="120">
        <f t="shared" si="1"/>
        <v>46356</v>
      </c>
      <c r="I26" s="117">
        <f>'2° Parcial'!J26+(7*3)</f>
        <v>46359</v>
      </c>
      <c r="J26" s="118">
        <f>'1° Parcial'!K26</f>
        <v>0.46875</v>
      </c>
      <c r="K26" s="118"/>
      <c r="L26" s="149"/>
      <c r="M26" s="117">
        <f>'2° Parcial'!O26+(7*3)</f>
        <v>46352</v>
      </c>
      <c r="N26" s="118">
        <f>'1° Parcial'!P26</f>
        <v>0.46875</v>
      </c>
      <c r="O26" s="119"/>
      <c r="P26" s="97"/>
      <c r="Q26" s="117">
        <f>'2° Parcial'!T26+(7*3)</f>
        <v>77</v>
      </c>
      <c r="R26" s="118" t="str">
        <f>'1° Parcial'!U26</f>
        <v/>
      </c>
      <c r="S26" s="119"/>
      <c r="T26" s="97"/>
      <c r="U26" s="117">
        <f>'2° Parcial'!Y26+(7*3)</f>
        <v>46359</v>
      </c>
      <c r="V26" s="118">
        <f>'1° Parcial'!Z26</f>
        <v>0.46875</v>
      </c>
      <c r="W26" s="119"/>
      <c r="X26" s="152"/>
      <c r="Y26" s="124"/>
    </row>
    <row r="27">
      <c r="A27" s="90"/>
      <c r="B27" s="95" t="str">
        <f>'1° Parcial'!B27</f>
        <v>INGLÉS TÉCNICO III</v>
      </c>
      <c r="C27" s="97" t="str">
        <f>'1° Parcial'!C27</f>
        <v>SIS-215</v>
      </c>
      <c r="D27" s="100" t="str">
        <f>'1° Parcial'!D27</f>
        <v>3º </v>
      </c>
      <c r="E27" s="100" t="str">
        <f>'1° Parcial'!E27</f>
        <v>TA-01</v>
      </c>
      <c r="F27" s="103" t="str">
        <f>'1° Parcial'!F27</f>
        <v>KARINA PAOLA LOPEZ ECHEVERRIA</v>
      </c>
      <c r="G27" s="106" t="str">
        <f>'1° Parcial'!G27</f>
        <v/>
      </c>
      <c r="H27" s="120">
        <f t="shared" si="1"/>
        <v>46358</v>
      </c>
      <c r="I27" s="117">
        <f>'2° Parcial'!J27+(7*3)</f>
        <v>46361</v>
      </c>
      <c r="J27" s="118">
        <f>'1° Parcial'!K27</f>
        <v>0.34375</v>
      </c>
      <c r="K27" s="118"/>
      <c r="L27" s="149"/>
      <c r="M27" s="117">
        <f>'2° Parcial'!O27+(7*3)</f>
        <v>46354</v>
      </c>
      <c r="N27" s="118">
        <f>'1° Parcial'!P27</f>
        <v>0.34375</v>
      </c>
      <c r="O27" s="119"/>
      <c r="P27" s="97"/>
      <c r="Q27" s="117">
        <f>'2° Parcial'!T27+(7*3)</f>
        <v>77</v>
      </c>
      <c r="R27" s="118" t="str">
        <f>'1° Parcial'!U27</f>
        <v/>
      </c>
      <c r="S27" s="119"/>
      <c r="T27" s="97"/>
      <c r="U27" s="117">
        <f>'2° Parcial'!Y27+(7*3)</f>
        <v>46361</v>
      </c>
      <c r="V27" s="118">
        <f>'1° Parcial'!Z27</f>
        <v>0.34375</v>
      </c>
      <c r="W27" s="119"/>
      <c r="X27" s="99"/>
      <c r="Y27" s="124"/>
    </row>
    <row r="28">
      <c r="A28" s="90"/>
      <c r="B28" s="95" t="str">
        <f>'1° Parcial'!B28</f>
        <v>TALLER DE PROGRAMACIÓN II</v>
      </c>
      <c r="C28" s="97" t="str">
        <f>'1° Parcial'!C28</f>
        <v>SIS-216</v>
      </c>
      <c r="D28" s="100" t="str">
        <f>'1° Parcial'!D28</f>
        <v>3º </v>
      </c>
      <c r="E28" s="100" t="str">
        <f>'1° Parcial'!E28</f>
        <v>TA-01</v>
      </c>
      <c r="F28" s="103" t="str">
        <f>'1° Parcial'!F28</f>
        <v>YAMIL YASMANI CRESPO AYALA</v>
      </c>
      <c r="G28" s="106" t="str">
        <f>'1° Parcial'!G28</f>
        <v/>
      </c>
      <c r="H28" s="120">
        <f t="shared" si="1"/>
        <v>46364</v>
      </c>
      <c r="I28" s="117">
        <f>'2° Parcial'!J28+(7*3)</f>
        <v>46367</v>
      </c>
      <c r="J28" s="118">
        <f>'1° Parcial'!K28</f>
        <v>0.34375</v>
      </c>
      <c r="K28" s="118"/>
      <c r="L28" s="149"/>
      <c r="M28" s="117">
        <f>'2° Parcial'!O28+(7*3)</f>
        <v>46360</v>
      </c>
      <c r="N28" s="118">
        <f>'1° Parcial'!P28</f>
        <v>0.34375</v>
      </c>
      <c r="O28" s="119"/>
      <c r="P28" s="97"/>
      <c r="Q28" s="117">
        <f>'2° Parcial'!T28+(7*3)</f>
        <v>77</v>
      </c>
      <c r="R28" s="118" t="str">
        <f>'1° Parcial'!U28</f>
        <v/>
      </c>
      <c r="S28" s="119"/>
      <c r="T28" s="97"/>
      <c r="U28" s="117">
        <f>'2° Parcial'!Y28+(7*3)</f>
        <v>46367</v>
      </c>
      <c r="V28" s="118">
        <f>'1° Parcial'!Z28</f>
        <v>0.34375</v>
      </c>
      <c r="W28" s="119"/>
      <c r="X28" s="152"/>
      <c r="Y28" s="124"/>
    </row>
    <row r="29">
      <c r="A29" s="90"/>
      <c r="B29" s="95" t="str">
        <f>'1° Parcial'!B29</f>
        <v>ÉTICA E INSTRUCCIÓN AL DERECHO INFORMÁTICO</v>
      </c>
      <c r="C29" s="97" t="str">
        <f>'1° Parcial'!C29</f>
        <v>SIS-217</v>
      </c>
      <c r="D29" s="100" t="str">
        <f>'1° Parcial'!D29</f>
        <v>3º </v>
      </c>
      <c r="E29" s="100" t="str">
        <f>'1° Parcial'!E29</f>
        <v>TA-01</v>
      </c>
      <c r="F29" s="103" t="str">
        <f>'1° Parcial'!F29</f>
        <v>MARIA DE LOS ANGELES MENESES PARRA</v>
      </c>
      <c r="G29" s="106" t="str">
        <f>'1° Parcial'!G29</f>
        <v/>
      </c>
      <c r="H29" s="120">
        <f t="shared" si="1"/>
        <v>46354</v>
      </c>
      <c r="I29" s="117">
        <f>'2° Parcial'!J29+(7*3)</f>
        <v>46357</v>
      </c>
      <c r="J29" s="118">
        <f>'1° Parcial'!K29</f>
        <v>0.34375</v>
      </c>
      <c r="K29" s="118"/>
      <c r="L29" s="149"/>
      <c r="M29" s="117">
        <f>'2° Parcial'!O29+(7*3)</f>
        <v>46350</v>
      </c>
      <c r="N29" s="118">
        <f>'1° Parcial'!P29</f>
        <v>0.34375</v>
      </c>
      <c r="O29" s="119"/>
      <c r="P29" s="97"/>
      <c r="Q29" s="117">
        <f>'2° Parcial'!T29+(7*3)</f>
        <v>77</v>
      </c>
      <c r="R29" s="118" t="str">
        <f>'1° Parcial'!U29</f>
        <v/>
      </c>
      <c r="S29" s="119"/>
      <c r="T29" s="97"/>
      <c r="U29" s="117">
        <f>'2° Parcial'!Y29+(7*3)</f>
        <v>46357</v>
      </c>
      <c r="V29" s="118">
        <f>'1° Parcial'!Z29</f>
        <v>0.34375</v>
      </c>
      <c r="W29" s="119"/>
      <c r="X29" s="99"/>
      <c r="Y29" s="124"/>
    </row>
    <row r="30">
      <c r="A30" s="90"/>
      <c r="B30" s="95" t="str">
        <f>'1° Parcial'!B30</f>
        <v>MÉTODOS NUMÉRICOS</v>
      </c>
      <c r="C30" s="97" t="str">
        <f>'1° Parcial'!C30</f>
        <v>SIS-221</v>
      </c>
      <c r="D30" s="100" t="str">
        <f>'1° Parcial'!D30</f>
        <v>4º </v>
      </c>
      <c r="E30" s="100" t="str">
        <f>'1° Parcial'!E30</f>
        <v>TA-01</v>
      </c>
      <c r="F30" s="103" t="str">
        <f>'1° Parcial'!F30</f>
        <v>JANETH GIOVANA ALANEZ VILLEGAS</v>
      </c>
      <c r="G30" s="106" t="str">
        <f>'1° Parcial'!G30</f>
        <v/>
      </c>
      <c r="H30" s="120">
        <f t="shared" si="1"/>
        <v>46360</v>
      </c>
      <c r="I30" s="117">
        <f>'2° Parcial'!J30+(7*3)</f>
        <v>46363</v>
      </c>
      <c r="J30" s="118">
        <f>'1° Parcial'!K30</f>
        <v>0.40625</v>
      </c>
      <c r="K30" s="118"/>
      <c r="L30" s="149"/>
      <c r="M30" s="117">
        <f>'2° Parcial'!O30+(7*3)</f>
        <v>46356</v>
      </c>
      <c r="N30" s="118">
        <f>'1° Parcial'!P30</f>
        <v>0.40625</v>
      </c>
      <c r="O30" s="119"/>
      <c r="P30" s="97"/>
      <c r="Q30" s="117">
        <f>'2° Parcial'!T30+(7*3)</f>
        <v>77</v>
      </c>
      <c r="R30" s="118" t="str">
        <f>'1° Parcial'!U30</f>
        <v/>
      </c>
      <c r="S30" s="119"/>
      <c r="T30" s="97"/>
      <c r="U30" s="117">
        <f>'2° Parcial'!Y30+(7*3)</f>
        <v>46363</v>
      </c>
      <c r="V30" s="118">
        <f>'1° Parcial'!Z30</f>
        <v>0.40625</v>
      </c>
      <c r="W30" s="119"/>
      <c r="X30" s="152"/>
      <c r="Y30" s="124"/>
    </row>
    <row r="31">
      <c r="A31" s="90"/>
      <c r="B31" s="95" t="str">
        <f>'1° Parcial'!B31</f>
        <v>REDACCIÓN, COMUNICACIÓN E INTERCULTURALIDAD</v>
      </c>
      <c r="C31" s="97" t="str">
        <f>'1° Parcial'!C31</f>
        <v>SIS-222</v>
      </c>
      <c r="D31" s="100" t="str">
        <f>'1° Parcial'!D31</f>
        <v>4º </v>
      </c>
      <c r="E31" s="100" t="str">
        <f>'1° Parcial'!E31</f>
        <v>TA-01</v>
      </c>
      <c r="F31" s="103" t="str">
        <f>'1° Parcial'!F31</f>
        <v>MARIA DE LOS ANGELES MENESES PARRA</v>
      </c>
      <c r="G31" s="106" t="str">
        <f>'1° Parcial'!G31</f>
        <v/>
      </c>
      <c r="H31" s="120">
        <f t="shared" si="1"/>
        <v>46367</v>
      </c>
      <c r="I31" s="117">
        <f>'2° Parcial'!J31+(7*3)</f>
        <v>46370</v>
      </c>
      <c r="J31" s="118">
        <f>'1° Parcial'!K31</f>
        <v>0.34375</v>
      </c>
      <c r="K31" s="118"/>
      <c r="L31" s="149"/>
      <c r="M31" s="117">
        <f>'2° Parcial'!O31+(7*3)</f>
        <v>46363</v>
      </c>
      <c r="N31" s="118">
        <f>'1° Parcial'!P31</f>
        <v>0.34375</v>
      </c>
      <c r="O31" s="119"/>
      <c r="P31" s="97"/>
      <c r="Q31" s="117">
        <f>'2° Parcial'!T31+(7*3)</f>
        <v>77</v>
      </c>
      <c r="R31" s="118" t="str">
        <f>'1° Parcial'!U31</f>
        <v/>
      </c>
      <c r="S31" s="119"/>
      <c r="T31" s="97"/>
      <c r="U31" s="117">
        <f>'2° Parcial'!Y31+(7*3)</f>
        <v>46370</v>
      </c>
      <c r="V31" s="118">
        <f>'1° Parcial'!Z31</f>
        <v>0.34375</v>
      </c>
      <c r="W31" s="119"/>
      <c r="X31" s="99"/>
      <c r="Y31" s="124"/>
    </row>
    <row r="32">
      <c r="A32" s="90"/>
      <c r="B32" s="95" t="str">
        <f>'1° Parcial'!B32</f>
        <v>SISTEMAS OPERATIVOS</v>
      </c>
      <c r="C32" s="97" t="str">
        <f>'1° Parcial'!C32</f>
        <v>SIS-223</v>
      </c>
      <c r="D32" s="100" t="str">
        <f>'1° Parcial'!D32</f>
        <v>4º </v>
      </c>
      <c r="E32" s="100" t="str">
        <f>'1° Parcial'!E32</f>
        <v>TA-01</v>
      </c>
      <c r="F32" s="103" t="str">
        <f>'1° Parcial'!F32</f>
        <v>GUSTAVO MAGARIÑOS CAMACHO</v>
      </c>
      <c r="G32" s="106" t="str">
        <f>'1° Parcial'!G32</f>
        <v/>
      </c>
      <c r="H32" s="120">
        <f t="shared" si="1"/>
        <v>46354</v>
      </c>
      <c r="I32" s="117">
        <f>'2° Parcial'!J32+(7*3)</f>
        <v>46357</v>
      </c>
      <c r="J32" s="118">
        <f>'1° Parcial'!K32</f>
        <v>0.40625</v>
      </c>
      <c r="K32" s="118"/>
      <c r="L32" s="149"/>
      <c r="M32" s="117">
        <f>'2° Parcial'!O32+(7*3)</f>
        <v>46350</v>
      </c>
      <c r="N32" s="118">
        <f>'1° Parcial'!P32</f>
        <v>0.40625</v>
      </c>
      <c r="O32" s="119"/>
      <c r="P32" s="97"/>
      <c r="Q32" s="117">
        <f>'2° Parcial'!T32+(7*3)</f>
        <v>77</v>
      </c>
      <c r="R32" s="118" t="str">
        <f>'1° Parcial'!U32</f>
        <v/>
      </c>
      <c r="S32" s="119"/>
      <c r="T32" s="97"/>
      <c r="U32" s="117">
        <f>'2° Parcial'!Y32+(7*3)</f>
        <v>46357</v>
      </c>
      <c r="V32" s="118">
        <f>'1° Parcial'!Z32</f>
        <v>0.40625</v>
      </c>
      <c r="W32" s="119"/>
      <c r="X32" s="152"/>
      <c r="Y32" s="124"/>
    </row>
    <row r="33">
      <c r="A33" s="90"/>
      <c r="B33" s="95" t="str">
        <f>'1° Parcial'!B33</f>
        <v>DISEÑO DE BASE DE DATOS</v>
      </c>
      <c r="C33" s="97" t="str">
        <f>'1° Parcial'!C33</f>
        <v>SIS-224</v>
      </c>
      <c r="D33" s="100" t="str">
        <f>'1° Parcial'!D33</f>
        <v>4º </v>
      </c>
      <c r="E33" s="100" t="str">
        <f>'1° Parcial'!E33</f>
        <v>TA-01</v>
      </c>
      <c r="F33" s="103" t="str">
        <f>'1° Parcial'!F33</f>
        <v>WALTER JOSE CAZAS CASTRO</v>
      </c>
      <c r="G33" s="106" t="str">
        <f>'1° Parcial'!G33</f>
        <v/>
      </c>
      <c r="H33" s="120">
        <f t="shared" si="1"/>
        <v>46362</v>
      </c>
      <c r="I33" s="117">
        <f>'2° Parcial'!J33+(7*3)</f>
        <v>46365</v>
      </c>
      <c r="J33" s="118">
        <f>'1° Parcial'!K33</f>
        <v>0.34375</v>
      </c>
      <c r="K33" s="118"/>
      <c r="L33" s="149"/>
      <c r="M33" s="117">
        <f>'2° Parcial'!O33+(7*3)</f>
        <v>46358</v>
      </c>
      <c r="N33" s="118">
        <f>'1° Parcial'!P33</f>
        <v>0.34375</v>
      </c>
      <c r="O33" s="119"/>
      <c r="P33" s="97"/>
      <c r="Q33" s="117">
        <f>'2° Parcial'!T33+(7*3)</f>
        <v>77</v>
      </c>
      <c r="R33" s="118" t="str">
        <f>'1° Parcial'!U33</f>
        <v/>
      </c>
      <c r="S33" s="119"/>
      <c r="T33" s="97"/>
      <c r="U33" s="117">
        <f>'2° Parcial'!Y33+(7*3)</f>
        <v>46365</v>
      </c>
      <c r="V33" s="118">
        <f>'1° Parcial'!Z33</f>
        <v>0.34375</v>
      </c>
      <c r="W33" s="119"/>
      <c r="X33" s="99"/>
      <c r="Y33" s="124"/>
    </row>
    <row r="34">
      <c r="A34" s="90"/>
      <c r="B34" s="95" t="str">
        <f>'1° Parcial'!B34</f>
        <v>INGLÉS TÉCNICO IV</v>
      </c>
      <c r="C34" s="97" t="str">
        <f>'1° Parcial'!C34</f>
        <v>SIS-225</v>
      </c>
      <c r="D34" s="100" t="str">
        <f>'1° Parcial'!D34</f>
        <v>4º </v>
      </c>
      <c r="E34" s="100" t="str">
        <f>'1° Parcial'!E34</f>
        <v>TA-01</v>
      </c>
      <c r="F34" s="103" t="str">
        <f>'1° Parcial'!F34</f>
        <v>EDUARDO CARLOS MOSCOSO RICALDI</v>
      </c>
      <c r="G34" s="106" t="str">
        <f>'1° Parcial'!G34</f>
        <v/>
      </c>
      <c r="H34" s="120">
        <f t="shared" si="1"/>
        <v>46364</v>
      </c>
      <c r="I34" s="117">
        <f>'2° Parcial'!J34+(7*3)</f>
        <v>46367</v>
      </c>
      <c r="J34" s="118">
        <f>'1° Parcial'!K34</f>
        <v>0.40625</v>
      </c>
      <c r="K34" s="118"/>
      <c r="L34" s="149"/>
      <c r="M34" s="117">
        <f>'2° Parcial'!O34+(7*3)</f>
        <v>46360</v>
      </c>
      <c r="N34" s="118">
        <f>'1° Parcial'!P34</f>
        <v>0.40625</v>
      </c>
      <c r="O34" s="119"/>
      <c r="P34" s="97"/>
      <c r="Q34" s="117">
        <f>'2° Parcial'!T34+(7*3)</f>
        <v>77</v>
      </c>
      <c r="R34" s="118" t="str">
        <f>'1° Parcial'!U34</f>
        <v/>
      </c>
      <c r="S34" s="119"/>
      <c r="T34" s="97"/>
      <c r="U34" s="117">
        <f>'2° Parcial'!Y34+(7*3)</f>
        <v>46367</v>
      </c>
      <c r="V34" s="118">
        <f>'1° Parcial'!Z34</f>
        <v>0.40625</v>
      </c>
      <c r="W34" s="119"/>
      <c r="X34" s="152"/>
      <c r="Y34" s="124"/>
    </row>
    <row r="35">
      <c r="A35" s="90"/>
      <c r="B35" s="95" t="str">
        <f>'1° Parcial'!B35</f>
        <v>TALLER DE PROGRAMACIÓN III</v>
      </c>
      <c r="C35" s="97" t="str">
        <f>'1° Parcial'!C35</f>
        <v>SIS-226</v>
      </c>
      <c r="D35" s="100" t="str">
        <f>'1° Parcial'!D35</f>
        <v>4º </v>
      </c>
      <c r="E35" s="100" t="str">
        <f>'1° Parcial'!E35</f>
        <v>TA-01</v>
      </c>
      <c r="F35" s="103" t="str">
        <f>'1° Parcial'!F35</f>
        <v>YAMIL YASMANI CRESPO AYALA</v>
      </c>
      <c r="G35" s="106" t="str">
        <f>'1° Parcial'!G35</f>
        <v/>
      </c>
      <c r="H35" s="120">
        <f t="shared" si="1"/>
        <v>46358</v>
      </c>
      <c r="I35" s="117">
        <f>'2° Parcial'!J35+(7*3)</f>
        <v>46361</v>
      </c>
      <c r="J35" s="118">
        <f>'1° Parcial'!K35</f>
        <v>0.34375</v>
      </c>
      <c r="K35" s="118"/>
      <c r="L35" s="149"/>
      <c r="M35" s="117">
        <f>'2° Parcial'!O35+(7*3)</f>
        <v>46354</v>
      </c>
      <c r="N35" s="118">
        <f>'1° Parcial'!P35</f>
        <v>0.34375</v>
      </c>
      <c r="O35" s="119"/>
      <c r="P35" s="97"/>
      <c r="Q35" s="117">
        <f>'2° Parcial'!T35+(7*3)</f>
        <v>77</v>
      </c>
      <c r="R35" s="118" t="str">
        <f>'1° Parcial'!U35</f>
        <v/>
      </c>
      <c r="S35" s="119"/>
      <c r="T35" s="97"/>
      <c r="U35" s="117">
        <f>'2° Parcial'!Y35+(7*3)</f>
        <v>46361</v>
      </c>
      <c r="V35" s="118">
        <f>'1° Parcial'!Z35</f>
        <v>0.34375</v>
      </c>
      <c r="W35" s="119"/>
      <c r="X35" s="99"/>
      <c r="Y35" s="124"/>
    </row>
    <row r="36">
      <c r="A36" s="90"/>
      <c r="B36" s="95" t="str">
        <f>'1° Parcial'!B36</f>
        <v>DISEÑO GRÁFICO Y SISTEMAS DE INFORMACIÓN GEOGRÁFICA</v>
      </c>
      <c r="C36" s="97" t="str">
        <f>'1° Parcial'!C36</f>
        <v>SIS-227</v>
      </c>
      <c r="D36" s="100" t="str">
        <f>'1° Parcial'!D36</f>
        <v>4º </v>
      </c>
      <c r="E36" s="100" t="str">
        <f>'1° Parcial'!E36</f>
        <v>TA-01</v>
      </c>
      <c r="F36" s="103" t="str">
        <f>'1° Parcial'!F36</f>
        <v>JIMENA GIOVANNA ARNEZ MARTINEZ</v>
      </c>
      <c r="G36" s="106" t="str">
        <f>'1° Parcial'!G36</f>
        <v/>
      </c>
      <c r="H36" s="120">
        <f t="shared" si="1"/>
        <v>46356</v>
      </c>
      <c r="I36" s="117">
        <f>'2° Parcial'!J36+(7*3)</f>
        <v>46359</v>
      </c>
      <c r="J36" s="118">
        <f>'1° Parcial'!K36</f>
        <v>0.34375</v>
      </c>
      <c r="K36" s="118"/>
      <c r="L36" s="149"/>
      <c r="M36" s="117">
        <f>'2° Parcial'!O36+(7*3)</f>
        <v>46352</v>
      </c>
      <c r="N36" s="118">
        <f>'1° Parcial'!P36</f>
        <v>0.34375</v>
      </c>
      <c r="O36" s="119"/>
      <c r="P36" s="97"/>
      <c r="Q36" s="117">
        <f>'2° Parcial'!T36+(7*3)</f>
        <v>77</v>
      </c>
      <c r="R36" s="118" t="str">
        <f>'1° Parcial'!U36</f>
        <v/>
      </c>
      <c r="S36" s="119"/>
      <c r="T36" s="97"/>
      <c r="U36" s="117">
        <f>'2° Parcial'!Y36+(7*3)</f>
        <v>46359</v>
      </c>
      <c r="V36" s="118">
        <f>'1° Parcial'!Z36</f>
        <v>0.34375</v>
      </c>
      <c r="W36" s="119"/>
      <c r="X36" s="152"/>
      <c r="Y36" s="124"/>
    </row>
    <row r="37">
      <c r="A37" s="90"/>
      <c r="B37" s="95" t="str">
        <f>'1° Parcial'!B37</f>
        <v>INVESTIGACIÓN OPERATIVA</v>
      </c>
      <c r="C37" s="97" t="str">
        <f>'1° Parcial'!C37</f>
        <v>SIS-311</v>
      </c>
      <c r="D37" s="100" t="str">
        <f>'1° Parcial'!D37</f>
        <v>5º </v>
      </c>
      <c r="E37" s="100" t="str">
        <f>'1° Parcial'!E37</f>
        <v>TA-01</v>
      </c>
      <c r="F37" s="103" t="str">
        <f>'1° Parcial'!F37</f>
        <v>JIMENA GIOVANNA ARNEZ MARTINEZ</v>
      </c>
      <c r="G37" s="106" t="str">
        <f>'1° Parcial'!G37</f>
        <v/>
      </c>
      <c r="H37" s="120">
        <f t="shared" si="1"/>
        <v>46356</v>
      </c>
      <c r="I37" s="117">
        <f>'2° Parcial'!J37+(7*3)</f>
        <v>46359</v>
      </c>
      <c r="J37" s="118">
        <f>'1° Parcial'!K37</f>
        <v>0.59375</v>
      </c>
      <c r="K37" s="118"/>
      <c r="L37" s="149"/>
      <c r="M37" s="117">
        <f>'2° Parcial'!O37+(7*3)</f>
        <v>46352</v>
      </c>
      <c r="N37" s="118">
        <f>'1° Parcial'!P37</f>
        <v>0.59375</v>
      </c>
      <c r="O37" s="119"/>
      <c r="P37" s="97"/>
      <c r="Q37" s="117">
        <f>'2° Parcial'!T37+(7*3)</f>
        <v>77</v>
      </c>
      <c r="R37" s="118" t="str">
        <f>'1° Parcial'!U37</f>
        <v/>
      </c>
      <c r="S37" s="119"/>
      <c r="T37" s="97"/>
      <c r="U37" s="117">
        <f>'2° Parcial'!Y37+(7*3)</f>
        <v>46359</v>
      </c>
      <c r="V37" s="118">
        <f>'1° Parcial'!Z37</f>
        <v>0.59375</v>
      </c>
      <c r="W37" s="119"/>
      <c r="X37" s="152"/>
      <c r="Y37" s="124"/>
    </row>
    <row r="38">
      <c r="A38" s="90"/>
      <c r="B38" s="95" t="str">
        <f>'1° Parcial'!B38</f>
        <v>MICROCONTROLADORES</v>
      </c>
      <c r="C38" s="97" t="str">
        <f>'1° Parcial'!C38</f>
        <v>SIS-312</v>
      </c>
      <c r="D38" s="100" t="str">
        <f>'1° Parcial'!D38</f>
        <v>5º </v>
      </c>
      <c r="E38" s="100" t="str">
        <f>'1° Parcial'!E38</f>
        <v>TA-01</v>
      </c>
      <c r="F38" s="103" t="str">
        <f>'1° Parcial'!F38</f>
        <v>JOAQUIN RICARDO ARAOZ JALDIN</v>
      </c>
      <c r="G38" s="106" t="str">
        <f>'1° Parcial'!G38</f>
        <v/>
      </c>
      <c r="H38" s="120">
        <f t="shared" si="1"/>
        <v>46360</v>
      </c>
      <c r="I38" s="117">
        <f>'2° Parcial'!J38+(7*3)</f>
        <v>46363</v>
      </c>
      <c r="J38" s="118">
        <f>'1° Parcial'!K38</f>
        <v>0.53125</v>
      </c>
      <c r="K38" s="118"/>
      <c r="L38" s="149"/>
      <c r="M38" s="117">
        <f>'2° Parcial'!O38+(7*3)</f>
        <v>46356</v>
      </c>
      <c r="N38" s="118">
        <f>'1° Parcial'!P38</f>
        <v>0.53125</v>
      </c>
      <c r="O38" s="119"/>
      <c r="P38" s="97"/>
      <c r="Q38" s="117">
        <f>'2° Parcial'!T38+(7*3)</f>
        <v>77</v>
      </c>
      <c r="R38" s="118" t="str">
        <f>'1° Parcial'!U38</f>
        <v/>
      </c>
      <c r="S38" s="119"/>
      <c r="T38" s="97"/>
      <c r="U38" s="117">
        <f>'2° Parcial'!Y38+(7*3)</f>
        <v>46363</v>
      </c>
      <c r="V38" s="118">
        <f>'1° Parcial'!Z38</f>
        <v>0.53125</v>
      </c>
      <c r="W38" s="119"/>
      <c r="X38" s="152"/>
      <c r="Y38" s="124"/>
    </row>
    <row r="39">
      <c r="A39" s="90"/>
      <c r="B39" s="95" t="str">
        <f>'1° Parcial'!B39</f>
        <v>ARQUITECTURA DE NUEVAS TECNOLÓGIAS</v>
      </c>
      <c r="C39" s="97" t="str">
        <f>'1° Parcial'!C39</f>
        <v>SIS-313</v>
      </c>
      <c r="D39" s="100" t="str">
        <f>'1° Parcial'!D39</f>
        <v>5º </v>
      </c>
      <c r="E39" s="100" t="str">
        <f>'1° Parcial'!E39</f>
        <v>TA-01</v>
      </c>
      <c r="F39" s="103" t="str">
        <f>'1° Parcial'!F39</f>
        <v>JANNETH SOFIA MEDINA ALEMAN</v>
      </c>
      <c r="G39" s="106" t="str">
        <f>'1° Parcial'!G39</f>
        <v/>
      </c>
      <c r="H39" s="120">
        <f t="shared" si="1"/>
        <v>46358</v>
      </c>
      <c r="I39" s="117">
        <f>'2° Parcial'!J39+(7*3)</f>
        <v>46361</v>
      </c>
      <c r="J39" s="118">
        <f>'1° Parcial'!K39</f>
        <v>0.34375</v>
      </c>
      <c r="K39" s="118"/>
      <c r="L39" s="149"/>
      <c r="M39" s="117">
        <f>'2° Parcial'!O39+(7*3)</f>
        <v>46354</v>
      </c>
      <c r="N39" s="118">
        <f>'1° Parcial'!P39</f>
        <v>0.34375</v>
      </c>
      <c r="O39" s="119"/>
      <c r="P39" s="97"/>
      <c r="Q39" s="117">
        <f>'2° Parcial'!T39+(7*3)</f>
        <v>77</v>
      </c>
      <c r="R39" s="118" t="str">
        <f>'1° Parcial'!U39</f>
        <v/>
      </c>
      <c r="S39" s="119"/>
      <c r="T39" s="97"/>
      <c r="U39" s="117">
        <f>'2° Parcial'!Y39+(7*3)</f>
        <v>46361</v>
      </c>
      <c r="V39" s="118">
        <f>'1° Parcial'!Z39</f>
        <v>0.34375</v>
      </c>
      <c r="W39" s="119"/>
      <c r="X39" s="152"/>
      <c r="Y39" s="124"/>
    </row>
    <row r="40">
      <c r="A40" s="90"/>
      <c r="B40" s="95" t="str">
        <f>'1° Parcial'!B40</f>
        <v>ANÁLISIS DE SISTEMAS I</v>
      </c>
      <c r="C40" s="97" t="str">
        <f>'1° Parcial'!C40</f>
        <v>SIS-314</v>
      </c>
      <c r="D40" s="100" t="str">
        <f>'1° Parcial'!D40</f>
        <v>5º </v>
      </c>
      <c r="E40" s="100" t="str">
        <f>'1° Parcial'!E40</f>
        <v>TA-01</v>
      </c>
      <c r="F40" s="103" t="str">
        <f>'1° Parcial'!F40</f>
        <v>MARIA LUZ DEL CASTILLO GONZALES</v>
      </c>
      <c r="G40" s="106" t="str">
        <f>'1° Parcial'!G40</f>
        <v/>
      </c>
      <c r="H40" s="120">
        <f t="shared" si="1"/>
        <v>46367</v>
      </c>
      <c r="I40" s="117">
        <f>'2° Parcial'!J40+(7*3)</f>
        <v>46370</v>
      </c>
      <c r="J40" s="118">
        <f>'1° Parcial'!K40</f>
        <v>0.65625</v>
      </c>
      <c r="K40" s="118"/>
      <c r="L40" s="149"/>
      <c r="M40" s="117">
        <f>'2° Parcial'!O40+(7*3)</f>
        <v>46363</v>
      </c>
      <c r="N40" s="118">
        <f>'1° Parcial'!P40</f>
        <v>0.65625</v>
      </c>
      <c r="O40" s="119"/>
      <c r="P40" s="97"/>
      <c r="Q40" s="117">
        <f>'2° Parcial'!T40+(7*3)</f>
        <v>77</v>
      </c>
      <c r="R40" s="118" t="str">
        <f>'1° Parcial'!U40</f>
        <v/>
      </c>
      <c r="S40" s="119"/>
      <c r="T40" s="97"/>
      <c r="U40" s="117">
        <f>'2° Parcial'!Y40+(7*3)</f>
        <v>46370</v>
      </c>
      <c r="V40" s="118">
        <f>'1° Parcial'!Z40</f>
        <v>0.65625</v>
      </c>
      <c r="W40" s="119"/>
      <c r="X40" s="152"/>
      <c r="Y40" s="124"/>
    </row>
    <row r="41">
      <c r="A41" s="90"/>
      <c r="B41" s="95" t="str">
        <f>'1° Parcial'!B41</f>
        <v>INFORMÁTICA FORENSE</v>
      </c>
      <c r="C41" s="97" t="str">
        <f>'1° Parcial'!C41</f>
        <v>SIS-315</v>
      </c>
      <c r="D41" s="100" t="str">
        <f>'1° Parcial'!D41</f>
        <v>5º </v>
      </c>
      <c r="E41" s="100" t="str">
        <f>'1° Parcial'!E41</f>
        <v>TA-01</v>
      </c>
      <c r="F41" s="103" t="str">
        <f>'1° Parcial'!F41</f>
        <v>GUSTAVO MAGARIÑOS CAMACHO</v>
      </c>
      <c r="G41" s="106" t="str">
        <f>'1° Parcial'!G41</f>
        <v/>
      </c>
      <c r="H41" s="120">
        <f t="shared" si="1"/>
        <v>46354</v>
      </c>
      <c r="I41" s="117">
        <f>'2° Parcial'!J41+(7*3)</f>
        <v>46357</v>
      </c>
      <c r="J41" s="118">
        <f>'1° Parcial'!K41</f>
        <v>0.65625</v>
      </c>
      <c r="K41" s="118"/>
      <c r="L41" s="149"/>
      <c r="M41" s="117">
        <f>'2° Parcial'!O41+(7*3)</f>
        <v>46350</v>
      </c>
      <c r="N41" s="118">
        <f>'1° Parcial'!P41</f>
        <v>0.65625</v>
      </c>
      <c r="O41" s="119"/>
      <c r="P41" s="97"/>
      <c r="Q41" s="117">
        <f>'2° Parcial'!T41+(7*3)</f>
        <v>77</v>
      </c>
      <c r="R41" s="118" t="str">
        <f>'1° Parcial'!U41</f>
        <v/>
      </c>
      <c r="S41" s="119"/>
      <c r="T41" s="97"/>
      <c r="U41" s="117">
        <f>'2° Parcial'!Y41+(7*3)</f>
        <v>46357</v>
      </c>
      <c r="V41" s="118">
        <f>'1° Parcial'!Z41</f>
        <v>0.65625</v>
      </c>
      <c r="W41" s="119"/>
      <c r="X41" s="152"/>
      <c r="Y41" s="35"/>
    </row>
    <row r="42">
      <c r="A42" s="90"/>
      <c r="B42" s="95" t="str">
        <f>'1° Parcial'!B42</f>
        <v>REDES Y COMUNICACIÓNES</v>
      </c>
      <c r="C42" s="97" t="str">
        <f>'1° Parcial'!C42</f>
        <v>SIS-316</v>
      </c>
      <c r="D42" s="100" t="str">
        <f>'1° Parcial'!D42</f>
        <v>5º </v>
      </c>
      <c r="E42" s="100" t="str">
        <f>'1° Parcial'!E42</f>
        <v>TA-01</v>
      </c>
      <c r="F42" s="103" t="str">
        <f>'1° Parcial'!F42</f>
        <v>GUSTAVO ADOLFO RIVERA ARTEAGA</v>
      </c>
      <c r="G42" s="106" t="str">
        <f>'1° Parcial'!G42</f>
        <v/>
      </c>
      <c r="H42" s="120">
        <f t="shared" si="1"/>
        <v>46364</v>
      </c>
      <c r="I42" s="117">
        <f>'2° Parcial'!J42+(7*3)</f>
        <v>46367</v>
      </c>
      <c r="J42" s="118">
        <f>'1° Parcial'!K42</f>
        <v>0.59375</v>
      </c>
      <c r="K42" s="118"/>
      <c r="L42" s="149"/>
      <c r="M42" s="117">
        <f>'2° Parcial'!O42+(7*3)</f>
        <v>46360</v>
      </c>
      <c r="N42" s="118">
        <f>'1° Parcial'!P42</f>
        <v>0.59375</v>
      </c>
      <c r="O42" s="119"/>
      <c r="P42" s="97"/>
      <c r="Q42" s="117">
        <f>'2° Parcial'!T42+(7*3)</f>
        <v>77</v>
      </c>
      <c r="R42" s="118" t="str">
        <f>'1° Parcial'!U42</f>
        <v/>
      </c>
      <c r="S42" s="119"/>
      <c r="T42" s="97"/>
      <c r="U42" s="117">
        <f>'2° Parcial'!Y42+(7*3)</f>
        <v>46367</v>
      </c>
      <c r="V42" s="118">
        <f>'1° Parcial'!Z42</f>
        <v>0.59375</v>
      </c>
      <c r="W42" s="119"/>
      <c r="X42" s="152"/>
      <c r="Y42" s="35"/>
    </row>
    <row r="43">
      <c r="A43" s="90"/>
      <c r="B43" s="95" t="str">
        <f>'1° Parcial'!B43</f>
        <v>CONCEPTOS AVANZADOS DE BASE DE DATOS</v>
      </c>
      <c r="C43" s="97" t="str">
        <f>'1° Parcial'!C43</f>
        <v>SIS-317</v>
      </c>
      <c r="D43" s="100" t="str">
        <f>'1° Parcial'!D43</f>
        <v>5º </v>
      </c>
      <c r="E43" s="100" t="str">
        <f>'1° Parcial'!E43</f>
        <v>TA-01</v>
      </c>
      <c r="F43" s="103" t="str">
        <f>'1° Parcial'!F43</f>
        <v>AMILKAR JESUS MIRANDA ROMERO</v>
      </c>
      <c r="G43" s="106" t="str">
        <f>'1° Parcial'!G43</f>
        <v/>
      </c>
      <c r="H43" s="120">
        <f t="shared" si="1"/>
        <v>46362</v>
      </c>
      <c r="I43" s="117">
        <f>'2° Parcial'!J43+(7*3)</f>
        <v>46365</v>
      </c>
      <c r="J43" s="118">
        <f>'1° Parcial'!K43</f>
        <v>0.71875</v>
      </c>
      <c r="K43" s="118"/>
      <c r="L43" s="149"/>
      <c r="M43" s="117">
        <f>'2° Parcial'!O43+(7*3)</f>
        <v>46358</v>
      </c>
      <c r="N43" s="118">
        <f>'1° Parcial'!P43</f>
        <v>0.71875</v>
      </c>
      <c r="O43" s="119"/>
      <c r="P43" s="97"/>
      <c r="Q43" s="117">
        <f>'2° Parcial'!T43+(7*3)</f>
        <v>77</v>
      </c>
      <c r="R43" s="118" t="str">
        <f>'1° Parcial'!U43</f>
        <v/>
      </c>
      <c r="S43" s="119"/>
      <c r="T43" s="97"/>
      <c r="U43" s="117">
        <f>'2° Parcial'!Y43+(7*3)</f>
        <v>46365</v>
      </c>
      <c r="V43" s="118">
        <f>'1° Parcial'!Z43</f>
        <v>0.71875</v>
      </c>
      <c r="W43" s="119"/>
      <c r="X43" s="152"/>
      <c r="Y43" s="35"/>
    </row>
    <row r="44">
      <c r="A44" s="90"/>
      <c r="B44" s="95" t="str">
        <f>'1° Parcial'!B44</f>
        <v>ROBÓTICA</v>
      </c>
      <c r="C44" s="97" t="str">
        <f>'1° Parcial'!C44</f>
        <v>SIS-321</v>
      </c>
      <c r="D44" s="100" t="str">
        <f>'1° Parcial'!D44</f>
        <v>6º </v>
      </c>
      <c r="E44" s="100" t="str">
        <f>'1° Parcial'!E44</f>
        <v>TA-01</v>
      </c>
      <c r="F44" s="103" t="str">
        <f>'1° Parcial'!F44</f>
        <v>JOAQUIN RICARDO ARAOZ JALDIN</v>
      </c>
      <c r="G44" s="106" t="str">
        <f>'1° Parcial'!G44</f>
        <v/>
      </c>
      <c r="H44" s="120">
        <f t="shared" si="1"/>
        <v>46354</v>
      </c>
      <c r="I44" s="117">
        <f>'2° Parcial'!J44+(7*3)</f>
        <v>46357</v>
      </c>
      <c r="J44" s="118">
        <f>'1° Parcial'!K44</f>
        <v>0.65625</v>
      </c>
      <c r="K44" s="118"/>
      <c r="L44" s="149"/>
      <c r="M44" s="117">
        <f>'2° Parcial'!O44+(7*3)</f>
        <v>46350</v>
      </c>
      <c r="N44" s="118">
        <f>'1° Parcial'!P44</f>
        <v>0.65625</v>
      </c>
      <c r="O44" s="119"/>
      <c r="P44" s="97"/>
      <c r="Q44" s="117">
        <f>'2° Parcial'!T44+(7*3)</f>
        <v>77</v>
      </c>
      <c r="R44" s="118" t="str">
        <f>'1° Parcial'!U44</f>
        <v/>
      </c>
      <c r="S44" s="119"/>
      <c r="T44" s="97"/>
      <c r="U44" s="117">
        <f>'2° Parcial'!Y44+(7*3)</f>
        <v>46357</v>
      </c>
      <c r="V44" s="118">
        <f>'1° Parcial'!Z44</f>
        <v>0.65625</v>
      </c>
      <c r="W44" s="119"/>
      <c r="X44" s="152"/>
      <c r="Y44" s="35"/>
    </row>
    <row r="45">
      <c r="A45" s="90"/>
      <c r="B45" s="95" t="str">
        <f>'1° Parcial'!B45</f>
        <v>INFRAESTRUCTURA TECNOLÓGICA</v>
      </c>
      <c r="C45" s="97" t="str">
        <f>'1° Parcial'!C45</f>
        <v>SIS-322</v>
      </c>
      <c r="D45" s="100" t="str">
        <f>'1° Parcial'!D45</f>
        <v>6º </v>
      </c>
      <c r="E45" s="100" t="str">
        <f>'1° Parcial'!E45</f>
        <v>TA-01</v>
      </c>
      <c r="F45" s="103" t="str">
        <f>'1° Parcial'!F45</f>
        <v>WILSON JAVIER CONTRERAS VARGAS</v>
      </c>
      <c r="G45" s="106" t="str">
        <f>'1° Parcial'!G45</f>
        <v/>
      </c>
      <c r="H45" s="120">
        <f t="shared" si="1"/>
        <v>46362</v>
      </c>
      <c r="I45" s="117">
        <f>'2° Parcial'!J45+(7*3)</f>
        <v>46365</v>
      </c>
      <c r="J45" s="118">
        <f>'1° Parcial'!K45</f>
        <v>0.65625</v>
      </c>
      <c r="K45" s="118"/>
      <c r="L45" s="149"/>
      <c r="M45" s="117">
        <f>'2° Parcial'!O45+(7*3)</f>
        <v>46358</v>
      </c>
      <c r="N45" s="118">
        <f>'1° Parcial'!P45</f>
        <v>0.65625</v>
      </c>
      <c r="O45" s="119"/>
      <c r="P45" s="97"/>
      <c r="Q45" s="117">
        <f>'2° Parcial'!T45+(7*3)</f>
        <v>77</v>
      </c>
      <c r="R45" s="118" t="str">
        <f>'1° Parcial'!U45</f>
        <v/>
      </c>
      <c r="S45" s="119"/>
      <c r="T45" s="97"/>
      <c r="U45" s="117">
        <f>'2° Parcial'!Y45+(7*3)</f>
        <v>46365</v>
      </c>
      <c r="V45" s="118">
        <f>'1° Parcial'!Z45</f>
        <v>0.65625</v>
      </c>
      <c r="W45" s="119"/>
      <c r="X45" s="152"/>
      <c r="Y45" s="35"/>
    </row>
    <row r="46">
      <c r="A46" s="90"/>
      <c r="B46" s="95" t="str">
        <f>'1° Parcial'!B46</f>
        <v>ANÁLISIS DE SISTEMAS II</v>
      </c>
      <c r="C46" s="97" t="str">
        <f>'1° Parcial'!C46</f>
        <v>SIS-323</v>
      </c>
      <c r="D46" s="100" t="str">
        <f>'1° Parcial'!D46</f>
        <v>6º </v>
      </c>
      <c r="E46" s="100" t="str">
        <f>'1° Parcial'!E46</f>
        <v>TA-01</v>
      </c>
      <c r="F46" s="103" t="str">
        <f>'1° Parcial'!F46</f>
        <v>MARIA LUZ DEL CASTILLO GONZALES</v>
      </c>
      <c r="G46" s="106" t="str">
        <f>'1° Parcial'!G46</f>
        <v/>
      </c>
      <c r="H46" s="120">
        <f t="shared" si="1"/>
        <v>46360</v>
      </c>
      <c r="I46" s="117">
        <f>'2° Parcial'!J46+(7*3)</f>
        <v>46363</v>
      </c>
      <c r="J46" s="118">
        <f>'1° Parcial'!K46</f>
        <v>0.59375</v>
      </c>
      <c r="K46" s="118"/>
      <c r="L46" s="149"/>
      <c r="M46" s="117">
        <f>'2° Parcial'!O46+(7*3)</f>
        <v>46356</v>
      </c>
      <c r="N46" s="118">
        <f>'1° Parcial'!P46</f>
        <v>0.59375</v>
      </c>
      <c r="O46" s="119"/>
      <c r="P46" s="97"/>
      <c r="Q46" s="117">
        <f>'2° Parcial'!T46+(7*3)</f>
        <v>77</v>
      </c>
      <c r="R46" s="118" t="str">
        <f>'1° Parcial'!U46</f>
        <v/>
      </c>
      <c r="S46" s="119"/>
      <c r="T46" s="97"/>
      <c r="U46" s="117">
        <f>'2° Parcial'!Y46+(7*3)</f>
        <v>46363</v>
      </c>
      <c r="V46" s="118">
        <f>'1° Parcial'!Z46</f>
        <v>0.59375</v>
      </c>
      <c r="W46" s="119"/>
      <c r="X46" s="152"/>
      <c r="Y46" s="35"/>
    </row>
    <row r="47">
      <c r="A47" s="90"/>
      <c r="B47" s="95" t="str">
        <f>'1° Parcial'!B47</f>
        <v>INGENIERÍA DE MÉTODOS Y REINGENIERÍA</v>
      </c>
      <c r="C47" s="97" t="str">
        <f>'1° Parcial'!C47</f>
        <v>SIS-324</v>
      </c>
      <c r="D47" s="100" t="str">
        <f>'1° Parcial'!D47</f>
        <v>6º </v>
      </c>
      <c r="E47" s="100" t="str">
        <f>'1° Parcial'!E47</f>
        <v>TA-01</v>
      </c>
      <c r="F47" s="103" t="str">
        <f>'1° Parcial'!F47</f>
        <v>ELIANA LESLY MICORDIA ROMERO</v>
      </c>
      <c r="G47" s="106" t="str">
        <f>'1° Parcial'!G47</f>
        <v/>
      </c>
      <c r="H47" s="120">
        <f t="shared" si="1"/>
        <v>46358</v>
      </c>
      <c r="I47" s="117">
        <f>'2° Parcial'!J47+(7*3)</f>
        <v>46361</v>
      </c>
      <c r="J47" s="118">
        <f>'1° Parcial'!K47</f>
        <v>0.46875</v>
      </c>
      <c r="K47" s="118"/>
      <c r="L47" s="149"/>
      <c r="M47" s="117">
        <f>'2° Parcial'!O47+(7*3)</f>
        <v>46354</v>
      </c>
      <c r="N47" s="118">
        <f>'1° Parcial'!P47</f>
        <v>0.46875</v>
      </c>
      <c r="O47" s="119"/>
      <c r="P47" s="97"/>
      <c r="Q47" s="117">
        <f>'2° Parcial'!T47+(7*3)</f>
        <v>77</v>
      </c>
      <c r="R47" s="118" t="str">
        <f>'1° Parcial'!U47</f>
        <v/>
      </c>
      <c r="S47" s="119"/>
      <c r="T47" s="97"/>
      <c r="U47" s="117">
        <f>'2° Parcial'!Y47+(7*3)</f>
        <v>46361</v>
      </c>
      <c r="V47" s="118">
        <f>'1° Parcial'!Z47</f>
        <v>0.46875</v>
      </c>
      <c r="W47" s="119"/>
      <c r="X47" s="152"/>
      <c r="Y47" s="35"/>
    </row>
    <row r="48">
      <c r="A48" s="90"/>
      <c r="B48" s="95" t="str">
        <f>'1° Parcial'!B48</f>
        <v>TALLER DE REDES</v>
      </c>
      <c r="C48" s="97" t="str">
        <f>'1° Parcial'!C48</f>
        <v>SIS-325</v>
      </c>
      <c r="D48" s="100" t="str">
        <f>'1° Parcial'!D48</f>
        <v>6º </v>
      </c>
      <c r="E48" s="100" t="str">
        <f>'1° Parcial'!E48</f>
        <v>TA-01</v>
      </c>
      <c r="F48" s="103" t="str">
        <f>'1° Parcial'!F48</f>
        <v>AMILKAR JESUS MIRANDA ROMERO</v>
      </c>
      <c r="G48" s="106" t="str">
        <f>'1° Parcial'!G48</f>
        <v/>
      </c>
      <c r="H48" s="120">
        <f t="shared" si="1"/>
        <v>46356</v>
      </c>
      <c r="I48" s="117">
        <f>'2° Parcial'!J48+(7*3)</f>
        <v>46359</v>
      </c>
      <c r="J48" s="118">
        <f>'1° Parcial'!K48</f>
        <v>0.71875</v>
      </c>
      <c r="K48" s="118"/>
      <c r="L48" s="149"/>
      <c r="M48" s="117">
        <f>'2° Parcial'!O48+(7*3)</f>
        <v>46352</v>
      </c>
      <c r="N48" s="118">
        <f>'1° Parcial'!P48</f>
        <v>0.71875</v>
      </c>
      <c r="O48" s="119"/>
      <c r="P48" s="97"/>
      <c r="Q48" s="117">
        <f>'2° Parcial'!T48+(7*3)</f>
        <v>77</v>
      </c>
      <c r="R48" s="118" t="str">
        <f>'1° Parcial'!U48</f>
        <v/>
      </c>
      <c r="S48" s="119"/>
      <c r="T48" s="97"/>
      <c r="U48" s="117">
        <f>'2° Parcial'!Y48+(7*3)</f>
        <v>46359</v>
      </c>
      <c r="V48" s="118">
        <f>'1° Parcial'!Z48</f>
        <v>0.71875</v>
      </c>
      <c r="W48" s="119"/>
      <c r="X48" s="152"/>
      <c r="Y48" s="35"/>
    </row>
    <row r="49">
      <c r="A49" s="90"/>
      <c r="B49" s="95" t="str">
        <f>'1° Parcial'!B49</f>
        <v>LENGUAJES DE PROGRAMACIÓN DE ÚLTIMA GENERACIÓN</v>
      </c>
      <c r="C49" s="97" t="str">
        <f>'1° Parcial'!C49</f>
        <v>SIS-326</v>
      </c>
      <c r="D49" s="100" t="str">
        <f>'1° Parcial'!D49</f>
        <v>6º </v>
      </c>
      <c r="E49" s="100" t="str">
        <f>'1° Parcial'!E49</f>
        <v>TA-01</v>
      </c>
      <c r="F49" s="103" t="str">
        <f>'1° Parcial'!F49</f>
        <v>HAROLD MARCO ANTONIO ROJAS TORRES</v>
      </c>
      <c r="G49" s="106" t="str">
        <f>'1° Parcial'!G49</f>
        <v/>
      </c>
      <c r="H49" s="120">
        <f t="shared" si="1"/>
        <v>46367</v>
      </c>
      <c r="I49" s="117">
        <f>'2° Parcial'!J49+(7*3)</f>
        <v>46370</v>
      </c>
      <c r="J49" s="118">
        <f>'1° Parcial'!K49</f>
        <v>0.65625</v>
      </c>
      <c r="K49" s="118"/>
      <c r="L49" s="149"/>
      <c r="M49" s="117">
        <f>'2° Parcial'!O49+(7*3)</f>
        <v>46363</v>
      </c>
      <c r="N49" s="118">
        <f>'1° Parcial'!P49</f>
        <v>0.65625</v>
      </c>
      <c r="O49" s="119"/>
      <c r="P49" s="97"/>
      <c r="Q49" s="117">
        <f>'2° Parcial'!T49+(7*3)</f>
        <v>77</v>
      </c>
      <c r="R49" s="118" t="str">
        <f>'1° Parcial'!U49</f>
        <v/>
      </c>
      <c r="S49" s="119"/>
      <c r="T49" s="97"/>
      <c r="U49" s="117">
        <f>'2° Parcial'!Y49+(7*3)</f>
        <v>46370</v>
      </c>
      <c r="V49" s="118">
        <f>'1° Parcial'!Z49</f>
        <v>0.65625</v>
      </c>
      <c r="W49" s="119"/>
      <c r="X49" s="152"/>
      <c r="Y49" s="35"/>
    </row>
    <row r="50">
      <c r="A50" s="90"/>
      <c r="B50" s="95" t="str">
        <f>'1° Parcial'!B50</f>
        <v>MÉTODOS Y TÉCNICAS DE INVESTIGACIÓN</v>
      </c>
      <c r="C50" s="97" t="str">
        <f>'1° Parcial'!C50</f>
        <v>SIS-411</v>
      </c>
      <c r="D50" s="100" t="str">
        <f>'1° Parcial'!D50</f>
        <v>7º </v>
      </c>
      <c r="E50" s="100" t="str">
        <f>'1° Parcial'!E50</f>
        <v>TA-01</v>
      </c>
      <c r="F50" s="103" t="str">
        <f>'1° Parcial'!F50</f>
        <v>EDWIN WINDSOR JARA ARIAS</v>
      </c>
      <c r="G50" s="106" t="str">
        <f>'1° Parcial'!G50</f>
        <v/>
      </c>
      <c r="H50" s="120">
        <f t="shared" si="1"/>
        <v>46362</v>
      </c>
      <c r="I50" s="117">
        <f>'2° Parcial'!J50+(7*3)</f>
        <v>46365</v>
      </c>
      <c r="J50" s="118">
        <f>'1° Parcial'!K50</f>
        <v>0.71875</v>
      </c>
      <c r="K50" s="118"/>
      <c r="L50" s="149"/>
      <c r="M50" s="117">
        <f>'2° Parcial'!O50+(7*3)</f>
        <v>46358</v>
      </c>
      <c r="N50" s="118">
        <f>'1° Parcial'!P50</f>
        <v>0.71875</v>
      </c>
      <c r="O50" s="119"/>
      <c r="P50" s="97"/>
      <c r="Q50" s="117">
        <f>'2° Parcial'!T50+(7*3)</f>
        <v>77</v>
      </c>
      <c r="R50" s="118" t="str">
        <f>'1° Parcial'!U50</f>
        <v/>
      </c>
      <c r="S50" s="119"/>
      <c r="T50" s="97"/>
      <c r="U50" s="117">
        <f>'2° Parcial'!Y50+(7*3)</f>
        <v>46365</v>
      </c>
      <c r="V50" s="118">
        <f>'1° Parcial'!Z50</f>
        <v>0.71875</v>
      </c>
      <c r="W50" s="119"/>
      <c r="X50" s="152"/>
      <c r="Y50" s="35"/>
    </row>
    <row r="51">
      <c r="A51" s="90"/>
      <c r="B51" s="95" t="str">
        <f>'1° Parcial'!B51</f>
        <v>REDES NEURONALES E INTELIGENCIA ARTIFICIAL</v>
      </c>
      <c r="C51" s="97" t="str">
        <f>'1° Parcial'!C51</f>
        <v>SIS-412</v>
      </c>
      <c r="D51" s="100" t="str">
        <f>'1° Parcial'!D51</f>
        <v>7º </v>
      </c>
      <c r="E51" s="100" t="str">
        <f>'1° Parcial'!E51</f>
        <v>TA-01</v>
      </c>
      <c r="F51" s="103" t="str">
        <f>'1° Parcial'!F51</f>
        <v>BLADIMIR MARCELO AJATA GUZMAN</v>
      </c>
      <c r="G51" s="106" t="str">
        <f>'1° Parcial'!G51</f>
        <v/>
      </c>
      <c r="H51" s="120">
        <f t="shared" si="1"/>
        <v>46360</v>
      </c>
      <c r="I51" s="117">
        <f>'2° Parcial'!J51+(7*3)</f>
        <v>46363</v>
      </c>
      <c r="J51" s="118">
        <f>'1° Parcial'!K51</f>
        <v>0.78125</v>
      </c>
      <c r="K51" s="118"/>
      <c r="L51" s="149"/>
      <c r="M51" s="117">
        <f>'2° Parcial'!O51+(7*3)</f>
        <v>46356</v>
      </c>
      <c r="N51" s="118">
        <f>'1° Parcial'!P51</f>
        <v>0.78125</v>
      </c>
      <c r="O51" s="119"/>
      <c r="P51" s="97"/>
      <c r="Q51" s="117">
        <f>'2° Parcial'!T51+(7*3)</f>
        <v>77</v>
      </c>
      <c r="R51" s="118" t="str">
        <f>'1° Parcial'!U51</f>
        <v/>
      </c>
      <c r="S51" s="119"/>
      <c r="T51" s="97"/>
      <c r="U51" s="117">
        <f>'2° Parcial'!Y51+(7*3)</f>
        <v>46363</v>
      </c>
      <c r="V51" s="118">
        <f>'1° Parcial'!Z51</f>
        <v>0.78125</v>
      </c>
      <c r="W51" s="119"/>
      <c r="X51" s="152"/>
      <c r="Y51" s="35"/>
    </row>
    <row r="52">
      <c r="A52" s="90"/>
      <c r="B52" s="95" t="str">
        <f>'1° Parcial'!B52</f>
        <v>TELECOMUNICACIONES</v>
      </c>
      <c r="C52" s="97" t="str">
        <f>'1° Parcial'!C52</f>
        <v>SIS-413</v>
      </c>
      <c r="D52" s="100" t="str">
        <f>'1° Parcial'!D52</f>
        <v>7º </v>
      </c>
      <c r="E52" s="100" t="str">
        <f>'1° Parcial'!E52</f>
        <v>TA-01</v>
      </c>
      <c r="F52" s="103" t="str">
        <f>'1° Parcial'!F52</f>
        <v>ARIEL DENYS CAMARA ARZE</v>
      </c>
      <c r="G52" s="106" t="str">
        <f>'1° Parcial'!G52</f>
        <v/>
      </c>
      <c r="H52" s="120">
        <f t="shared" si="1"/>
        <v>46364</v>
      </c>
      <c r="I52" s="117">
        <f>'2° Parcial'!J52+(7*3)</f>
        <v>46367</v>
      </c>
      <c r="J52" s="118">
        <f>'1° Parcial'!K52</f>
        <v>0.71875</v>
      </c>
      <c r="K52" s="118"/>
      <c r="L52" s="149"/>
      <c r="M52" s="117">
        <f>'2° Parcial'!O52+(7*3)</f>
        <v>46360</v>
      </c>
      <c r="N52" s="118">
        <f>'1° Parcial'!P52</f>
        <v>0.71875</v>
      </c>
      <c r="O52" s="119"/>
      <c r="P52" s="97"/>
      <c r="Q52" s="117">
        <f>'2° Parcial'!T52+(7*3)</f>
        <v>77</v>
      </c>
      <c r="R52" s="118" t="str">
        <f>'1° Parcial'!U52</f>
        <v/>
      </c>
      <c r="S52" s="119"/>
      <c r="T52" s="97"/>
      <c r="U52" s="117">
        <f>'2° Parcial'!Y52+(7*3)</f>
        <v>46367</v>
      </c>
      <c r="V52" s="118">
        <f>'1° Parcial'!Z52</f>
        <v>0.71875</v>
      </c>
      <c r="W52" s="119"/>
      <c r="X52" s="152"/>
      <c r="Y52" s="35"/>
    </row>
    <row r="53">
      <c r="A53" s="90"/>
      <c r="B53" s="95" t="str">
        <f>'1° Parcial'!B53</f>
        <v>INGENIERÍA DE SOFTWARE</v>
      </c>
      <c r="C53" s="97" t="str">
        <f>'1° Parcial'!C53</f>
        <v>SIS-414</v>
      </c>
      <c r="D53" s="100" t="str">
        <f>'1° Parcial'!D53</f>
        <v>7º </v>
      </c>
      <c r="E53" s="100" t="str">
        <f>'1° Parcial'!E53</f>
        <v>TA-01</v>
      </c>
      <c r="F53" s="103" t="str">
        <f>'1° Parcial'!F53</f>
        <v>WALTER JOSE CAZAS CASTRO</v>
      </c>
      <c r="G53" s="106" t="str">
        <f>'1° Parcial'!G53</f>
        <v/>
      </c>
      <c r="H53" s="120">
        <f t="shared" si="1"/>
        <v>46354</v>
      </c>
      <c r="I53" s="117">
        <f>'2° Parcial'!J53+(7*3)</f>
        <v>46357</v>
      </c>
      <c r="J53" s="118">
        <f>'1° Parcial'!K53</f>
        <v>0.59375</v>
      </c>
      <c r="K53" s="118"/>
      <c r="L53" s="149"/>
      <c r="M53" s="117">
        <f>'2° Parcial'!O53+(7*3)</f>
        <v>46350</v>
      </c>
      <c r="N53" s="118">
        <f>'1° Parcial'!P53</f>
        <v>0.59375</v>
      </c>
      <c r="O53" s="119"/>
      <c r="P53" s="97"/>
      <c r="Q53" s="117">
        <f>'2° Parcial'!T53+(7*3)</f>
        <v>77</v>
      </c>
      <c r="R53" s="118" t="str">
        <f>'1° Parcial'!U53</f>
        <v/>
      </c>
      <c r="S53" s="119"/>
      <c r="T53" s="97"/>
      <c r="U53" s="117">
        <f>'2° Parcial'!Y53+(7*3)</f>
        <v>46357</v>
      </c>
      <c r="V53" s="118">
        <f>'1° Parcial'!Z53</f>
        <v>0.59375</v>
      </c>
      <c r="W53" s="119"/>
      <c r="X53" s="152"/>
      <c r="Y53" s="35"/>
    </row>
    <row r="54">
      <c r="A54" s="90"/>
      <c r="B54" s="95" t="str">
        <f>'1° Parcial'!B54</f>
        <v>TALLER DE SIMULACIÓN DE SISTEMAS</v>
      </c>
      <c r="C54" s="97" t="str">
        <f>'1° Parcial'!C54</f>
        <v>SIS-415</v>
      </c>
      <c r="D54" s="100" t="str">
        <f>'1° Parcial'!D54</f>
        <v>7º </v>
      </c>
      <c r="E54" s="100" t="str">
        <f>'1° Parcial'!E54</f>
        <v>TA-01</v>
      </c>
      <c r="F54" s="103" t="str">
        <f>'1° Parcial'!F54</f>
        <v>WILSON JAVIER CONTRERAS VARGAS</v>
      </c>
      <c r="G54" s="106" t="str">
        <f>'1° Parcial'!G54</f>
        <v/>
      </c>
      <c r="H54" s="120">
        <f t="shared" si="1"/>
        <v>46356</v>
      </c>
      <c r="I54" s="117">
        <f>'2° Parcial'!J54+(7*3)</f>
        <v>46359</v>
      </c>
      <c r="J54" s="118">
        <f>'1° Parcial'!K54</f>
        <v>0.59375</v>
      </c>
      <c r="K54" s="118"/>
      <c r="L54" s="149"/>
      <c r="M54" s="117">
        <f>'2° Parcial'!O54+(7*3)</f>
        <v>46352</v>
      </c>
      <c r="N54" s="118">
        <f>'1° Parcial'!P54</f>
        <v>0.59375</v>
      </c>
      <c r="O54" s="119"/>
      <c r="P54" s="97"/>
      <c r="Q54" s="117">
        <f>'2° Parcial'!T54+(7*3)</f>
        <v>77</v>
      </c>
      <c r="R54" s="118" t="str">
        <f>'1° Parcial'!U54</f>
        <v/>
      </c>
      <c r="S54" s="119"/>
      <c r="T54" s="97"/>
      <c r="U54" s="117">
        <f>'2° Parcial'!Y54+(7*3)</f>
        <v>46359</v>
      </c>
      <c r="V54" s="118">
        <f>'1° Parcial'!Z54</f>
        <v>0.59375</v>
      </c>
      <c r="W54" s="119"/>
      <c r="X54" s="152"/>
      <c r="Y54" s="35"/>
    </row>
    <row r="55">
      <c r="A55" s="90"/>
      <c r="B55" s="95" t="str">
        <f>'1° Parcial'!B55</f>
        <v>MÉTODO DE DESARROLLO DE SOFTWARE</v>
      </c>
      <c r="C55" s="97" t="str">
        <f>'1° Parcial'!C55</f>
        <v>SIS-416</v>
      </c>
      <c r="D55" s="100" t="str">
        <f>'1° Parcial'!D55</f>
        <v>7º </v>
      </c>
      <c r="E55" s="100" t="str">
        <f>'1° Parcial'!E55</f>
        <v>TA-01</v>
      </c>
      <c r="F55" s="103" t="str">
        <f>'1° Parcial'!F55</f>
        <v>JANNETH SOFIA MEDINA ALEMAN</v>
      </c>
      <c r="G55" s="106" t="str">
        <f>'1° Parcial'!G55</f>
        <v/>
      </c>
      <c r="H55" s="120">
        <f t="shared" si="1"/>
        <v>46367</v>
      </c>
      <c r="I55" s="117">
        <f>'2° Parcial'!J55+(7*3)</f>
        <v>46370</v>
      </c>
      <c r="J55" s="118">
        <f>'1° Parcial'!K55</f>
        <v>0.65625</v>
      </c>
      <c r="K55" s="118"/>
      <c r="L55" s="149"/>
      <c r="M55" s="117">
        <f>'2° Parcial'!O55+(7*3)</f>
        <v>46363</v>
      </c>
      <c r="N55" s="118">
        <f>'1° Parcial'!P55</f>
        <v>0.65625</v>
      </c>
      <c r="O55" s="119"/>
      <c r="P55" s="97"/>
      <c r="Q55" s="117">
        <f>'2° Parcial'!T55+(7*3)</f>
        <v>77</v>
      </c>
      <c r="R55" s="118" t="str">
        <f>'1° Parcial'!U55</f>
        <v/>
      </c>
      <c r="S55" s="119"/>
      <c r="T55" s="97"/>
      <c r="U55" s="117">
        <f>'2° Parcial'!Y55+(7*3)</f>
        <v>46370</v>
      </c>
      <c r="V55" s="118">
        <f>'1° Parcial'!Z55</f>
        <v>0.65625</v>
      </c>
      <c r="W55" s="119"/>
      <c r="X55" s="152"/>
      <c r="Y55" s="35"/>
    </row>
    <row r="56">
      <c r="A56" s="90"/>
      <c r="B56" s="95" t="str">
        <f>'1° Parcial'!B56</f>
        <v>TALLER DE TITULACIÓN</v>
      </c>
      <c r="C56" s="97" t="str">
        <f>'1° Parcial'!C56</f>
        <v>SIS-421</v>
      </c>
      <c r="D56" s="100" t="str">
        <f>'1° Parcial'!D56</f>
        <v>8º </v>
      </c>
      <c r="E56" s="100" t="str">
        <f>'1° Parcial'!E56</f>
        <v>TA-01</v>
      </c>
      <c r="F56" s="103" t="str">
        <f>'1° Parcial'!F56</f>
        <v>JANNETH SOFIA MEDINA ALEMAN</v>
      </c>
      <c r="G56" s="106" t="str">
        <f>'1° Parcial'!G56</f>
        <v/>
      </c>
      <c r="H56" s="120">
        <f t="shared" si="1"/>
        <v>46360</v>
      </c>
      <c r="I56" s="117">
        <f>'2° Parcial'!J56+(7*3)</f>
        <v>46363</v>
      </c>
      <c r="J56" s="118">
        <f>'1° Parcial'!K56</f>
        <v>0.53125</v>
      </c>
      <c r="K56" s="118"/>
      <c r="L56" s="149"/>
      <c r="M56" s="117">
        <f>'2° Parcial'!O56+(7*3)</f>
        <v>46356</v>
      </c>
      <c r="N56" s="118">
        <f>'1° Parcial'!P56</f>
        <v>0.53125</v>
      </c>
      <c r="O56" s="119"/>
      <c r="P56" s="97"/>
      <c r="Q56" s="117">
        <f>'2° Parcial'!T56+(7*3)</f>
        <v>77</v>
      </c>
      <c r="R56" s="118" t="str">
        <f>'1° Parcial'!U56</f>
        <v/>
      </c>
      <c r="S56" s="119"/>
      <c r="T56" s="97"/>
      <c r="U56" s="117">
        <f>'2° Parcial'!Y56+(7*3)</f>
        <v>46363</v>
      </c>
      <c r="V56" s="118">
        <f>'1° Parcial'!Z56</f>
        <v>0.53125</v>
      </c>
      <c r="W56" s="119"/>
      <c r="X56" s="152"/>
      <c r="Y56" s="35"/>
    </row>
    <row r="57">
      <c r="A57" s="90"/>
      <c r="B57" s="95" t="str">
        <f>'1° Parcial'!B57</f>
        <v>GESTIÓN ESTRATÉGICA DE EMPRESAS</v>
      </c>
      <c r="C57" s="97" t="str">
        <f>'1° Parcial'!C57</f>
        <v>SIS-422</v>
      </c>
      <c r="D57" s="100" t="str">
        <f>'1° Parcial'!D57</f>
        <v>8º </v>
      </c>
      <c r="E57" s="100" t="str">
        <f>'1° Parcial'!E57</f>
        <v>TA-01</v>
      </c>
      <c r="F57" s="103" t="str">
        <f>'1° Parcial'!F57</f>
        <v>ELIANA LESLY MICORDIA ROMERO</v>
      </c>
      <c r="G57" s="106" t="str">
        <f>'1° Parcial'!G57</f>
        <v/>
      </c>
      <c r="H57" s="120">
        <f t="shared" si="1"/>
        <v>46354</v>
      </c>
      <c r="I57" s="117">
        <f>'2° Parcial'!J57+(7*3)</f>
        <v>46357</v>
      </c>
      <c r="J57" s="118">
        <f>'1° Parcial'!K57</f>
        <v>0.59375</v>
      </c>
      <c r="K57" s="118"/>
      <c r="L57" s="149"/>
      <c r="M57" s="117">
        <f>'2° Parcial'!O57+(7*3)</f>
        <v>46350</v>
      </c>
      <c r="N57" s="118">
        <f>'1° Parcial'!P57</f>
        <v>0.59375</v>
      </c>
      <c r="O57" s="119"/>
      <c r="P57" s="97"/>
      <c r="Q57" s="117">
        <f>'2° Parcial'!T57+(7*3)</f>
        <v>77</v>
      </c>
      <c r="R57" s="118" t="str">
        <f>'1° Parcial'!U57</f>
        <v/>
      </c>
      <c r="S57" s="119"/>
      <c r="T57" s="97"/>
      <c r="U57" s="117">
        <f>'2° Parcial'!Y57+(7*3)</f>
        <v>46357</v>
      </c>
      <c r="V57" s="118">
        <f>'1° Parcial'!Z57</f>
        <v>0.59375</v>
      </c>
      <c r="W57" s="119"/>
      <c r="X57" s="152"/>
      <c r="Y57" s="35"/>
    </row>
    <row r="58">
      <c r="A58" s="90"/>
      <c r="B58" s="95" t="str">
        <f>'1° Parcial'!B58</f>
        <v>TALLER DE INGENIERÍA DE SOFTWARE</v>
      </c>
      <c r="C58" s="97" t="str">
        <f>'1° Parcial'!C58</f>
        <v>SIS-423</v>
      </c>
      <c r="D58" s="100" t="str">
        <f>'1° Parcial'!D58</f>
        <v>8º </v>
      </c>
      <c r="E58" s="100" t="str">
        <f>'1° Parcial'!E58</f>
        <v>TA-01</v>
      </c>
      <c r="F58" s="103" t="str">
        <f>'1° Parcial'!F58</f>
        <v>HAROLD MARCO ANTONIO ROJAS TORRES</v>
      </c>
      <c r="G58" s="106" t="str">
        <f>'1° Parcial'!G58</f>
        <v/>
      </c>
      <c r="H58" s="120">
        <f t="shared" si="1"/>
        <v>46356</v>
      </c>
      <c r="I58" s="117">
        <f>'2° Parcial'!J58+(7*3)</f>
        <v>46359</v>
      </c>
      <c r="J58" s="118">
        <f>'1° Parcial'!K58</f>
        <v>0.59375</v>
      </c>
      <c r="K58" s="118"/>
      <c r="L58" s="149"/>
      <c r="M58" s="117">
        <f>'2° Parcial'!O58+(7*3)</f>
        <v>46352</v>
      </c>
      <c r="N58" s="118">
        <f>'1° Parcial'!P58</f>
        <v>0.59375</v>
      </c>
      <c r="O58" s="119"/>
      <c r="P58" s="97"/>
      <c r="Q58" s="117">
        <f>'2° Parcial'!T58+(7*3)</f>
        <v>77</v>
      </c>
      <c r="R58" s="118" t="str">
        <f>'1° Parcial'!U58</f>
        <v/>
      </c>
      <c r="S58" s="119"/>
      <c r="T58" s="97"/>
      <c r="U58" s="117">
        <f>'2° Parcial'!Y58+(7*3)</f>
        <v>46359</v>
      </c>
      <c r="V58" s="118">
        <f>'1° Parcial'!Z58</f>
        <v>0.59375</v>
      </c>
      <c r="W58" s="119"/>
      <c r="X58" s="152"/>
      <c r="Y58" s="35"/>
    </row>
    <row r="59">
      <c r="A59" s="90"/>
      <c r="B59" s="95" t="str">
        <f>'1° Parcial'!B59</f>
        <v>GESTIÓN DE CALIDAD ESTRATÉGICA DE PROYECTOS DE SOFTWARE</v>
      </c>
      <c r="C59" s="97" t="str">
        <f>'1° Parcial'!C59</f>
        <v>SIS-425</v>
      </c>
      <c r="D59" s="100" t="str">
        <f>'1° Parcial'!D59</f>
        <v>8º </v>
      </c>
      <c r="E59" s="100" t="str">
        <f>'1° Parcial'!E59</f>
        <v>TA-01</v>
      </c>
      <c r="F59" s="103" t="str">
        <f>'1° Parcial'!F59</f>
        <v>AMILKAR JESUS MIRANDA ROMERO</v>
      </c>
      <c r="G59" s="106" t="str">
        <f>'1° Parcial'!G59</f>
        <v/>
      </c>
      <c r="H59" s="120">
        <f t="shared" si="1"/>
        <v>46364</v>
      </c>
      <c r="I59" s="117">
        <f>'2° Parcial'!J59+(7*3)</f>
        <v>46367</v>
      </c>
      <c r="J59" s="118">
        <f>'1° Parcial'!K59</f>
        <v>0.71875</v>
      </c>
      <c r="K59" s="118"/>
      <c r="L59" s="149"/>
      <c r="M59" s="117">
        <f>'2° Parcial'!O59+(7*3)</f>
        <v>46360</v>
      </c>
      <c r="N59" s="118">
        <f>'1° Parcial'!P59</f>
        <v>0.71875</v>
      </c>
      <c r="O59" s="119"/>
      <c r="P59" s="97"/>
      <c r="Q59" s="117">
        <f>'2° Parcial'!T59+(7*3)</f>
        <v>77</v>
      </c>
      <c r="R59" s="118" t="str">
        <f>'1° Parcial'!U59</f>
        <v/>
      </c>
      <c r="S59" s="119"/>
      <c r="T59" s="97"/>
      <c r="U59" s="117">
        <f>'2° Parcial'!Y59+(7*3)</f>
        <v>46367</v>
      </c>
      <c r="V59" s="118">
        <f>'1° Parcial'!Z59</f>
        <v>0.71875</v>
      </c>
      <c r="W59" s="119"/>
      <c r="X59" s="152"/>
      <c r="Y59" s="35"/>
    </row>
  </sheetData>
  <mergeCells count="6">
    <mergeCell ref="B2:X2"/>
    <mergeCell ref="B3:X3"/>
    <mergeCell ref="B4:X4"/>
    <mergeCell ref="B5:X5"/>
    <mergeCell ref="B6:X6"/>
    <mergeCell ref="B7:X7"/>
  </mergeCells>
  <dataValidations>
    <dataValidation type="list" allowBlank="1" showErrorMessage="1" sqref="L10:L59">
      <formula1>"Si,No"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8.75"/>
    <col customWidth="1" min="3" max="3" width="10.0"/>
    <col customWidth="1" min="4" max="5" width="5.0"/>
    <col customWidth="1" min="6" max="7" width="28.75"/>
    <col customWidth="1" min="8" max="9" width="10.13"/>
    <col customWidth="1" min="10" max="10" width="5.38"/>
    <col customWidth="1" min="11" max="11" width="8.25"/>
    <col customWidth="1" min="12" max="12" width="2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1"/>
      <c r="B2" s="7"/>
      <c r="C2" s="9"/>
      <c r="D2" s="9"/>
      <c r="E2" s="9"/>
      <c r="F2" s="9"/>
      <c r="G2" s="9"/>
      <c r="H2" s="9"/>
      <c r="I2" s="9"/>
      <c r="J2" s="9"/>
      <c r="K2" s="10"/>
      <c r="L2" s="3"/>
    </row>
    <row r="3">
      <c r="A3" s="1"/>
      <c r="B3" s="15" t="str">
        <f>'1° Parcial'!B3</f>
        <v>UNIVERSIDAD TÉCNICA PRIVADA COSMOS</v>
      </c>
      <c r="K3" s="16"/>
      <c r="L3" s="3"/>
    </row>
    <row r="4">
      <c r="A4" s="1"/>
      <c r="B4" s="22" t="str">
        <f>'1° Parcial'!B4</f>
        <v>CARRERA DE INGENIERÍA DE SONIDO</v>
      </c>
      <c r="K4" s="16"/>
      <c r="L4" s="3"/>
    </row>
    <row r="5">
      <c r="A5" s="1"/>
      <c r="B5" s="29" t="str">
        <f>'1° Parcial'!B5</f>
        <v>SEDE COCHABAMBA</v>
      </c>
      <c r="K5" s="16"/>
      <c r="L5" s="3"/>
    </row>
    <row r="6">
      <c r="A6" s="18"/>
      <c r="B6" s="33" t="s">
        <v>3</v>
      </c>
      <c r="K6" s="16"/>
      <c r="L6" s="3"/>
    </row>
    <row r="7">
      <c r="A7" s="20"/>
      <c r="B7" s="38" t="s">
        <v>5</v>
      </c>
      <c r="K7" s="16"/>
      <c r="L7" s="3"/>
    </row>
    <row r="8">
      <c r="A8" s="23"/>
      <c r="B8" s="42"/>
      <c r="C8" s="37"/>
      <c r="D8" s="37"/>
      <c r="E8" s="39"/>
      <c r="F8" s="40"/>
      <c r="G8" s="39"/>
      <c r="H8" s="43"/>
      <c r="I8" s="43"/>
      <c r="J8" s="44"/>
      <c r="K8" s="46"/>
      <c r="L8" s="35"/>
    </row>
    <row r="9" ht="68.25" customHeight="1">
      <c r="A9" s="41"/>
      <c r="B9" s="70" t="s">
        <v>7</v>
      </c>
      <c r="C9" s="73" t="s">
        <v>8</v>
      </c>
      <c r="D9" s="75" t="s">
        <v>9</v>
      </c>
      <c r="E9" s="75" t="s">
        <v>10</v>
      </c>
      <c r="F9" s="83" t="s">
        <v>11</v>
      </c>
      <c r="G9" s="83" t="s">
        <v>12</v>
      </c>
      <c r="H9" s="86" t="s">
        <v>13</v>
      </c>
      <c r="I9" s="86" t="s">
        <v>15</v>
      </c>
      <c r="J9" s="89" t="s">
        <v>16</v>
      </c>
      <c r="K9" s="91" t="s">
        <v>21</v>
      </c>
      <c r="L9" s="87"/>
    </row>
    <row r="10">
      <c r="A10" s="90"/>
      <c r="B10" s="96" t="str">
        <f>'1° Parcial'!B10</f>
        <v>CALCULO I</v>
      </c>
      <c r="C10" s="99" t="str">
        <f>'1° Parcial'!C10</f>
        <v>SIS-111</v>
      </c>
      <c r="D10" s="99" t="str">
        <f>'1° Parcial'!D10</f>
        <v>1º </v>
      </c>
      <c r="E10" s="99" t="str">
        <f>'1° Parcial'!E10</f>
        <v>TA-01</v>
      </c>
      <c r="F10" s="96" t="str">
        <f>'1° Parcial'!F10</f>
        <v>JIMENA GIOVANNA ARNEZ MARTINEZ</v>
      </c>
      <c r="G10" s="108" t="str">
        <f>'1° Parcial'!G10</f>
        <v/>
      </c>
      <c r="H10" s="120">
        <f t="shared" ref="H10:H59" si="1">I10-3</f>
        <v>46370</v>
      </c>
      <c r="I10" s="125">
        <v>46373.0</v>
      </c>
      <c r="J10" s="128">
        <v>0.71875</v>
      </c>
      <c r="K10" s="99"/>
      <c r="L10" s="124"/>
    </row>
    <row r="11">
      <c r="A11" s="90"/>
      <c r="B11" s="96" t="str">
        <f>'1° Parcial'!B11</f>
        <v>FÍSICA I</v>
      </c>
      <c r="C11" s="99" t="str">
        <f>'1° Parcial'!C11</f>
        <v>SIS-112</v>
      </c>
      <c r="D11" s="99" t="str">
        <f>'1° Parcial'!D11</f>
        <v>1º </v>
      </c>
      <c r="E11" s="99" t="str">
        <f>'1° Parcial'!E11</f>
        <v>TA-01</v>
      </c>
      <c r="F11" s="96" t="str">
        <f>'1° Parcial'!F11</f>
        <v>XIMENA WENDY CALIZAYA PEREZ</v>
      </c>
      <c r="G11" s="108" t="str">
        <f>'1° Parcial'!G11</f>
        <v/>
      </c>
      <c r="H11" s="120">
        <f t="shared" si="1"/>
        <v>46370</v>
      </c>
      <c r="I11" s="125">
        <v>46373.0</v>
      </c>
      <c r="J11" s="128">
        <v>0.84375</v>
      </c>
      <c r="K11" s="99"/>
      <c r="L11" s="124"/>
    </row>
    <row r="12">
      <c r="A12" s="90"/>
      <c r="B12" s="96" t="str">
        <f>'1° Parcial'!B12</f>
        <v>PROGRAMACIÓN I</v>
      </c>
      <c r="C12" s="99" t="str">
        <f>'1° Parcial'!C12</f>
        <v>SIS-113</v>
      </c>
      <c r="D12" s="99" t="str">
        <f>'1° Parcial'!D12</f>
        <v>1º </v>
      </c>
      <c r="E12" s="99" t="str">
        <f>'1° Parcial'!E12</f>
        <v>TA-01</v>
      </c>
      <c r="F12" s="96" t="str">
        <f>'1° Parcial'!F12</f>
        <v>ROSMERY LUIZAGA SALINAS</v>
      </c>
      <c r="G12" s="108" t="str">
        <f>'1° Parcial'!G12</f>
        <v/>
      </c>
      <c r="H12" s="120">
        <f t="shared" si="1"/>
        <v>46370</v>
      </c>
      <c r="I12" s="125">
        <v>46373.0</v>
      </c>
      <c r="J12" s="128">
        <v>0.71875</v>
      </c>
      <c r="K12" s="99"/>
      <c r="L12" s="124"/>
    </row>
    <row r="13">
      <c r="A13" s="90"/>
      <c r="B13" s="96" t="str">
        <f>'1° Parcial'!B13</f>
        <v>ÁLGEBRA</v>
      </c>
      <c r="C13" s="99" t="str">
        <f>'1° Parcial'!C13</f>
        <v>SIS-114</v>
      </c>
      <c r="D13" s="99" t="str">
        <f>'1° Parcial'!D13</f>
        <v>1º </v>
      </c>
      <c r="E13" s="99" t="str">
        <f>'1° Parcial'!E13</f>
        <v>TA-01</v>
      </c>
      <c r="F13" s="96" t="str">
        <f>'1° Parcial'!F13</f>
        <v>ELIANA LESLY MICORDIA ROMERO</v>
      </c>
      <c r="G13" s="108" t="str">
        <f>'1° Parcial'!G13</f>
        <v/>
      </c>
      <c r="H13" s="120">
        <f t="shared" si="1"/>
        <v>46370</v>
      </c>
      <c r="I13" s="125">
        <v>46373.0</v>
      </c>
      <c r="J13" s="128">
        <v>0.78125</v>
      </c>
      <c r="K13" s="145"/>
      <c r="L13" s="124"/>
    </row>
    <row r="14">
      <c r="A14" s="90"/>
      <c r="B14" s="96" t="str">
        <f>'1° Parcial'!B14</f>
        <v>INGLÉS TÉCNICO I</v>
      </c>
      <c r="C14" s="99" t="str">
        <f>'1° Parcial'!C14</f>
        <v>SIS-115</v>
      </c>
      <c r="D14" s="99" t="str">
        <f>'1° Parcial'!D14</f>
        <v>1º </v>
      </c>
      <c r="E14" s="99" t="str">
        <f>'1° Parcial'!E14</f>
        <v>TA-01</v>
      </c>
      <c r="F14" s="96" t="str">
        <f>'1° Parcial'!F14</f>
        <v>KARINA PAOLA LOPEZ ECHEVERRIA</v>
      </c>
      <c r="G14" s="108" t="str">
        <f>'1° Parcial'!G14</f>
        <v/>
      </c>
      <c r="H14" s="120">
        <f t="shared" si="1"/>
        <v>46370</v>
      </c>
      <c r="I14" s="125">
        <v>46373.0</v>
      </c>
      <c r="J14" s="128">
        <v>0.78125</v>
      </c>
      <c r="K14" s="145"/>
      <c r="L14" s="124"/>
    </row>
    <row r="15">
      <c r="A15" s="90"/>
      <c r="B15" s="96" t="str">
        <f>'1° Parcial'!B15</f>
        <v>INTRODUCCIÓN A LAS CIENCIAS DE LA COMPUTACIÓN</v>
      </c>
      <c r="C15" s="99" t="str">
        <f>'1° Parcial'!C15</f>
        <v>SIS-116</v>
      </c>
      <c r="D15" s="99" t="str">
        <f>'1° Parcial'!D15</f>
        <v>1º </v>
      </c>
      <c r="E15" s="99" t="str">
        <f>'1° Parcial'!E15</f>
        <v>TA-01</v>
      </c>
      <c r="F15" s="96" t="str">
        <f>'1° Parcial'!F15</f>
        <v>WALTER JOSE CAZAS CASTRO</v>
      </c>
      <c r="G15" s="108" t="str">
        <f>'1° Parcial'!G15</f>
        <v/>
      </c>
      <c r="H15" s="120">
        <f t="shared" si="1"/>
        <v>46370</v>
      </c>
      <c r="I15" s="125">
        <v>46373.0</v>
      </c>
      <c r="J15" s="128">
        <v>0.71875</v>
      </c>
      <c r="K15" s="145"/>
      <c r="L15" s="124"/>
    </row>
    <row r="16">
      <c r="A16" s="90"/>
      <c r="B16" s="96" t="str">
        <f>'1° Parcial'!B16</f>
        <v>CALCULO II</v>
      </c>
      <c r="C16" s="99" t="str">
        <f>'1° Parcial'!C16</f>
        <v>SIS-121</v>
      </c>
      <c r="D16" s="99" t="str">
        <f>'1° Parcial'!D16</f>
        <v>2º </v>
      </c>
      <c r="E16" s="99" t="str">
        <f>'1° Parcial'!E16</f>
        <v>TA-01</v>
      </c>
      <c r="F16" s="96" t="str">
        <f>'1° Parcial'!F16</f>
        <v>EDSON LUIS BASCOPE GALARZA</v>
      </c>
      <c r="G16" s="108" t="str">
        <f>'1° Parcial'!G16</f>
        <v/>
      </c>
      <c r="H16" s="120">
        <f t="shared" si="1"/>
        <v>46370</v>
      </c>
      <c r="I16" s="125">
        <v>46373.0</v>
      </c>
      <c r="J16" s="128">
        <v>0.78125</v>
      </c>
      <c r="K16" s="145"/>
      <c r="L16" s="124"/>
    </row>
    <row r="17">
      <c r="A17" s="90"/>
      <c r="B17" s="96" t="str">
        <f>'1° Parcial'!B17</f>
        <v>FÍSICA II</v>
      </c>
      <c r="C17" s="99" t="str">
        <f>'1° Parcial'!C17</f>
        <v>SIS-122</v>
      </c>
      <c r="D17" s="99" t="str">
        <f>'1° Parcial'!D17</f>
        <v>2º </v>
      </c>
      <c r="E17" s="99" t="str">
        <f>'1° Parcial'!E17</f>
        <v>TA-01</v>
      </c>
      <c r="F17" s="96" t="str">
        <f>'1° Parcial'!F17</f>
        <v>JOSE DAVID QUIÑONES COCA</v>
      </c>
      <c r="G17" s="108" t="str">
        <f>'1° Parcial'!G17</f>
        <v/>
      </c>
      <c r="H17" s="120">
        <f t="shared" si="1"/>
        <v>46370</v>
      </c>
      <c r="I17" s="125">
        <v>46373.0</v>
      </c>
      <c r="J17" s="128">
        <v>0.84375</v>
      </c>
      <c r="K17" s="145"/>
      <c r="L17" s="124"/>
    </row>
    <row r="18">
      <c r="A18" s="90"/>
      <c r="B18" s="96" t="str">
        <f>'1° Parcial'!B18</f>
        <v>PROGRAMACIÓN II</v>
      </c>
      <c r="C18" s="99" t="str">
        <f>'1° Parcial'!C18</f>
        <v>SIS-123</v>
      </c>
      <c r="D18" s="99" t="str">
        <f>'1° Parcial'!D18</f>
        <v>2º </v>
      </c>
      <c r="E18" s="99" t="str">
        <f>'1° Parcial'!E18</f>
        <v>TA-01</v>
      </c>
      <c r="F18" s="96" t="str">
        <f>'1° Parcial'!F18</f>
        <v>ROSMERY LUIZAGA SALINAS</v>
      </c>
      <c r="G18" s="108" t="str">
        <f>'1° Parcial'!G18</f>
        <v/>
      </c>
      <c r="H18" s="120">
        <f t="shared" si="1"/>
        <v>46370</v>
      </c>
      <c r="I18" s="125">
        <v>46373.0</v>
      </c>
      <c r="J18" s="128">
        <v>0.78125</v>
      </c>
      <c r="K18" s="145"/>
      <c r="L18" s="124"/>
    </row>
    <row r="19">
      <c r="A19" s="90"/>
      <c r="B19" s="96" t="str">
        <f>'1° Parcial'!B19</f>
        <v>ÁLGEBRA LINEAL</v>
      </c>
      <c r="C19" s="99" t="str">
        <f>'1° Parcial'!C19</f>
        <v>SIS-124</v>
      </c>
      <c r="D19" s="99" t="str">
        <f>'1° Parcial'!D19</f>
        <v>2º </v>
      </c>
      <c r="E19" s="99" t="str">
        <f>'1° Parcial'!E19</f>
        <v>TA-01</v>
      </c>
      <c r="F19" s="96" t="str">
        <f>'1° Parcial'!F19</f>
        <v>XIMENA WENDY CALIZAYA PEREZ</v>
      </c>
      <c r="G19" s="108" t="str">
        <f>'1° Parcial'!G19</f>
        <v/>
      </c>
      <c r="H19" s="120">
        <f t="shared" si="1"/>
        <v>46370</v>
      </c>
      <c r="I19" s="125">
        <v>46373.0</v>
      </c>
      <c r="J19" s="128">
        <v>0.78125</v>
      </c>
      <c r="K19" s="145"/>
      <c r="L19" s="124"/>
    </row>
    <row r="20">
      <c r="A20" s="90"/>
      <c r="B20" s="96" t="str">
        <f>'1° Parcial'!B20</f>
        <v>INGLÉS TÉCNICO II</v>
      </c>
      <c r="C20" s="99" t="str">
        <f>'1° Parcial'!C20</f>
        <v>SIS-125</v>
      </c>
      <c r="D20" s="99" t="str">
        <f>'1° Parcial'!D20</f>
        <v>2º </v>
      </c>
      <c r="E20" s="99" t="str">
        <f>'1° Parcial'!E20</f>
        <v>TA-01</v>
      </c>
      <c r="F20" s="96" t="str">
        <f>'1° Parcial'!F20</f>
        <v>KARINA PAOLA LOPEZ ECHEVERRIA</v>
      </c>
      <c r="G20" s="108" t="str">
        <f>'1° Parcial'!G20</f>
        <v/>
      </c>
      <c r="H20" s="120">
        <f t="shared" si="1"/>
        <v>46370</v>
      </c>
      <c r="I20" s="125">
        <v>46373.0</v>
      </c>
      <c r="J20" s="128">
        <v>0.71875</v>
      </c>
      <c r="K20" s="145"/>
      <c r="L20" s="124"/>
    </row>
    <row r="21">
      <c r="A21" s="90"/>
      <c r="B21" s="96" t="str">
        <f>'1° Parcial'!B21</f>
        <v>TALLER DE PROGRAMACIÓN I</v>
      </c>
      <c r="C21" s="99" t="str">
        <f>'1° Parcial'!C21</f>
        <v>SIS-126</v>
      </c>
      <c r="D21" s="99" t="str">
        <f>'1° Parcial'!D21</f>
        <v>2º </v>
      </c>
      <c r="E21" s="99" t="str">
        <f>'1° Parcial'!E21</f>
        <v>TA-01</v>
      </c>
      <c r="F21" s="96" t="str">
        <f>'1° Parcial'!F21</f>
        <v>JANETH GIOVANA ALANEZ VILLEGAS</v>
      </c>
      <c r="G21" s="108" t="str">
        <f>'1° Parcial'!G21</f>
        <v/>
      </c>
      <c r="H21" s="120">
        <f t="shared" si="1"/>
        <v>46370</v>
      </c>
      <c r="I21" s="125">
        <v>46373.0</v>
      </c>
      <c r="J21" s="128">
        <v>0.78125</v>
      </c>
      <c r="K21" s="145"/>
      <c r="L21" s="124"/>
    </row>
    <row r="22">
      <c r="A22" s="90"/>
      <c r="B22" s="96" t="str">
        <f>'1° Parcial'!B22</f>
        <v>DISPOSITIVOS ELECTRÓNICOS</v>
      </c>
      <c r="C22" s="99" t="str">
        <f>'1° Parcial'!C22</f>
        <v>SIS-127</v>
      </c>
      <c r="D22" s="99" t="str">
        <f>'1° Parcial'!D22</f>
        <v>2º </v>
      </c>
      <c r="E22" s="99" t="str">
        <f>'1° Parcial'!E22</f>
        <v>TA-01</v>
      </c>
      <c r="F22" s="96" t="str">
        <f>'1° Parcial'!F22</f>
        <v>EDUARDO CARLOS MOSCOSO RICALDI</v>
      </c>
      <c r="G22" s="108" t="str">
        <f>'1° Parcial'!G22</f>
        <v/>
      </c>
      <c r="H22" s="120">
        <f t="shared" si="1"/>
        <v>46370</v>
      </c>
      <c r="I22" s="125">
        <v>46373.0</v>
      </c>
      <c r="J22" s="128">
        <v>0.84375</v>
      </c>
      <c r="K22" s="145"/>
      <c r="L22" s="124"/>
    </row>
    <row r="23">
      <c r="A23" s="90"/>
      <c r="B23" s="96" t="str">
        <f>'1° Parcial'!B23</f>
        <v>ECUACIONES DIFERENCIALES</v>
      </c>
      <c r="C23" s="99" t="str">
        <f>'1° Parcial'!C23</f>
        <v>SIS-211</v>
      </c>
      <c r="D23" s="99" t="str">
        <f>'1° Parcial'!D23</f>
        <v>3º </v>
      </c>
      <c r="E23" s="99" t="str">
        <f>'1° Parcial'!E23</f>
        <v>TA-01</v>
      </c>
      <c r="F23" s="96" t="str">
        <f>'1° Parcial'!F23</f>
        <v>MAURICIO QUIROZ LAFUENTE</v>
      </c>
      <c r="G23" s="108" t="str">
        <f>'1° Parcial'!G23</f>
        <v/>
      </c>
      <c r="H23" s="120">
        <f t="shared" si="1"/>
        <v>46370</v>
      </c>
      <c r="I23" s="125">
        <v>46373.0</v>
      </c>
      <c r="J23" s="128">
        <v>0.84375</v>
      </c>
      <c r="K23" s="99" t="s">
        <v>29</v>
      </c>
      <c r="L23" s="124"/>
    </row>
    <row r="24">
      <c r="A24" s="90"/>
      <c r="B24" s="96" t="str">
        <f>'1° Parcial'!B24</f>
        <v>SISTEMAS DIGITALES</v>
      </c>
      <c r="C24" s="99" t="str">
        <f>'1° Parcial'!C24</f>
        <v>SIS-212</v>
      </c>
      <c r="D24" s="99" t="str">
        <f>'1° Parcial'!D24</f>
        <v>3º </v>
      </c>
      <c r="E24" s="99" t="str">
        <f>'1° Parcial'!E24</f>
        <v>TA-01</v>
      </c>
      <c r="F24" s="96" t="str">
        <f>'1° Parcial'!F24</f>
        <v>DANIEL CAMACHO PASTOR</v>
      </c>
      <c r="G24" s="108" t="str">
        <f>'1° Parcial'!G24</f>
        <v/>
      </c>
      <c r="H24" s="120">
        <f t="shared" si="1"/>
        <v>46370</v>
      </c>
      <c r="I24" s="125">
        <v>46373.0</v>
      </c>
      <c r="J24" s="128">
        <v>0.78125</v>
      </c>
      <c r="K24" s="145"/>
      <c r="L24" s="124"/>
    </row>
    <row r="25">
      <c r="A25" s="90"/>
      <c r="B25" s="96" t="str">
        <f>'1° Parcial'!B25</f>
        <v>PROGRAMACIÓN III</v>
      </c>
      <c r="C25" s="99" t="str">
        <f>'1° Parcial'!C25</f>
        <v>SIS-213</v>
      </c>
      <c r="D25" s="99" t="str">
        <f>'1° Parcial'!D25</f>
        <v>3º </v>
      </c>
      <c r="E25" s="99" t="str">
        <f>'1° Parcial'!E25</f>
        <v>TA-01</v>
      </c>
      <c r="F25" s="96" t="str">
        <f>'1° Parcial'!F25</f>
        <v>ARIEL DENYS CAMARA ARZE</v>
      </c>
      <c r="G25" s="108" t="str">
        <f>'1° Parcial'!G25</f>
        <v/>
      </c>
      <c r="H25" s="120">
        <f t="shared" si="1"/>
        <v>46370</v>
      </c>
      <c r="I25" s="125">
        <v>46373.0</v>
      </c>
      <c r="J25" s="128">
        <v>0.71875</v>
      </c>
      <c r="K25" s="145"/>
      <c r="L25" s="124"/>
    </row>
    <row r="26">
      <c r="A26" s="90"/>
      <c r="B26" s="96" t="str">
        <f>'1° Parcial'!B26</f>
        <v>PROBALIDAD Y ESTADÍSTICA</v>
      </c>
      <c r="C26" s="99" t="str">
        <f>'1° Parcial'!C26</f>
        <v>SIS-214</v>
      </c>
      <c r="D26" s="99" t="str">
        <f>'1° Parcial'!D26</f>
        <v>3º </v>
      </c>
      <c r="E26" s="99" t="str">
        <f>'1° Parcial'!E26</f>
        <v>TA-01</v>
      </c>
      <c r="F26" s="96" t="str">
        <f>'1° Parcial'!F26</f>
        <v>IVETT JACQUELINE TANCARA ZAMBRANA</v>
      </c>
      <c r="G26" s="108" t="str">
        <f>'1° Parcial'!G26</f>
        <v/>
      </c>
      <c r="H26" s="120">
        <f t="shared" si="1"/>
        <v>46370</v>
      </c>
      <c r="I26" s="125">
        <v>46373.0</v>
      </c>
      <c r="J26" s="128">
        <v>0.71875</v>
      </c>
      <c r="K26" s="145"/>
      <c r="L26" s="124"/>
    </row>
    <row r="27">
      <c r="A27" s="90"/>
      <c r="B27" s="96" t="str">
        <f>'1° Parcial'!B27</f>
        <v>INGLÉS TÉCNICO III</v>
      </c>
      <c r="C27" s="99" t="str">
        <f>'1° Parcial'!C27</f>
        <v>SIS-215</v>
      </c>
      <c r="D27" s="99" t="str">
        <f>'1° Parcial'!D27</f>
        <v>3º </v>
      </c>
      <c r="E27" s="99" t="str">
        <f>'1° Parcial'!E27</f>
        <v>TA-01</v>
      </c>
      <c r="F27" s="96" t="str">
        <f>'1° Parcial'!F27</f>
        <v>KARINA PAOLA LOPEZ ECHEVERRIA</v>
      </c>
      <c r="G27" s="108" t="str">
        <f>'1° Parcial'!G27</f>
        <v/>
      </c>
      <c r="H27" s="120">
        <f t="shared" si="1"/>
        <v>46370</v>
      </c>
      <c r="I27" s="125">
        <v>46373.0</v>
      </c>
      <c r="J27" s="128">
        <v>0.78125</v>
      </c>
      <c r="K27" s="145"/>
      <c r="L27" s="124"/>
    </row>
    <row r="28">
      <c r="A28" s="90"/>
      <c r="B28" s="96" t="str">
        <f>'1° Parcial'!B28</f>
        <v>TALLER DE PROGRAMACIÓN II</v>
      </c>
      <c r="C28" s="99" t="str">
        <f>'1° Parcial'!C28</f>
        <v>SIS-216</v>
      </c>
      <c r="D28" s="99" t="str">
        <f>'1° Parcial'!D28</f>
        <v>3º </v>
      </c>
      <c r="E28" s="99" t="str">
        <f>'1° Parcial'!E28</f>
        <v>TA-01</v>
      </c>
      <c r="F28" s="96" t="str">
        <f>'1° Parcial'!F28</f>
        <v>YAMIL YASMANI CRESPO AYALA</v>
      </c>
      <c r="G28" s="108" t="str">
        <f>'1° Parcial'!G28</f>
        <v/>
      </c>
      <c r="H28" s="120">
        <f t="shared" si="1"/>
        <v>46370</v>
      </c>
      <c r="I28" s="125">
        <v>46373.0</v>
      </c>
      <c r="J28" s="128">
        <v>0.40625</v>
      </c>
      <c r="K28" s="145"/>
      <c r="L28" s="124"/>
    </row>
    <row r="29">
      <c r="A29" s="90"/>
      <c r="B29" s="96" t="str">
        <f>'1° Parcial'!B29</f>
        <v>ÉTICA E INSTRUCCIÓN AL DERECHO INFORMÁTICO</v>
      </c>
      <c r="C29" s="99" t="str">
        <f>'1° Parcial'!C29</f>
        <v>SIS-217</v>
      </c>
      <c r="D29" s="99" t="str">
        <f>'1° Parcial'!D29</f>
        <v>3º </v>
      </c>
      <c r="E29" s="99" t="str">
        <f>'1° Parcial'!E29</f>
        <v>TA-01</v>
      </c>
      <c r="F29" s="96" t="str">
        <f>'1° Parcial'!F29</f>
        <v>MARIA DE LOS ANGELES MENESES PARRA</v>
      </c>
      <c r="G29" s="108" t="str">
        <f>'1° Parcial'!G29</f>
        <v/>
      </c>
      <c r="H29" s="120">
        <f t="shared" si="1"/>
        <v>46370</v>
      </c>
      <c r="I29" s="125">
        <v>46373.0</v>
      </c>
      <c r="J29" s="128">
        <v>0.71875</v>
      </c>
      <c r="K29" s="145"/>
      <c r="L29" s="124"/>
    </row>
    <row r="30">
      <c r="A30" s="90"/>
      <c r="B30" s="96" t="str">
        <f>'1° Parcial'!B30</f>
        <v>MÉTODOS NUMÉRICOS</v>
      </c>
      <c r="C30" s="99" t="str">
        <f>'1° Parcial'!C30</f>
        <v>SIS-221</v>
      </c>
      <c r="D30" s="99" t="str">
        <f>'1° Parcial'!D30</f>
        <v>4º </v>
      </c>
      <c r="E30" s="99" t="str">
        <f>'1° Parcial'!E30</f>
        <v>TA-01</v>
      </c>
      <c r="F30" s="96" t="str">
        <f>'1° Parcial'!F30</f>
        <v>JANETH GIOVANA ALANEZ VILLEGAS</v>
      </c>
      <c r="G30" s="108" t="str">
        <f>'1° Parcial'!G30</f>
        <v/>
      </c>
      <c r="H30" s="120">
        <f t="shared" si="1"/>
        <v>46370</v>
      </c>
      <c r="I30" s="125">
        <v>46373.0</v>
      </c>
      <c r="J30" s="128">
        <v>0.78125</v>
      </c>
      <c r="K30" s="145"/>
      <c r="L30" s="124"/>
    </row>
    <row r="31">
      <c r="A31" s="90"/>
      <c r="B31" s="96" t="str">
        <f>'1° Parcial'!B31</f>
        <v>REDACCIÓN, COMUNICACIÓN E INTERCULTURALIDAD</v>
      </c>
      <c r="C31" s="99" t="str">
        <f>'1° Parcial'!C31</f>
        <v>SIS-222</v>
      </c>
      <c r="D31" s="99" t="str">
        <f>'1° Parcial'!D31</f>
        <v>4º </v>
      </c>
      <c r="E31" s="99" t="str">
        <f>'1° Parcial'!E31</f>
        <v>TA-01</v>
      </c>
      <c r="F31" s="96" t="str">
        <f>'1° Parcial'!F31</f>
        <v>MARIA DE LOS ANGELES MENESES PARRA</v>
      </c>
      <c r="G31" s="108" t="str">
        <f>'1° Parcial'!G31</f>
        <v/>
      </c>
      <c r="H31" s="120">
        <f t="shared" si="1"/>
        <v>46370</v>
      </c>
      <c r="I31" s="125">
        <v>46373.0</v>
      </c>
      <c r="J31" s="128">
        <v>0.78125</v>
      </c>
      <c r="K31" s="145"/>
      <c r="L31" s="124"/>
    </row>
    <row r="32">
      <c r="A32" s="90"/>
      <c r="B32" s="96" t="str">
        <f>'1° Parcial'!B32</f>
        <v>SISTEMAS OPERATIVOS</v>
      </c>
      <c r="C32" s="99" t="str">
        <f>'1° Parcial'!C32</f>
        <v>SIS-223</v>
      </c>
      <c r="D32" s="99" t="str">
        <f>'1° Parcial'!D32</f>
        <v>4º </v>
      </c>
      <c r="E32" s="99" t="str">
        <f>'1° Parcial'!E32</f>
        <v>TA-01</v>
      </c>
      <c r="F32" s="96" t="str">
        <f>'1° Parcial'!F32</f>
        <v>GUSTAVO MAGARIÑOS CAMACHO</v>
      </c>
      <c r="G32" s="108" t="str">
        <f>'1° Parcial'!G32</f>
        <v/>
      </c>
      <c r="H32" s="120">
        <f t="shared" si="1"/>
        <v>46370</v>
      </c>
      <c r="I32" s="125">
        <v>46373.0</v>
      </c>
      <c r="J32" s="128">
        <v>0.71875</v>
      </c>
      <c r="K32" s="145"/>
      <c r="L32" s="124"/>
    </row>
    <row r="33">
      <c r="A33" s="90"/>
      <c r="B33" s="96" t="str">
        <f>'1° Parcial'!B33</f>
        <v>DISEÑO DE BASE DE DATOS</v>
      </c>
      <c r="C33" s="99" t="str">
        <f>'1° Parcial'!C33</f>
        <v>SIS-224</v>
      </c>
      <c r="D33" s="99" t="str">
        <f>'1° Parcial'!D33</f>
        <v>4º </v>
      </c>
      <c r="E33" s="99" t="str">
        <f>'1° Parcial'!E33</f>
        <v>TA-01</v>
      </c>
      <c r="F33" s="96" t="str">
        <f>'1° Parcial'!F33</f>
        <v>WALTER JOSE CAZAS CASTRO</v>
      </c>
      <c r="G33" s="108" t="str">
        <f>'1° Parcial'!G33</f>
        <v/>
      </c>
      <c r="H33" s="120">
        <f t="shared" si="1"/>
        <v>46370</v>
      </c>
      <c r="I33" s="125">
        <v>46373.0</v>
      </c>
      <c r="J33" s="128">
        <v>0.78125</v>
      </c>
      <c r="K33" s="145"/>
      <c r="L33" s="124"/>
    </row>
    <row r="34">
      <c r="A34" s="90"/>
      <c r="B34" s="96" t="str">
        <f>'1° Parcial'!B34</f>
        <v>INGLÉS TÉCNICO IV</v>
      </c>
      <c r="C34" s="99" t="str">
        <f>'1° Parcial'!C34</f>
        <v>SIS-225</v>
      </c>
      <c r="D34" s="99" t="str">
        <f>'1° Parcial'!D34</f>
        <v>4º </v>
      </c>
      <c r="E34" s="99" t="str">
        <f>'1° Parcial'!E34</f>
        <v>TA-01</v>
      </c>
      <c r="F34" s="96" t="str">
        <f>'1° Parcial'!F34</f>
        <v>EDUARDO CARLOS MOSCOSO RICALDI</v>
      </c>
      <c r="G34" s="108" t="str">
        <f>'1° Parcial'!G34</f>
        <v/>
      </c>
      <c r="H34" s="120">
        <f t="shared" si="1"/>
        <v>46370</v>
      </c>
      <c r="I34" s="125">
        <v>46373.0</v>
      </c>
      <c r="J34" s="128">
        <v>0.84375</v>
      </c>
      <c r="K34" s="145"/>
      <c r="L34" s="124"/>
    </row>
    <row r="35">
      <c r="A35" s="90"/>
      <c r="B35" s="96" t="str">
        <f>'1° Parcial'!B35</f>
        <v>TALLER DE PROGRAMACIÓN III</v>
      </c>
      <c r="C35" s="99" t="str">
        <f>'1° Parcial'!C35</f>
        <v>SIS-226</v>
      </c>
      <c r="D35" s="99" t="str">
        <f>'1° Parcial'!D35</f>
        <v>4º </v>
      </c>
      <c r="E35" s="99" t="str">
        <f>'1° Parcial'!E35</f>
        <v>TA-01</v>
      </c>
      <c r="F35" s="96" t="str">
        <f>'1° Parcial'!F35</f>
        <v>YAMIL YASMANI CRESPO AYALA</v>
      </c>
      <c r="G35" s="108" t="str">
        <f>'1° Parcial'!G35</f>
        <v/>
      </c>
      <c r="H35" s="120">
        <f t="shared" si="1"/>
        <v>46370</v>
      </c>
      <c r="I35" s="125">
        <v>46373.0</v>
      </c>
      <c r="J35" s="128">
        <v>0.71875</v>
      </c>
      <c r="K35" s="145"/>
      <c r="L35" s="124"/>
    </row>
    <row r="36">
      <c r="A36" s="90"/>
      <c r="B36" s="96" t="str">
        <f>'1° Parcial'!B36</f>
        <v>DISEÑO GRÁFICO Y SISTEMAS DE INFORMACIÓN GEOGRÁFICA</v>
      </c>
      <c r="C36" s="99" t="str">
        <f>'1° Parcial'!C36</f>
        <v>SIS-227</v>
      </c>
      <c r="D36" s="99" t="str">
        <f>'1° Parcial'!D36</f>
        <v>4º </v>
      </c>
      <c r="E36" s="99" t="str">
        <f>'1° Parcial'!E36</f>
        <v>TA-01</v>
      </c>
      <c r="F36" s="96" t="str">
        <f>'1° Parcial'!F36</f>
        <v>JIMENA GIOVANNA ARNEZ MARTINEZ</v>
      </c>
      <c r="G36" s="108" t="str">
        <f>'1° Parcial'!G36</f>
        <v/>
      </c>
      <c r="H36" s="120">
        <f t="shared" si="1"/>
        <v>46370</v>
      </c>
      <c r="I36" s="125">
        <v>46373.0</v>
      </c>
      <c r="J36" s="128">
        <v>0.84375</v>
      </c>
      <c r="K36" s="145"/>
      <c r="L36" s="124"/>
    </row>
    <row r="37">
      <c r="A37" s="90"/>
      <c r="B37" s="96" t="str">
        <f>'1° Parcial'!B37</f>
        <v>INVESTIGACIÓN OPERATIVA</v>
      </c>
      <c r="C37" s="99" t="str">
        <f>'1° Parcial'!C37</f>
        <v>SIS-311</v>
      </c>
      <c r="D37" s="99" t="str">
        <f>'1° Parcial'!D37</f>
        <v>5º </v>
      </c>
      <c r="E37" s="99" t="str">
        <f>'1° Parcial'!E37</f>
        <v>TA-01</v>
      </c>
      <c r="F37" s="96" t="str">
        <f>'1° Parcial'!F37</f>
        <v>JIMENA GIOVANNA ARNEZ MARTINEZ</v>
      </c>
      <c r="G37" s="108" t="str">
        <f>'1° Parcial'!G37</f>
        <v/>
      </c>
      <c r="H37" s="120">
        <f t="shared" si="1"/>
        <v>46370</v>
      </c>
      <c r="I37" s="125">
        <v>46373.0</v>
      </c>
      <c r="J37" s="128">
        <v>0.71875</v>
      </c>
      <c r="K37" s="145"/>
      <c r="L37" s="124"/>
    </row>
    <row r="38">
      <c r="A38" s="90"/>
      <c r="B38" s="96" t="str">
        <f>'1° Parcial'!B38</f>
        <v>MICROCONTROLADORES</v>
      </c>
      <c r="C38" s="99" t="str">
        <f>'1° Parcial'!C38</f>
        <v>SIS-312</v>
      </c>
      <c r="D38" s="99" t="str">
        <f>'1° Parcial'!D38</f>
        <v>5º </v>
      </c>
      <c r="E38" s="99" t="str">
        <f>'1° Parcial'!E38</f>
        <v>TA-01</v>
      </c>
      <c r="F38" s="96" t="str">
        <f>'1° Parcial'!F38</f>
        <v>JOAQUIN RICARDO ARAOZ JALDIN</v>
      </c>
      <c r="G38" s="108" t="str">
        <f>'1° Parcial'!G38</f>
        <v/>
      </c>
      <c r="H38" s="120">
        <f t="shared" si="1"/>
        <v>46370</v>
      </c>
      <c r="I38" s="125">
        <v>46373.0</v>
      </c>
      <c r="J38" s="128">
        <v>0.7604166666666666</v>
      </c>
      <c r="K38" s="145"/>
      <c r="L38" s="124"/>
    </row>
    <row r="39">
      <c r="A39" s="90"/>
      <c r="B39" s="96" t="str">
        <f>'1° Parcial'!B39</f>
        <v>ARQUITECTURA DE NUEVAS TECNOLÓGIAS</v>
      </c>
      <c r="C39" s="99" t="str">
        <f>'1° Parcial'!C39</f>
        <v>SIS-313</v>
      </c>
      <c r="D39" s="99" t="str">
        <f>'1° Parcial'!D39</f>
        <v>5º </v>
      </c>
      <c r="E39" s="99" t="str">
        <f>'1° Parcial'!E39</f>
        <v>TA-01</v>
      </c>
      <c r="F39" s="96" t="str">
        <f>'1° Parcial'!F39</f>
        <v>JANNETH SOFIA MEDINA ALEMAN</v>
      </c>
      <c r="G39" s="108" t="str">
        <f>'1° Parcial'!G39</f>
        <v/>
      </c>
      <c r="H39" s="120">
        <f t="shared" si="1"/>
        <v>46370</v>
      </c>
      <c r="I39" s="125">
        <v>46373.0</v>
      </c>
      <c r="J39" s="128">
        <v>0.8020833333333334</v>
      </c>
      <c r="K39" s="145"/>
      <c r="L39" s="124"/>
    </row>
    <row r="40">
      <c r="A40" s="90"/>
      <c r="B40" s="96" t="str">
        <f>'1° Parcial'!B40</f>
        <v>ANÁLISIS DE SISTEMAS I</v>
      </c>
      <c r="C40" s="99" t="str">
        <f>'1° Parcial'!C40</f>
        <v>SIS-314</v>
      </c>
      <c r="D40" s="99" t="str">
        <f>'1° Parcial'!D40</f>
        <v>5º </v>
      </c>
      <c r="E40" s="99" t="str">
        <f>'1° Parcial'!E40</f>
        <v>TA-01</v>
      </c>
      <c r="F40" s="96" t="str">
        <f>'1° Parcial'!F40</f>
        <v>MARIA LUZ DEL CASTILLO GONZALES</v>
      </c>
      <c r="G40" s="108" t="str">
        <f>'1° Parcial'!G40</f>
        <v/>
      </c>
      <c r="H40" s="120">
        <f t="shared" si="1"/>
        <v>46370</v>
      </c>
      <c r="I40" s="125">
        <v>46373.0</v>
      </c>
      <c r="J40" s="128">
        <v>0.84375</v>
      </c>
      <c r="K40" s="145"/>
      <c r="L40" s="124"/>
    </row>
    <row r="41">
      <c r="A41" s="90"/>
      <c r="B41" s="96" t="str">
        <f>'1° Parcial'!B41</f>
        <v>INFORMÁTICA FORENSE</v>
      </c>
      <c r="C41" s="99" t="str">
        <f>'1° Parcial'!C41</f>
        <v>SIS-315</v>
      </c>
      <c r="D41" s="99" t="str">
        <f>'1° Parcial'!D41</f>
        <v>5º </v>
      </c>
      <c r="E41" s="99" t="str">
        <f>'1° Parcial'!E41</f>
        <v>TA-01</v>
      </c>
      <c r="F41" s="96" t="str">
        <f>'1° Parcial'!F41</f>
        <v>GUSTAVO MAGARIÑOS CAMACHO</v>
      </c>
      <c r="G41" s="108" t="str">
        <f>'1° Parcial'!G41</f>
        <v/>
      </c>
      <c r="H41" s="120">
        <f t="shared" si="1"/>
        <v>46370</v>
      </c>
      <c r="I41" s="125">
        <v>46373.0</v>
      </c>
      <c r="J41" s="128">
        <v>0.8854166666666666</v>
      </c>
      <c r="K41" s="145"/>
      <c r="L41" s="124"/>
    </row>
    <row r="42">
      <c r="A42" s="90"/>
      <c r="B42" s="96" t="str">
        <f>'1° Parcial'!B42</f>
        <v>REDES Y COMUNICACIÓNES</v>
      </c>
      <c r="C42" s="99" t="str">
        <f>'1° Parcial'!C42</f>
        <v>SIS-316</v>
      </c>
      <c r="D42" s="99" t="str">
        <f>'1° Parcial'!D42</f>
        <v>5º </v>
      </c>
      <c r="E42" s="99" t="str">
        <f>'1° Parcial'!E42</f>
        <v>TA-01</v>
      </c>
      <c r="F42" s="96" t="str">
        <f>'1° Parcial'!F42</f>
        <v>GUSTAVO ADOLFO RIVERA ARTEAGA</v>
      </c>
      <c r="G42" s="108" t="str">
        <f>'1° Parcial'!G42</f>
        <v/>
      </c>
      <c r="H42" s="120">
        <f t="shared" si="1"/>
        <v>46370</v>
      </c>
      <c r="I42" s="125">
        <v>46373.0</v>
      </c>
      <c r="J42" s="128">
        <v>0.9270833333333334</v>
      </c>
      <c r="K42" s="145"/>
      <c r="L42" s="124"/>
    </row>
    <row r="43">
      <c r="A43" s="90"/>
      <c r="B43" s="96" t="str">
        <f>'1° Parcial'!B43</f>
        <v>CONCEPTOS AVANZADOS DE BASE DE DATOS</v>
      </c>
      <c r="C43" s="99" t="str">
        <f>'1° Parcial'!C43</f>
        <v>SIS-317</v>
      </c>
      <c r="D43" s="99" t="str">
        <f>'1° Parcial'!D43</f>
        <v>5º </v>
      </c>
      <c r="E43" s="99" t="str">
        <f>'1° Parcial'!E43</f>
        <v>TA-01</v>
      </c>
      <c r="F43" s="96" t="str">
        <f>'1° Parcial'!F43</f>
        <v>AMILKAR JESUS MIRANDA ROMERO</v>
      </c>
      <c r="G43" s="108" t="str">
        <f>'1° Parcial'!G43</f>
        <v/>
      </c>
      <c r="H43" s="120">
        <f t="shared" si="1"/>
        <v>46370</v>
      </c>
      <c r="I43" s="125">
        <v>46373.0</v>
      </c>
      <c r="J43" s="128">
        <v>0.96875</v>
      </c>
      <c r="K43" s="145"/>
      <c r="L43" s="124"/>
    </row>
    <row r="44">
      <c r="A44" s="90"/>
      <c r="B44" s="96" t="str">
        <f>'1° Parcial'!B44</f>
        <v>ROBÓTICA</v>
      </c>
      <c r="C44" s="99" t="str">
        <f>'1° Parcial'!C44</f>
        <v>SIS-321</v>
      </c>
      <c r="D44" s="99" t="str">
        <f>'1° Parcial'!D44</f>
        <v>6º </v>
      </c>
      <c r="E44" s="99" t="str">
        <f>'1° Parcial'!E44</f>
        <v>TA-01</v>
      </c>
      <c r="F44" s="96" t="str">
        <f>'1° Parcial'!F44</f>
        <v>JOAQUIN RICARDO ARAOZ JALDIN</v>
      </c>
      <c r="G44" s="108" t="str">
        <f>'1° Parcial'!G44</f>
        <v/>
      </c>
      <c r="H44" s="120">
        <f t="shared" si="1"/>
        <v>46370</v>
      </c>
      <c r="I44" s="125">
        <v>46373.0</v>
      </c>
      <c r="J44" s="128">
        <v>1.0104166666666667</v>
      </c>
      <c r="K44" s="145"/>
      <c r="L44" s="124"/>
    </row>
    <row r="45">
      <c r="A45" s="90"/>
      <c r="B45" s="96" t="str">
        <f>'1° Parcial'!B45</f>
        <v>INFRAESTRUCTURA TECNOLÓGICA</v>
      </c>
      <c r="C45" s="99" t="str">
        <f>'1° Parcial'!C45</f>
        <v>SIS-322</v>
      </c>
      <c r="D45" s="99" t="str">
        <f>'1° Parcial'!D45</f>
        <v>6º </v>
      </c>
      <c r="E45" s="99" t="str">
        <f>'1° Parcial'!E45</f>
        <v>TA-01</v>
      </c>
      <c r="F45" s="96" t="str">
        <f>'1° Parcial'!F45</f>
        <v>WILSON JAVIER CONTRERAS VARGAS</v>
      </c>
      <c r="G45" s="108" t="str">
        <f>'1° Parcial'!G45</f>
        <v/>
      </c>
      <c r="H45" s="120">
        <f t="shared" si="1"/>
        <v>46370</v>
      </c>
      <c r="I45" s="125">
        <v>46373.0</v>
      </c>
      <c r="J45" s="128">
        <v>1.0520833333333333</v>
      </c>
      <c r="K45" s="145"/>
      <c r="L45" s="124"/>
    </row>
    <row r="46">
      <c r="A46" s="90"/>
      <c r="B46" s="96" t="str">
        <f>'1° Parcial'!B46</f>
        <v>ANÁLISIS DE SISTEMAS II</v>
      </c>
      <c r="C46" s="99" t="str">
        <f>'1° Parcial'!C46</f>
        <v>SIS-323</v>
      </c>
      <c r="D46" s="99" t="str">
        <f>'1° Parcial'!D46</f>
        <v>6º </v>
      </c>
      <c r="E46" s="99" t="str">
        <f>'1° Parcial'!E46</f>
        <v>TA-01</v>
      </c>
      <c r="F46" s="96" t="str">
        <f>'1° Parcial'!F46</f>
        <v>MARIA LUZ DEL CASTILLO GONZALES</v>
      </c>
      <c r="G46" s="108" t="str">
        <f>'1° Parcial'!G46</f>
        <v/>
      </c>
      <c r="H46" s="120">
        <f t="shared" si="1"/>
        <v>46370</v>
      </c>
      <c r="I46" s="125">
        <v>46373.0</v>
      </c>
      <c r="J46" s="128">
        <v>1.09375</v>
      </c>
      <c r="K46" s="145"/>
      <c r="L46" s="124"/>
    </row>
    <row r="47">
      <c r="A47" s="90"/>
      <c r="B47" s="96" t="str">
        <f>'1° Parcial'!B47</f>
        <v>INGENIERÍA DE MÉTODOS Y REINGENIERÍA</v>
      </c>
      <c r="C47" s="99" t="str">
        <f>'1° Parcial'!C47</f>
        <v>SIS-324</v>
      </c>
      <c r="D47" s="99" t="str">
        <f>'1° Parcial'!D47</f>
        <v>6º </v>
      </c>
      <c r="E47" s="99" t="str">
        <f>'1° Parcial'!E47</f>
        <v>TA-01</v>
      </c>
      <c r="F47" s="96" t="str">
        <f>'1° Parcial'!F47</f>
        <v>ELIANA LESLY MICORDIA ROMERO</v>
      </c>
      <c r="G47" s="108" t="str">
        <f>'1° Parcial'!G47</f>
        <v/>
      </c>
      <c r="H47" s="120">
        <f t="shared" si="1"/>
        <v>46370</v>
      </c>
      <c r="I47" s="125">
        <v>46373.0</v>
      </c>
      <c r="J47" s="128">
        <v>1.1354166666666667</v>
      </c>
      <c r="K47" s="145"/>
      <c r="L47" s="124"/>
    </row>
    <row r="48">
      <c r="A48" s="90"/>
      <c r="B48" s="96" t="str">
        <f>'1° Parcial'!B48</f>
        <v>TALLER DE REDES</v>
      </c>
      <c r="C48" s="99" t="str">
        <f>'1° Parcial'!C48</f>
        <v>SIS-325</v>
      </c>
      <c r="D48" s="99" t="str">
        <f>'1° Parcial'!D48</f>
        <v>6º </v>
      </c>
      <c r="E48" s="99" t="str">
        <f>'1° Parcial'!E48</f>
        <v>TA-01</v>
      </c>
      <c r="F48" s="96" t="str">
        <f>'1° Parcial'!F48</f>
        <v>AMILKAR JESUS MIRANDA ROMERO</v>
      </c>
      <c r="G48" s="108" t="str">
        <f>'1° Parcial'!G48</f>
        <v/>
      </c>
      <c r="H48" s="120">
        <f t="shared" si="1"/>
        <v>46370</v>
      </c>
      <c r="I48" s="125">
        <v>46373.0</v>
      </c>
      <c r="J48" s="128">
        <v>1.1770833333333333</v>
      </c>
      <c r="K48" s="145"/>
      <c r="L48" s="124"/>
    </row>
    <row r="49">
      <c r="A49" s="90"/>
      <c r="B49" s="96" t="str">
        <f>'1° Parcial'!B49</f>
        <v>LENGUAJES DE PROGRAMACIÓN DE ÚLTIMA GENERACIÓN</v>
      </c>
      <c r="C49" s="99" t="str">
        <f>'1° Parcial'!C49</f>
        <v>SIS-326</v>
      </c>
      <c r="D49" s="99" t="str">
        <f>'1° Parcial'!D49</f>
        <v>6º </v>
      </c>
      <c r="E49" s="99" t="str">
        <f>'1° Parcial'!E49</f>
        <v>TA-01</v>
      </c>
      <c r="F49" s="96" t="str">
        <f>'1° Parcial'!F49</f>
        <v>HAROLD MARCO ANTONIO ROJAS TORRES</v>
      </c>
      <c r="G49" s="108" t="str">
        <f>'1° Parcial'!G49</f>
        <v/>
      </c>
      <c r="H49" s="120">
        <f t="shared" si="1"/>
        <v>46370</v>
      </c>
      <c r="I49" s="125">
        <v>46373.0</v>
      </c>
      <c r="J49" s="128">
        <v>1.21875</v>
      </c>
      <c r="K49" s="145"/>
      <c r="L49" s="124"/>
    </row>
    <row r="50">
      <c r="A50" s="90"/>
      <c r="B50" s="96" t="str">
        <f>'1° Parcial'!B50</f>
        <v>MÉTODOS Y TÉCNICAS DE INVESTIGACIÓN</v>
      </c>
      <c r="C50" s="99" t="str">
        <f>'1° Parcial'!C50</f>
        <v>SIS-411</v>
      </c>
      <c r="D50" s="99" t="str">
        <f>'1° Parcial'!D50</f>
        <v>7º </v>
      </c>
      <c r="E50" s="99" t="str">
        <f>'1° Parcial'!E50</f>
        <v>TA-01</v>
      </c>
      <c r="F50" s="96" t="str">
        <f>'1° Parcial'!F50</f>
        <v>EDWIN WINDSOR JARA ARIAS</v>
      </c>
      <c r="G50" s="108" t="str">
        <f>'1° Parcial'!G50</f>
        <v/>
      </c>
      <c r="H50" s="120">
        <f t="shared" si="1"/>
        <v>46370</v>
      </c>
      <c r="I50" s="125">
        <v>46373.0</v>
      </c>
      <c r="J50" s="128">
        <v>1.2604166666666667</v>
      </c>
      <c r="K50" s="145"/>
      <c r="L50" s="124"/>
    </row>
    <row r="51">
      <c r="A51" s="90"/>
      <c r="B51" s="96" t="str">
        <f>'1° Parcial'!B51</f>
        <v>REDES NEURONALES E INTELIGENCIA ARTIFICIAL</v>
      </c>
      <c r="C51" s="99" t="str">
        <f>'1° Parcial'!C51</f>
        <v>SIS-412</v>
      </c>
      <c r="D51" s="99" t="str">
        <f>'1° Parcial'!D51</f>
        <v>7º </v>
      </c>
      <c r="E51" s="99" t="str">
        <f>'1° Parcial'!E51</f>
        <v>TA-01</v>
      </c>
      <c r="F51" s="96" t="str">
        <f>'1° Parcial'!F51</f>
        <v>BLADIMIR MARCELO AJATA GUZMAN</v>
      </c>
      <c r="G51" s="108" t="str">
        <f>'1° Parcial'!G51</f>
        <v/>
      </c>
      <c r="H51" s="120">
        <f t="shared" si="1"/>
        <v>46370</v>
      </c>
      <c r="I51" s="125">
        <v>46373.0</v>
      </c>
      <c r="J51" s="128">
        <v>1.3020833333333333</v>
      </c>
      <c r="K51" s="145"/>
      <c r="L51" s="124"/>
    </row>
    <row r="52">
      <c r="A52" s="90"/>
      <c r="B52" s="96" t="str">
        <f>'1° Parcial'!B52</f>
        <v>TELECOMUNICACIONES</v>
      </c>
      <c r="C52" s="99" t="str">
        <f>'1° Parcial'!C52</f>
        <v>SIS-413</v>
      </c>
      <c r="D52" s="99" t="str">
        <f>'1° Parcial'!D52</f>
        <v>7º </v>
      </c>
      <c r="E52" s="99" t="str">
        <f>'1° Parcial'!E52</f>
        <v>TA-01</v>
      </c>
      <c r="F52" s="96" t="str">
        <f>'1° Parcial'!F52</f>
        <v>ARIEL DENYS CAMARA ARZE</v>
      </c>
      <c r="G52" s="108" t="str">
        <f>'1° Parcial'!G52</f>
        <v/>
      </c>
      <c r="H52" s="120">
        <f t="shared" si="1"/>
        <v>46370</v>
      </c>
      <c r="I52" s="125">
        <v>46373.0</v>
      </c>
      <c r="J52" s="128">
        <v>1.34375</v>
      </c>
      <c r="K52" s="145"/>
      <c r="L52" s="124"/>
    </row>
    <row r="53">
      <c r="A53" s="90"/>
      <c r="B53" s="96" t="str">
        <f>'1° Parcial'!B53</f>
        <v>INGENIERÍA DE SOFTWARE</v>
      </c>
      <c r="C53" s="99" t="str">
        <f>'1° Parcial'!C53</f>
        <v>SIS-414</v>
      </c>
      <c r="D53" s="99" t="str">
        <f>'1° Parcial'!D53</f>
        <v>7º </v>
      </c>
      <c r="E53" s="99" t="str">
        <f>'1° Parcial'!E53</f>
        <v>TA-01</v>
      </c>
      <c r="F53" s="96" t="str">
        <f>'1° Parcial'!F53</f>
        <v>WALTER JOSE CAZAS CASTRO</v>
      </c>
      <c r="G53" s="108" t="str">
        <f>'1° Parcial'!G53</f>
        <v/>
      </c>
      <c r="H53" s="120">
        <f t="shared" si="1"/>
        <v>46370</v>
      </c>
      <c r="I53" s="125">
        <v>46373.0</v>
      </c>
      <c r="J53" s="128">
        <v>1.3854166666666667</v>
      </c>
      <c r="K53" s="145"/>
      <c r="L53" s="124"/>
    </row>
    <row r="54">
      <c r="A54" s="90"/>
      <c r="B54" s="96" t="str">
        <f>'1° Parcial'!B54</f>
        <v>TALLER DE SIMULACIÓN DE SISTEMAS</v>
      </c>
      <c r="C54" s="99" t="str">
        <f>'1° Parcial'!C54</f>
        <v>SIS-415</v>
      </c>
      <c r="D54" s="99" t="str">
        <f>'1° Parcial'!D54</f>
        <v>7º </v>
      </c>
      <c r="E54" s="99" t="str">
        <f>'1° Parcial'!E54</f>
        <v>TA-01</v>
      </c>
      <c r="F54" s="96" t="str">
        <f>'1° Parcial'!F54</f>
        <v>WILSON JAVIER CONTRERAS VARGAS</v>
      </c>
      <c r="G54" s="108" t="str">
        <f>'1° Parcial'!G54</f>
        <v/>
      </c>
      <c r="H54" s="120">
        <f t="shared" si="1"/>
        <v>46370</v>
      </c>
      <c r="I54" s="125">
        <v>46373.0</v>
      </c>
      <c r="J54" s="128">
        <v>1.4270833333333333</v>
      </c>
      <c r="K54" s="145"/>
      <c r="L54" s="124"/>
    </row>
    <row r="55">
      <c r="A55" s="90"/>
      <c r="B55" s="96" t="str">
        <f>'1° Parcial'!B55</f>
        <v>MÉTODO DE DESARROLLO DE SOFTWARE</v>
      </c>
      <c r="C55" s="99" t="str">
        <f>'1° Parcial'!C55</f>
        <v>SIS-416</v>
      </c>
      <c r="D55" s="99" t="str">
        <f>'1° Parcial'!D55</f>
        <v>7º </v>
      </c>
      <c r="E55" s="99" t="str">
        <f>'1° Parcial'!E55</f>
        <v>TA-01</v>
      </c>
      <c r="F55" s="96" t="str">
        <f>'1° Parcial'!F55</f>
        <v>JANNETH SOFIA MEDINA ALEMAN</v>
      </c>
      <c r="G55" s="108" t="str">
        <f>'1° Parcial'!G55</f>
        <v/>
      </c>
      <c r="H55" s="120">
        <f t="shared" si="1"/>
        <v>46370</v>
      </c>
      <c r="I55" s="125">
        <v>46373.0</v>
      </c>
      <c r="J55" s="128">
        <v>1.46875</v>
      </c>
      <c r="K55" s="145"/>
      <c r="L55" s="124"/>
    </row>
    <row r="56">
      <c r="A56" s="90"/>
      <c r="B56" s="96" t="str">
        <f>'1° Parcial'!B56</f>
        <v>TALLER DE TITULACIÓN</v>
      </c>
      <c r="C56" s="99" t="str">
        <f>'1° Parcial'!C56</f>
        <v>SIS-421</v>
      </c>
      <c r="D56" s="99" t="str">
        <f>'1° Parcial'!D56</f>
        <v>8º </v>
      </c>
      <c r="E56" s="99" t="str">
        <f>'1° Parcial'!E56</f>
        <v>TA-01</v>
      </c>
      <c r="F56" s="96" t="str">
        <f>'1° Parcial'!F56</f>
        <v>JANNETH SOFIA MEDINA ALEMAN</v>
      </c>
      <c r="G56" s="108" t="str">
        <f>'1° Parcial'!G56</f>
        <v/>
      </c>
      <c r="H56" s="120">
        <f t="shared" si="1"/>
        <v>46370</v>
      </c>
      <c r="I56" s="125">
        <v>46373.0</v>
      </c>
      <c r="J56" s="128">
        <v>1.5104166666666667</v>
      </c>
      <c r="K56" s="145"/>
      <c r="L56" s="124"/>
    </row>
    <row r="57">
      <c r="A57" s="90"/>
      <c r="B57" s="96" t="str">
        <f>'1° Parcial'!B57</f>
        <v>GESTIÓN ESTRATÉGICA DE EMPRESAS</v>
      </c>
      <c r="C57" s="99" t="str">
        <f>'1° Parcial'!C57</f>
        <v>SIS-422</v>
      </c>
      <c r="D57" s="99" t="str">
        <f>'1° Parcial'!D57</f>
        <v>8º </v>
      </c>
      <c r="E57" s="99" t="str">
        <f>'1° Parcial'!E57</f>
        <v>TA-01</v>
      </c>
      <c r="F57" s="96" t="str">
        <f>'1° Parcial'!F57</f>
        <v>ELIANA LESLY MICORDIA ROMERO</v>
      </c>
      <c r="G57" s="108" t="str">
        <f>'1° Parcial'!G57</f>
        <v/>
      </c>
      <c r="H57" s="120">
        <f t="shared" si="1"/>
        <v>46370</v>
      </c>
      <c r="I57" s="125">
        <v>46373.0</v>
      </c>
      <c r="J57" s="128">
        <v>1.5520833333333333</v>
      </c>
      <c r="K57" s="145"/>
      <c r="L57" s="124"/>
    </row>
    <row r="58">
      <c r="A58" s="90"/>
      <c r="B58" s="96" t="str">
        <f>'1° Parcial'!B58</f>
        <v>TALLER DE INGENIERÍA DE SOFTWARE</v>
      </c>
      <c r="C58" s="99" t="str">
        <f>'1° Parcial'!C58</f>
        <v>SIS-423</v>
      </c>
      <c r="D58" s="99" t="str">
        <f>'1° Parcial'!D58</f>
        <v>8º </v>
      </c>
      <c r="E58" s="99" t="str">
        <f>'1° Parcial'!E58</f>
        <v>TA-01</v>
      </c>
      <c r="F58" s="96" t="str">
        <f>'1° Parcial'!F58</f>
        <v>HAROLD MARCO ANTONIO ROJAS TORRES</v>
      </c>
      <c r="G58" s="108" t="str">
        <f>'1° Parcial'!G58</f>
        <v/>
      </c>
      <c r="H58" s="120">
        <f t="shared" si="1"/>
        <v>46370</v>
      </c>
      <c r="I58" s="125">
        <v>46373.0</v>
      </c>
      <c r="J58" s="128">
        <v>1.59375</v>
      </c>
      <c r="K58" s="145"/>
      <c r="L58" s="124"/>
    </row>
    <row r="59">
      <c r="A59" s="90"/>
      <c r="B59" s="96" t="str">
        <f>'1° Parcial'!B59</f>
        <v>GESTIÓN DE CALIDAD ESTRATÉGICA DE PROYECTOS DE SOFTWARE</v>
      </c>
      <c r="C59" s="99" t="str">
        <f>'1° Parcial'!C59</f>
        <v>SIS-425</v>
      </c>
      <c r="D59" s="99" t="str">
        <f>'1° Parcial'!D59</f>
        <v>8º </v>
      </c>
      <c r="E59" s="99" t="str">
        <f>'1° Parcial'!E59</f>
        <v>TA-01</v>
      </c>
      <c r="F59" s="96" t="str">
        <f>'1° Parcial'!F59</f>
        <v>AMILKAR JESUS MIRANDA ROMERO</v>
      </c>
      <c r="G59" s="108" t="str">
        <f>'1° Parcial'!G59</f>
        <v/>
      </c>
      <c r="H59" s="120">
        <f t="shared" si="1"/>
        <v>46370</v>
      </c>
      <c r="I59" s="125">
        <v>46373.0</v>
      </c>
      <c r="J59" s="128">
        <v>1.6354166666666667</v>
      </c>
      <c r="K59" s="145"/>
      <c r="L59" s="124"/>
    </row>
  </sheetData>
  <mergeCells count="6">
    <mergeCell ref="B2:K2"/>
    <mergeCell ref="B3:K3"/>
    <mergeCell ref="B4:K4"/>
    <mergeCell ref="B5:K5"/>
    <mergeCell ref="B6:K6"/>
    <mergeCell ref="B7:K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6.13"/>
    <col customWidth="1" min="3" max="3" width="10.0"/>
    <col customWidth="1" min="4" max="4" width="4.5"/>
    <col customWidth="1" min="5" max="5" width="6.0"/>
    <col customWidth="1" min="6" max="6" width="35.88"/>
    <col customWidth="1" min="7" max="7" width="9.25"/>
    <col customWidth="1" min="8" max="8" width="5.38"/>
    <col customWidth="1" min="9" max="9" width="9.25"/>
    <col customWidth="1" min="10" max="10" width="5.38"/>
    <col customWidth="1" min="11" max="11" width="9.25"/>
    <col customWidth="1" min="12" max="12" width="5.38"/>
    <col customWidth="1" min="13" max="13" width="9.25"/>
    <col customWidth="1" min="14" max="14" width="5.38"/>
    <col customWidth="1" min="15" max="15" width="6.38"/>
    <col customWidth="1" min="16" max="16" width="9.25"/>
    <col customWidth="1" min="17" max="17" width="5.38"/>
    <col customWidth="1" min="18" max="18" width="6.38"/>
    <col customWidth="1" min="19" max="19" width="9.25"/>
    <col customWidth="1" min="20" max="20" width="5.38"/>
    <col customWidth="1" min="21" max="21" width="6.38"/>
    <col customWidth="1" min="22" max="22" width="9.25"/>
    <col customWidth="1" min="23" max="23" width="5.38"/>
    <col customWidth="1" min="24" max="24" width="6.38"/>
    <col customWidth="1" min="25" max="25" width="9.25"/>
    <col customWidth="1" min="26" max="26" width="5.38"/>
    <col customWidth="1" min="27" max="27" width="6.38"/>
    <col customWidth="1" min="28" max="28" width="9.25"/>
    <col customWidth="1" min="29" max="29" width="5.38"/>
    <col customWidth="1" min="30" max="30" width="6.38"/>
    <col customWidth="1" min="31" max="31" width="9.25"/>
    <col customWidth="1" min="32" max="32" width="5.38"/>
    <col customWidth="1" min="33" max="33" width="6.38"/>
    <col customWidth="1" min="34" max="34" width="9.25"/>
    <col customWidth="1" min="35" max="35" width="5.38"/>
    <col customWidth="1" min="36" max="36" width="6.38"/>
    <col customWidth="1" min="37" max="37" width="9.25"/>
    <col customWidth="1" min="38" max="38" width="5.38"/>
    <col customWidth="1" min="39" max="39" width="6.38"/>
    <col customWidth="1" min="40" max="40" width="9.25"/>
    <col customWidth="1" min="41" max="41" width="5.5"/>
    <col customWidth="1" min="42" max="42" width="2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>
      <c r="A2" s="1"/>
      <c r="B2" s="7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0"/>
      <c r="AP2" s="3"/>
    </row>
    <row r="3">
      <c r="A3" s="1"/>
      <c r="B3" s="15" t="str">
        <f>'1° Parcial'!B3</f>
        <v>UNIVERSIDAD TÉCNICA PRIVADA COSMOS</v>
      </c>
      <c r="AO3" s="16"/>
      <c r="AP3" s="3"/>
    </row>
    <row r="4">
      <c r="A4" s="1"/>
      <c r="B4" s="22" t="str">
        <f>'1° Parcial'!B4</f>
        <v>CARRERA DE INGENIERÍA DE SONIDO</v>
      </c>
      <c r="AO4" s="16"/>
      <c r="AP4" s="3"/>
    </row>
    <row r="5">
      <c r="A5" s="1"/>
      <c r="B5" s="29" t="str">
        <f>'1° Parcial'!B5</f>
        <v>SEDE COCHABAMBA</v>
      </c>
      <c r="AO5" s="16"/>
      <c r="AP5" s="3"/>
    </row>
    <row r="6">
      <c r="A6" s="18"/>
      <c r="B6" s="33" t="s">
        <v>173</v>
      </c>
      <c r="AO6" s="16"/>
      <c r="AP6" s="3"/>
    </row>
    <row r="7">
      <c r="A7" s="20"/>
      <c r="B7" s="38" t="s">
        <v>5</v>
      </c>
      <c r="AO7" s="16"/>
      <c r="AP7" s="3"/>
    </row>
    <row r="8">
      <c r="A8" s="23"/>
      <c r="B8" s="42"/>
      <c r="C8" s="37"/>
      <c r="D8" s="37"/>
      <c r="E8" s="39"/>
      <c r="F8" s="40"/>
      <c r="G8" s="166"/>
      <c r="H8" s="44"/>
      <c r="I8" s="166"/>
      <c r="J8" s="44"/>
      <c r="K8" s="166"/>
      <c r="L8" s="44"/>
      <c r="M8" s="166"/>
      <c r="N8" s="167"/>
      <c r="O8" s="167"/>
      <c r="P8" s="166"/>
      <c r="Q8" s="167"/>
      <c r="R8" s="167"/>
      <c r="S8" s="167"/>
      <c r="T8" s="168"/>
      <c r="U8" s="167"/>
      <c r="V8" s="166"/>
      <c r="W8" s="39"/>
      <c r="X8" s="39"/>
      <c r="Y8" s="166"/>
      <c r="Z8" s="167"/>
      <c r="AA8" s="39"/>
      <c r="AB8" s="39"/>
      <c r="AC8" s="39"/>
      <c r="AD8" s="39"/>
      <c r="AE8" s="166"/>
      <c r="AF8" s="39"/>
      <c r="AG8" s="39"/>
      <c r="AH8" s="166"/>
      <c r="AI8" s="39"/>
      <c r="AJ8" s="39"/>
      <c r="AK8" s="39"/>
      <c r="AL8" s="39"/>
      <c r="AM8" s="39"/>
      <c r="AN8" s="166"/>
      <c r="AO8" s="46"/>
      <c r="AP8" s="35"/>
    </row>
    <row r="9" ht="27.0" customHeight="1">
      <c r="A9" s="41"/>
      <c r="B9" s="169" t="s">
        <v>7</v>
      </c>
      <c r="C9" s="170" t="s">
        <v>8</v>
      </c>
      <c r="D9" s="171" t="s">
        <v>9</v>
      </c>
      <c r="E9" s="171" t="s">
        <v>10</v>
      </c>
      <c r="F9" s="172" t="s">
        <v>11</v>
      </c>
      <c r="G9" s="173" t="s">
        <v>178</v>
      </c>
      <c r="H9" s="174"/>
      <c r="I9" s="174"/>
      <c r="J9" s="174"/>
      <c r="K9" s="174"/>
      <c r="L9" s="175"/>
      <c r="M9" s="176" t="s">
        <v>179</v>
      </c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5"/>
      <c r="AN9" s="177" t="s">
        <v>180</v>
      </c>
      <c r="AO9" s="16"/>
      <c r="AP9" s="178"/>
    </row>
    <row r="10" ht="21.0" customHeight="1">
      <c r="A10" s="41"/>
      <c r="B10" s="179"/>
      <c r="C10" s="180"/>
      <c r="D10" s="180"/>
      <c r="E10" s="180"/>
      <c r="F10" s="180"/>
      <c r="G10" s="181" t="s">
        <v>181</v>
      </c>
      <c r="H10" s="182"/>
      <c r="I10" s="183" t="s">
        <v>182</v>
      </c>
      <c r="J10" s="182"/>
      <c r="K10" s="183" t="s">
        <v>183</v>
      </c>
      <c r="L10" s="182"/>
      <c r="M10" s="184" t="s">
        <v>181</v>
      </c>
      <c r="N10" s="185"/>
      <c r="O10" s="185"/>
      <c r="P10" s="185"/>
      <c r="Q10" s="185"/>
      <c r="R10" s="185"/>
      <c r="S10" s="185"/>
      <c r="T10" s="185"/>
      <c r="U10" s="182"/>
      <c r="V10" s="184" t="s">
        <v>182</v>
      </c>
      <c r="W10" s="185"/>
      <c r="X10" s="185"/>
      <c r="Y10" s="185"/>
      <c r="Z10" s="185"/>
      <c r="AA10" s="185"/>
      <c r="AB10" s="185"/>
      <c r="AC10" s="185"/>
      <c r="AD10" s="182"/>
      <c r="AE10" s="184" t="s">
        <v>183</v>
      </c>
      <c r="AF10" s="185"/>
      <c r="AG10" s="185"/>
      <c r="AH10" s="185"/>
      <c r="AI10" s="185"/>
      <c r="AJ10" s="185"/>
      <c r="AK10" s="185"/>
      <c r="AL10" s="185"/>
      <c r="AM10" s="182"/>
      <c r="AN10" s="186"/>
      <c r="AO10" s="187"/>
      <c r="AP10" s="188"/>
    </row>
    <row r="11" ht="21.0" customHeight="1">
      <c r="A11" s="41"/>
      <c r="B11" s="189"/>
      <c r="C11" s="190"/>
      <c r="D11" s="190"/>
      <c r="E11" s="190"/>
      <c r="F11" s="190"/>
      <c r="G11" s="191" t="s">
        <v>184</v>
      </c>
      <c r="H11" s="192" t="s">
        <v>16</v>
      </c>
      <c r="I11" s="191" t="s">
        <v>184</v>
      </c>
      <c r="J11" s="192" t="s">
        <v>16</v>
      </c>
      <c r="K11" s="191" t="s">
        <v>184</v>
      </c>
      <c r="L11" s="192" t="s">
        <v>16</v>
      </c>
      <c r="M11" s="193" t="s">
        <v>184</v>
      </c>
      <c r="N11" s="194" t="s">
        <v>16</v>
      </c>
      <c r="O11" s="195" t="s">
        <v>10</v>
      </c>
      <c r="P11" s="196" t="s">
        <v>184</v>
      </c>
      <c r="Q11" s="197" t="str">
        <f>'1° Parcial'!U9</f>
        <v>HORA</v>
      </c>
      <c r="R11" s="198" t="str">
        <f>'1° Parcial'!V9</f>
        <v>GRUPO</v>
      </c>
      <c r="S11" s="199" t="s">
        <v>184</v>
      </c>
      <c r="T11" s="200" t="s">
        <v>16</v>
      </c>
      <c r="U11" s="201" t="s">
        <v>10</v>
      </c>
      <c r="V11" s="193" t="s">
        <v>184</v>
      </c>
      <c r="W11" s="202" t="s">
        <v>16</v>
      </c>
      <c r="X11" s="195" t="s">
        <v>10</v>
      </c>
      <c r="Y11" s="196" t="s">
        <v>184</v>
      </c>
      <c r="Z11" s="197" t="s">
        <v>16</v>
      </c>
      <c r="AA11" s="198" t="s">
        <v>10</v>
      </c>
      <c r="AB11" s="203" t="s">
        <v>184</v>
      </c>
      <c r="AC11" s="204" t="s">
        <v>16</v>
      </c>
      <c r="AD11" s="205" t="s">
        <v>10</v>
      </c>
      <c r="AE11" s="193" t="s">
        <v>184</v>
      </c>
      <c r="AF11" s="202" t="s">
        <v>16</v>
      </c>
      <c r="AG11" s="195" t="s">
        <v>10</v>
      </c>
      <c r="AH11" s="196" t="s">
        <v>184</v>
      </c>
      <c r="AI11" s="206" t="s">
        <v>16</v>
      </c>
      <c r="AJ11" s="198" t="s">
        <v>10</v>
      </c>
      <c r="AK11" s="203" t="s">
        <v>184</v>
      </c>
      <c r="AL11" s="204" t="s">
        <v>16</v>
      </c>
      <c r="AM11" s="205" t="s">
        <v>10</v>
      </c>
      <c r="AN11" s="207" t="s">
        <v>184</v>
      </c>
      <c r="AO11" s="208" t="s">
        <v>16</v>
      </c>
      <c r="AP11" s="188"/>
    </row>
    <row r="12">
      <c r="A12" s="90"/>
      <c r="B12" s="96" t="str">
        <f>'1° Parcial'!B10</f>
        <v>CALCULO I</v>
      </c>
      <c r="C12" s="99" t="str">
        <f>'1° Parcial'!C10</f>
        <v>SIS-111</v>
      </c>
      <c r="D12" s="100" t="str">
        <f>'1° Parcial'!D10</f>
        <v>1º </v>
      </c>
      <c r="E12" s="100" t="str">
        <f>'1° Parcial'!E10</f>
        <v>TA-01</v>
      </c>
      <c r="F12" s="103" t="str">
        <f>'1° Parcial'!F10</f>
        <v>JIMENA GIOVANNA ARNEZ MARTINEZ</v>
      </c>
      <c r="G12" s="209">
        <f>'1° Parcial'!J10</f>
        <v>46290</v>
      </c>
      <c r="H12" s="210">
        <f>'1° Parcial'!K10</f>
        <v>0.46875</v>
      </c>
      <c r="I12" s="211">
        <f>'2° Parcial'!J10</f>
        <v>46346</v>
      </c>
      <c r="J12" s="212">
        <f>'2° Parcial'!K10</f>
        <v>0.46875</v>
      </c>
      <c r="K12" s="213">
        <f>Ex.Final!I10</f>
        <v>46367</v>
      </c>
      <c r="L12" s="214">
        <f>Ex.Final!J10</f>
        <v>0.46875</v>
      </c>
      <c r="M12" s="209">
        <f>'1° Parcial'!O10</f>
        <v>46283</v>
      </c>
      <c r="N12" s="215">
        <f>'1° Parcial'!P10</f>
        <v>0.46875</v>
      </c>
      <c r="O12" s="215" t="str">
        <f>'1° Parcial'!Q10</f>
        <v>A</v>
      </c>
      <c r="P12" s="216" t="str">
        <f>'1° Parcial'!T10</f>
        <v/>
      </c>
      <c r="Q12" s="217" t="str">
        <f>'1° Parcial'!U10</f>
        <v/>
      </c>
      <c r="R12" s="218" t="str">
        <f>'1° Parcial'!V10</f>
        <v/>
      </c>
      <c r="S12" s="219" t="str">
        <f>'1° Parcial'!X10</f>
        <v/>
      </c>
      <c r="T12" s="220">
        <f>'1° Parcial'!Z10</f>
        <v>0.46875</v>
      </c>
      <c r="U12" s="218" t="str">
        <f>'1° Parcial'!AA10</f>
        <v/>
      </c>
      <c r="V12" s="211">
        <f>'2° Parcial'!O10</f>
        <v>46339</v>
      </c>
      <c r="W12" s="212">
        <f>'2° Parcial'!P10</f>
        <v>0.46875</v>
      </c>
      <c r="X12" s="212" t="str">
        <f>'2° Parcial'!Q10</f>
        <v>A</v>
      </c>
      <c r="Y12" s="221">
        <f>'2° Parcial'!T10</f>
        <v>56</v>
      </c>
      <c r="Z12" s="222" t="str">
        <f>'2° Parcial'!U10</f>
        <v/>
      </c>
      <c r="AA12" s="223" t="str">
        <f>'2° Parcial'!V10</f>
        <v/>
      </c>
      <c r="AB12" s="224">
        <f>'2° Parcial'!Y10</f>
        <v>46346</v>
      </c>
      <c r="AC12" s="225">
        <f>'2° Parcial'!Z10</f>
        <v>0.46875</v>
      </c>
      <c r="AD12" s="223" t="str">
        <f>'2° Parcial'!AA10</f>
        <v/>
      </c>
      <c r="AE12" s="213">
        <f>Ex.Final!I10</f>
        <v>46367</v>
      </c>
      <c r="AF12" s="214">
        <f>Ex.Final!J10</f>
        <v>0.46875</v>
      </c>
      <c r="AG12" s="214" t="str">
        <f>Ex.Final!O10</f>
        <v/>
      </c>
      <c r="AH12" s="226">
        <f>Ex.Final!Q10</f>
        <v>77</v>
      </c>
      <c r="AI12" s="227" t="str">
        <f>Ex.Final!R10</f>
        <v/>
      </c>
      <c r="AJ12" s="227" t="str">
        <f>Ex.Final!S10</f>
        <v/>
      </c>
      <c r="AK12" s="228">
        <f>Ex.Final!U10</f>
        <v>46367</v>
      </c>
      <c r="AL12" s="227">
        <f>Ex.Final!V10</f>
        <v>0.46875</v>
      </c>
      <c r="AM12" s="227" t="str">
        <f>Ex.Final!W10</f>
        <v/>
      </c>
      <c r="AN12" s="229">
        <f>'2° Instancia'!I10</f>
        <v>46373</v>
      </c>
      <c r="AO12" s="230">
        <f>'2° Instancia'!J10</f>
        <v>0.71875</v>
      </c>
      <c r="AP12" s="124"/>
    </row>
    <row r="13">
      <c r="A13" s="90"/>
      <c r="B13" s="96" t="str">
        <f>'1° Parcial'!B11</f>
        <v>FÍSICA I</v>
      </c>
      <c r="C13" s="99" t="str">
        <f>'1° Parcial'!C11</f>
        <v>SIS-112</v>
      </c>
      <c r="D13" s="100" t="str">
        <f>'1° Parcial'!D11</f>
        <v>1º </v>
      </c>
      <c r="E13" s="100" t="str">
        <f>'1° Parcial'!E11</f>
        <v>TA-01</v>
      </c>
      <c r="F13" s="103" t="str">
        <f>'1° Parcial'!F11</f>
        <v>XIMENA WENDY CALIZAYA PEREZ</v>
      </c>
      <c r="G13" s="209">
        <f>'1° Parcial'!J11</f>
        <v>46293</v>
      </c>
      <c r="H13" s="210">
        <f>'1° Parcial'!K11</f>
        <v>0.40625</v>
      </c>
      <c r="I13" s="211">
        <f>'2° Parcial'!J11</f>
        <v>46349</v>
      </c>
      <c r="J13" s="212">
        <f>'2° Parcial'!K11</f>
        <v>0.40625</v>
      </c>
      <c r="K13" s="213">
        <f>Ex.Final!I11</f>
        <v>46370</v>
      </c>
      <c r="L13" s="214">
        <f>Ex.Final!J11</f>
        <v>0.40625</v>
      </c>
      <c r="M13" s="209">
        <f>'1° Parcial'!O11</f>
        <v>46286</v>
      </c>
      <c r="N13" s="215">
        <f>'1° Parcial'!P11</f>
        <v>0.40625</v>
      </c>
      <c r="O13" s="215" t="str">
        <f>'1° Parcial'!Q11</f>
        <v>A</v>
      </c>
      <c r="P13" s="216" t="str">
        <f>'1° Parcial'!T11</f>
        <v/>
      </c>
      <c r="Q13" s="217" t="str">
        <f>'1° Parcial'!U11</f>
        <v/>
      </c>
      <c r="R13" s="218" t="str">
        <f>'1° Parcial'!V11</f>
        <v/>
      </c>
      <c r="S13" s="219" t="str">
        <f>'1° Parcial'!X11</f>
        <v/>
      </c>
      <c r="T13" s="220">
        <f>'1° Parcial'!Z11</f>
        <v>0.40625</v>
      </c>
      <c r="U13" s="218" t="str">
        <f>'1° Parcial'!AA11</f>
        <v/>
      </c>
      <c r="V13" s="211">
        <f>'2° Parcial'!O11</f>
        <v>46342</v>
      </c>
      <c r="W13" s="212">
        <f>'2° Parcial'!P11</f>
        <v>0.40625</v>
      </c>
      <c r="X13" s="212" t="str">
        <f>'2° Parcial'!Q11</f>
        <v>A</v>
      </c>
      <c r="Y13" s="221">
        <f>'2° Parcial'!T11</f>
        <v>56</v>
      </c>
      <c r="Z13" s="222" t="str">
        <f>'2° Parcial'!U11</f>
        <v/>
      </c>
      <c r="AA13" s="223" t="str">
        <f>'2° Parcial'!V11</f>
        <v/>
      </c>
      <c r="AB13" s="224">
        <f>'2° Parcial'!Y11</f>
        <v>46349</v>
      </c>
      <c r="AC13" s="225">
        <f>'2° Parcial'!Z11</f>
        <v>0.40625</v>
      </c>
      <c r="AD13" s="223" t="str">
        <f>'2° Parcial'!AA11</f>
        <v/>
      </c>
      <c r="AE13" s="213">
        <f>Ex.Final!I11</f>
        <v>46370</v>
      </c>
      <c r="AF13" s="214">
        <f>Ex.Final!J11</f>
        <v>0.40625</v>
      </c>
      <c r="AG13" s="214" t="str">
        <f>Ex.Final!O11</f>
        <v/>
      </c>
      <c r="AH13" s="226">
        <f>Ex.Final!Q11</f>
        <v>77</v>
      </c>
      <c r="AI13" s="227" t="str">
        <f>Ex.Final!R11</f>
        <v/>
      </c>
      <c r="AJ13" s="227" t="str">
        <f>Ex.Final!S11</f>
        <v/>
      </c>
      <c r="AK13" s="228">
        <f>Ex.Final!U11</f>
        <v>46370</v>
      </c>
      <c r="AL13" s="227">
        <f>Ex.Final!V11</f>
        <v>0.40625</v>
      </c>
      <c r="AM13" s="227" t="str">
        <f>Ex.Final!W11</f>
        <v/>
      </c>
      <c r="AN13" s="229">
        <f>'2° Instancia'!I11</f>
        <v>46373</v>
      </c>
      <c r="AO13" s="230">
        <f>'2° Instancia'!J11</f>
        <v>0.84375</v>
      </c>
      <c r="AP13" s="124"/>
    </row>
    <row r="14">
      <c r="A14" s="90"/>
      <c r="B14" s="96" t="str">
        <f>'1° Parcial'!B12</f>
        <v>PROGRAMACIÓN I</v>
      </c>
      <c r="C14" s="99" t="str">
        <f>'1° Parcial'!C12</f>
        <v>SIS-113</v>
      </c>
      <c r="D14" s="100" t="str">
        <f>'1° Parcial'!D12</f>
        <v>1º </v>
      </c>
      <c r="E14" s="100" t="str">
        <f>'1° Parcial'!E12</f>
        <v>TA-01</v>
      </c>
      <c r="F14" s="103" t="str">
        <f>'1° Parcial'!F12</f>
        <v>ROSMERY LUIZAGA SALINAS</v>
      </c>
      <c r="G14" s="209">
        <f>'1° Parcial'!J12</f>
        <v>46286</v>
      </c>
      <c r="H14" s="210">
        <f>'1° Parcial'!K12</f>
        <v>0.46875</v>
      </c>
      <c r="I14" s="211">
        <f>'2° Parcial'!J12</f>
        <v>46342</v>
      </c>
      <c r="J14" s="212">
        <f>'2° Parcial'!K12</f>
        <v>0.46875</v>
      </c>
      <c r="K14" s="213">
        <f>Ex.Final!I12</f>
        <v>46363</v>
      </c>
      <c r="L14" s="214">
        <f>Ex.Final!J12</f>
        <v>0.46875</v>
      </c>
      <c r="M14" s="209">
        <f>'1° Parcial'!O12</f>
        <v>46279</v>
      </c>
      <c r="N14" s="215">
        <f>'1° Parcial'!P12</f>
        <v>0.46875</v>
      </c>
      <c r="O14" s="215" t="str">
        <f>'1° Parcial'!Q12</f>
        <v>A</v>
      </c>
      <c r="P14" s="216" t="str">
        <f>'1° Parcial'!T12</f>
        <v/>
      </c>
      <c r="Q14" s="217" t="str">
        <f>'1° Parcial'!U12</f>
        <v/>
      </c>
      <c r="R14" s="218" t="str">
        <f>'1° Parcial'!V12</f>
        <v/>
      </c>
      <c r="S14" s="219" t="str">
        <f>'1° Parcial'!X12</f>
        <v/>
      </c>
      <c r="T14" s="220">
        <f>'1° Parcial'!Z12</f>
        <v>0.46875</v>
      </c>
      <c r="U14" s="218" t="str">
        <f>'1° Parcial'!AA12</f>
        <v/>
      </c>
      <c r="V14" s="211">
        <f>'2° Parcial'!O12</f>
        <v>46335</v>
      </c>
      <c r="W14" s="212">
        <f>'2° Parcial'!P12</f>
        <v>0.46875</v>
      </c>
      <c r="X14" s="212" t="str">
        <f>'2° Parcial'!Q12</f>
        <v>A</v>
      </c>
      <c r="Y14" s="221">
        <f>'2° Parcial'!T12</f>
        <v>56</v>
      </c>
      <c r="Z14" s="222" t="str">
        <f>'2° Parcial'!U12</f>
        <v/>
      </c>
      <c r="AA14" s="223" t="str">
        <f>'2° Parcial'!V12</f>
        <v/>
      </c>
      <c r="AB14" s="224">
        <f>'2° Parcial'!Y12</f>
        <v>46342</v>
      </c>
      <c r="AC14" s="225">
        <f>'2° Parcial'!Z12</f>
        <v>0.46875</v>
      </c>
      <c r="AD14" s="223" t="str">
        <f>'2° Parcial'!AA12</f>
        <v/>
      </c>
      <c r="AE14" s="213">
        <f>Ex.Final!I12</f>
        <v>46363</v>
      </c>
      <c r="AF14" s="214">
        <f>Ex.Final!J12</f>
        <v>0.46875</v>
      </c>
      <c r="AG14" s="214" t="str">
        <f>Ex.Final!O12</f>
        <v/>
      </c>
      <c r="AH14" s="226">
        <f>Ex.Final!Q12</f>
        <v>77</v>
      </c>
      <c r="AI14" s="227" t="str">
        <f>Ex.Final!R12</f>
        <v/>
      </c>
      <c r="AJ14" s="227" t="str">
        <f>Ex.Final!S12</f>
        <v/>
      </c>
      <c r="AK14" s="228">
        <f>Ex.Final!U12</f>
        <v>46363</v>
      </c>
      <c r="AL14" s="227">
        <f>Ex.Final!V12</f>
        <v>0.46875</v>
      </c>
      <c r="AM14" s="227" t="str">
        <f>Ex.Final!W12</f>
        <v/>
      </c>
      <c r="AN14" s="229">
        <f>'2° Instancia'!I12</f>
        <v>46373</v>
      </c>
      <c r="AO14" s="230">
        <f>'2° Instancia'!J12</f>
        <v>0.71875</v>
      </c>
      <c r="AP14" s="124"/>
    </row>
    <row r="15">
      <c r="A15" s="90"/>
      <c r="B15" s="96" t="str">
        <f>'1° Parcial'!B13</f>
        <v>ÁLGEBRA</v>
      </c>
      <c r="C15" s="99" t="str">
        <f>'1° Parcial'!C13</f>
        <v>SIS-114</v>
      </c>
      <c r="D15" s="100" t="str">
        <f>'1° Parcial'!D13</f>
        <v>1º </v>
      </c>
      <c r="E15" s="100" t="str">
        <f>'1° Parcial'!E13</f>
        <v>TA-01</v>
      </c>
      <c r="F15" s="103" t="str">
        <f>'1° Parcial'!F13</f>
        <v>ELIANA LESLY MICORDIA ROMERO</v>
      </c>
      <c r="G15" s="209">
        <f>'1° Parcial'!J13</f>
        <v>46288</v>
      </c>
      <c r="H15" s="210">
        <f>'1° Parcial'!K13</f>
        <v>0.34375</v>
      </c>
      <c r="I15" s="211">
        <f>'2° Parcial'!J13</f>
        <v>46344</v>
      </c>
      <c r="J15" s="212">
        <f>'2° Parcial'!K13</f>
        <v>0.34375</v>
      </c>
      <c r="K15" s="213">
        <f>Ex.Final!I13</f>
        <v>46365</v>
      </c>
      <c r="L15" s="214">
        <f>Ex.Final!J13</f>
        <v>0.34375</v>
      </c>
      <c r="M15" s="209">
        <f>'1° Parcial'!O13</f>
        <v>46281</v>
      </c>
      <c r="N15" s="215">
        <f>'1° Parcial'!P13</f>
        <v>0.34375</v>
      </c>
      <c r="O15" s="215" t="str">
        <f>'1° Parcial'!Q13</f>
        <v>A</v>
      </c>
      <c r="P15" s="216" t="str">
        <f>'1° Parcial'!T13</f>
        <v/>
      </c>
      <c r="Q15" s="217" t="str">
        <f>'1° Parcial'!U13</f>
        <v/>
      </c>
      <c r="R15" s="218" t="str">
        <f>'1° Parcial'!V13</f>
        <v/>
      </c>
      <c r="S15" s="219" t="str">
        <f>'1° Parcial'!X13</f>
        <v/>
      </c>
      <c r="T15" s="220">
        <f>'1° Parcial'!Z13</f>
        <v>0.34375</v>
      </c>
      <c r="U15" s="218" t="str">
        <f>'1° Parcial'!AA13</f>
        <v/>
      </c>
      <c r="V15" s="211">
        <f>'2° Parcial'!O13</f>
        <v>46337</v>
      </c>
      <c r="W15" s="212">
        <f>'2° Parcial'!P13</f>
        <v>0.34375</v>
      </c>
      <c r="X15" s="212" t="str">
        <f>'2° Parcial'!Q13</f>
        <v>A</v>
      </c>
      <c r="Y15" s="221">
        <f>'2° Parcial'!T13</f>
        <v>56</v>
      </c>
      <c r="Z15" s="222" t="str">
        <f>'2° Parcial'!U13</f>
        <v/>
      </c>
      <c r="AA15" s="223" t="str">
        <f>'2° Parcial'!V13</f>
        <v/>
      </c>
      <c r="AB15" s="224">
        <f>'2° Parcial'!Y13</f>
        <v>46344</v>
      </c>
      <c r="AC15" s="225">
        <f>'2° Parcial'!Z13</f>
        <v>0.34375</v>
      </c>
      <c r="AD15" s="223" t="str">
        <f>'2° Parcial'!AA13</f>
        <v/>
      </c>
      <c r="AE15" s="213">
        <f>Ex.Final!I13</f>
        <v>46365</v>
      </c>
      <c r="AF15" s="214">
        <f>Ex.Final!J13</f>
        <v>0.34375</v>
      </c>
      <c r="AG15" s="214" t="str">
        <f>Ex.Final!O13</f>
        <v/>
      </c>
      <c r="AH15" s="226">
        <f>Ex.Final!Q13</f>
        <v>77</v>
      </c>
      <c r="AI15" s="227" t="str">
        <f>Ex.Final!R13</f>
        <v/>
      </c>
      <c r="AJ15" s="227" t="str">
        <f>Ex.Final!S13</f>
        <v/>
      </c>
      <c r="AK15" s="228">
        <f>Ex.Final!U13</f>
        <v>46365</v>
      </c>
      <c r="AL15" s="227">
        <f>Ex.Final!V13</f>
        <v>0.34375</v>
      </c>
      <c r="AM15" s="227" t="str">
        <f>Ex.Final!W13</f>
        <v/>
      </c>
      <c r="AN15" s="229">
        <f>'2° Instancia'!I13</f>
        <v>46373</v>
      </c>
      <c r="AO15" s="230">
        <f>'2° Instancia'!J13</f>
        <v>0.78125</v>
      </c>
      <c r="AP15" s="124"/>
    </row>
    <row r="16">
      <c r="A16" s="90"/>
      <c r="B16" s="96" t="str">
        <f>'1° Parcial'!B14</f>
        <v>INGLÉS TÉCNICO I</v>
      </c>
      <c r="C16" s="99" t="str">
        <f>'1° Parcial'!C14</f>
        <v>SIS-115</v>
      </c>
      <c r="D16" s="100" t="str">
        <f>'1° Parcial'!D14</f>
        <v>1º </v>
      </c>
      <c r="E16" s="100" t="str">
        <f>'1° Parcial'!E14</f>
        <v>TA-01</v>
      </c>
      <c r="F16" s="103" t="str">
        <f>'1° Parcial'!F14</f>
        <v>KARINA PAOLA LOPEZ ECHEVERRIA</v>
      </c>
      <c r="G16" s="209">
        <f>'1° Parcial'!J14</f>
        <v>46280</v>
      </c>
      <c r="H16" s="210">
        <f>'1° Parcial'!K14</f>
        <v>0.34375</v>
      </c>
      <c r="I16" s="211">
        <f>'2° Parcial'!J14</f>
        <v>46336</v>
      </c>
      <c r="J16" s="212">
        <f>'2° Parcial'!K14</f>
        <v>0.34375</v>
      </c>
      <c r="K16" s="213">
        <f>Ex.Final!I14</f>
        <v>46357</v>
      </c>
      <c r="L16" s="214">
        <f>Ex.Final!J14</f>
        <v>0.34375</v>
      </c>
      <c r="M16" s="209">
        <f>'1° Parcial'!O14</f>
        <v>46273</v>
      </c>
      <c r="N16" s="215">
        <f>'1° Parcial'!P14</f>
        <v>0.34375</v>
      </c>
      <c r="O16" s="215" t="str">
        <f>'1° Parcial'!Q14</f>
        <v>A</v>
      </c>
      <c r="P16" s="216" t="str">
        <f>'1° Parcial'!T14</f>
        <v/>
      </c>
      <c r="Q16" s="217" t="str">
        <f>'1° Parcial'!U14</f>
        <v/>
      </c>
      <c r="R16" s="218" t="str">
        <f>'1° Parcial'!V14</f>
        <v/>
      </c>
      <c r="S16" s="219" t="str">
        <f>'1° Parcial'!X14</f>
        <v/>
      </c>
      <c r="T16" s="220">
        <f>'1° Parcial'!Z14</f>
        <v>0.34375</v>
      </c>
      <c r="U16" s="218" t="str">
        <f>'1° Parcial'!AA14</f>
        <v/>
      </c>
      <c r="V16" s="211">
        <f>'2° Parcial'!O14</f>
        <v>46329</v>
      </c>
      <c r="W16" s="212">
        <f>'2° Parcial'!P14</f>
        <v>0.34375</v>
      </c>
      <c r="X16" s="212" t="str">
        <f>'2° Parcial'!Q14</f>
        <v>A</v>
      </c>
      <c r="Y16" s="221">
        <f>'2° Parcial'!T14</f>
        <v>56</v>
      </c>
      <c r="Z16" s="222" t="str">
        <f>'2° Parcial'!U14</f>
        <v/>
      </c>
      <c r="AA16" s="223" t="str">
        <f>'2° Parcial'!V14</f>
        <v/>
      </c>
      <c r="AB16" s="224">
        <f>'2° Parcial'!Y14</f>
        <v>46336</v>
      </c>
      <c r="AC16" s="225">
        <f>'2° Parcial'!Z14</f>
        <v>0.34375</v>
      </c>
      <c r="AD16" s="223" t="str">
        <f>'2° Parcial'!AA14</f>
        <v/>
      </c>
      <c r="AE16" s="213">
        <f>Ex.Final!I14</f>
        <v>46357</v>
      </c>
      <c r="AF16" s="214">
        <f>Ex.Final!J14</f>
        <v>0.34375</v>
      </c>
      <c r="AG16" s="214" t="str">
        <f>Ex.Final!O14</f>
        <v/>
      </c>
      <c r="AH16" s="226">
        <f>Ex.Final!Q14</f>
        <v>77</v>
      </c>
      <c r="AI16" s="227" t="str">
        <f>Ex.Final!R14</f>
        <v/>
      </c>
      <c r="AJ16" s="227" t="str">
        <f>Ex.Final!S14</f>
        <v/>
      </c>
      <c r="AK16" s="228">
        <f>Ex.Final!U14</f>
        <v>46357</v>
      </c>
      <c r="AL16" s="227">
        <f>Ex.Final!V14</f>
        <v>0.34375</v>
      </c>
      <c r="AM16" s="227" t="str">
        <f>Ex.Final!W14</f>
        <v/>
      </c>
      <c r="AN16" s="229">
        <f>'2° Instancia'!I14</f>
        <v>46373</v>
      </c>
      <c r="AO16" s="230">
        <f>'2° Instancia'!J14</f>
        <v>0.78125</v>
      </c>
      <c r="AP16" s="124"/>
    </row>
    <row r="17">
      <c r="A17" s="90"/>
      <c r="B17" s="96" t="str">
        <f>'1° Parcial'!B15</f>
        <v>INTRODUCCIÓN A LAS CIENCIAS DE LA COMPUTACIÓN</v>
      </c>
      <c r="C17" s="99" t="str">
        <f>'1° Parcial'!C15</f>
        <v>SIS-116</v>
      </c>
      <c r="D17" s="100" t="str">
        <f>'1° Parcial'!D15</f>
        <v>1º </v>
      </c>
      <c r="E17" s="100" t="str">
        <f>'1° Parcial'!E15</f>
        <v>TA-01</v>
      </c>
      <c r="F17" s="103" t="str">
        <f>'1° Parcial'!F15</f>
        <v>WALTER JOSE CAZAS CASTRO</v>
      </c>
      <c r="G17" s="209">
        <f>'1° Parcial'!J15</f>
        <v>46282</v>
      </c>
      <c r="H17" s="210">
        <f>'1° Parcial'!K15</f>
        <v>0.40625</v>
      </c>
      <c r="I17" s="211">
        <f>'2° Parcial'!J15</f>
        <v>46338</v>
      </c>
      <c r="J17" s="212">
        <f>'2° Parcial'!K15</f>
        <v>0.40625</v>
      </c>
      <c r="K17" s="213">
        <f>Ex.Final!I15</f>
        <v>46359</v>
      </c>
      <c r="L17" s="214">
        <f>Ex.Final!J15</f>
        <v>0.40625</v>
      </c>
      <c r="M17" s="209">
        <f>'1° Parcial'!O15</f>
        <v>46275</v>
      </c>
      <c r="N17" s="215">
        <f>'1° Parcial'!P15</f>
        <v>0.40625</v>
      </c>
      <c r="O17" s="215" t="str">
        <f>'1° Parcial'!Q15</f>
        <v>A</v>
      </c>
      <c r="P17" s="216" t="str">
        <f>'1° Parcial'!T15</f>
        <v/>
      </c>
      <c r="Q17" s="217" t="str">
        <f>'1° Parcial'!U15</f>
        <v/>
      </c>
      <c r="R17" s="218" t="str">
        <f>'1° Parcial'!V15</f>
        <v/>
      </c>
      <c r="S17" s="219" t="str">
        <f>'1° Parcial'!X15</f>
        <v/>
      </c>
      <c r="T17" s="220">
        <f>'1° Parcial'!Z15</f>
        <v>0.40625</v>
      </c>
      <c r="U17" s="218" t="str">
        <f>'1° Parcial'!AA15</f>
        <v/>
      </c>
      <c r="V17" s="211">
        <f>'2° Parcial'!O15</f>
        <v>46331</v>
      </c>
      <c r="W17" s="212">
        <f>'2° Parcial'!P15</f>
        <v>0.40625</v>
      </c>
      <c r="X17" s="212" t="str">
        <f>'2° Parcial'!Q15</f>
        <v>A</v>
      </c>
      <c r="Y17" s="221">
        <f>'2° Parcial'!T15</f>
        <v>56</v>
      </c>
      <c r="Z17" s="222" t="str">
        <f>'2° Parcial'!U15</f>
        <v/>
      </c>
      <c r="AA17" s="223" t="str">
        <f>'2° Parcial'!V15</f>
        <v/>
      </c>
      <c r="AB17" s="224">
        <f>'2° Parcial'!Y15</f>
        <v>46338</v>
      </c>
      <c r="AC17" s="225">
        <f>'2° Parcial'!Z15</f>
        <v>0.40625</v>
      </c>
      <c r="AD17" s="223" t="str">
        <f>'2° Parcial'!AA15</f>
        <v/>
      </c>
      <c r="AE17" s="213">
        <f>Ex.Final!I15</f>
        <v>46359</v>
      </c>
      <c r="AF17" s="214">
        <f>Ex.Final!J15</f>
        <v>0.40625</v>
      </c>
      <c r="AG17" s="214" t="str">
        <f>Ex.Final!O15</f>
        <v/>
      </c>
      <c r="AH17" s="226">
        <f>Ex.Final!Q15</f>
        <v>77</v>
      </c>
      <c r="AI17" s="227" t="str">
        <f>Ex.Final!R15</f>
        <v/>
      </c>
      <c r="AJ17" s="227" t="str">
        <f>Ex.Final!S15</f>
        <v/>
      </c>
      <c r="AK17" s="228">
        <f>Ex.Final!U15</f>
        <v>46359</v>
      </c>
      <c r="AL17" s="227">
        <f>Ex.Final!V15</f>
        <v>0.40625</v>
      </c>
      <c r="AM17" s="227" t="str">
        <f>Ex.Final!W15</f>
        <v/>
      </c>
      <c r="AN17" s="229">
        <f>'2° Instancia'!I15</f>
        <v>46373</v>
      </c>
      <c r="AO17" s="230">
        <f>'2° Instancia'!J15</f>
        <v>0.71875</v>
      </c>
      <c r="AP17" s="124"/>
    </row>
    <row r="18">
      <c r="A18" s="90"/>
      <c r="B18" s="96" t="str">
        <f>'1° Parcial'!B16</f>
        <v>CALCULO II</v>
      </c>
      <c r="C18" s="99" t="str">
        <f>'1° Parcial'!C16</f>
        <v>SIS-121</v>
      </c>
      <c r="D18" s="100" t="str">
        <f>'1° Parcial'!D16</f>
        <v>2º </v>
      </c>
      <c r="E18" s="100" t="str">
        <f>'1° Parcial'!E16</f>
        <v>TA-01</v>
      </c>
      <c r="F18" s="103" t="str">
        <f>'1° Parcial'!F16</f>
        <v>EDSON LUIS BASCOPE GALARZA</v>
      </c>
      <c r="G18" s="209">
        <f>'1° Parcial'!J16</f>
        <v>46283</v>
      </c>
      <c r="H18" s="210">
        <f>'1° Parcial'!K16</f>
        <v>0.34375</v>
      </c>
      <c r="I18" s="211">
        <f>'2° Parcial'!J16</f>
        <v>46339</v>
      </c>
      <c r="J18" s="212">
        <f>'2° Parcial'!K16</f>
        <v>0.34375</v>
      </c>
      <c r="K18" s="213">
        <f>Ex.Final!I16</f>
        <v>46360</v>
      </c>
      <c r="L18" s="214">
        <f>Ex.Final!J16</f>
        <v>0.34375</v>
      </c>
      <c r="M18" s="209">
        <f>'1° Parcial'!O16</f>
        <v>46276</v>
      </c>
      <c r="N18" s="215">
        <f>'1° Parcial'!P16</f>
        <v>0.34375</v>
      </c>
      <c r="O18" s="215" t="str">
        <f>'1° Parcial'!Q16</f>
        <v>A</v>
      </c>
      <c r="P18" s="216" t="str">
        <f>'1° Parcial'!T16</f>
        <v/>
      </c>
      <c r="Q18" s="217" t="str">
        <f>'1° Parcial'!U16</f>
        <v/>
      </c>
      <c r="R18" s="218" t="str">
        <f>'1° Parcial'!V16</f>
        <v/>
      </c>
      <c r="S18" s="219" t="str">
        <f>'1° Parcial'!X16</f>
        <v/>
      </c>
      <c r="T18" s="220">
        <f>'1° Parcial'!Z16</f>
        <v>0.34375</v>
      </c>
      <c r="U18" s="218" t="str">
        <f>'1° Parcial'!AA16</f>
        <v/>
      </c>
      <c r="V18" s="211">
        <f>'2° Parcial'!O16</f>
        <v>46332</v>
      </c>
      <c r="W18" s="212">
        <f>'2° Parcial'!P16</f>
        <v>0.34375</v>
      </c>
      <c r="X18" s="212" t="str">
        <f>'2° Parcial'!Q16</f>
        <v>A</v>
      </c>
      <c r="Y18" s="221">
        <f>'2° Parcial'!T16</f>
        <v>56</v>
      </c>
      <c r="Z18" s="222" t="str">
        <f>'2° Parcial'!U16</f>
        <v/>
      </c>
      <c r="AA18" s="223" t="str">
        <f>'2° Parcial'!V16</f>
        <v/>
      </c>
      <c r="AB18" s="224">
        <f>'2° Parcial'!Y16</f>
        <v>46339</v>
      </c>
      <c r="AC18" s="225">
        <f>'2° Parcial'!Z16</f>
        <v>0.34375</v>
      </c>
      <c r="AD18" s="223" t="str">
        <f>'2° Parcial'!AA16</f>
        <v/>
      </c>
      <c r="AE18" s="213">
        <f>Ex.Final!I16</f>
        <v>46360</v>
      </c>
      <c r="AF18" s="214">
        <f>Ex.Final!J16</f>
        <v>0.34375</v>
      </c>
      <c r="AG18" s="214" t="str">
        <f>Ex.Final!O16</f>
        <v/>
      </c>
      <c r="AH18" s="226">
        <f>Ex.Final!Q16</f>
        <v>77</v>
      </c>
      <c r="AI18" s="227" t="str">
        <f>Ex.Final!R16</f>
        <v/>
      </c>
      <c r="AJ18" s="227" t="str">
        <f>Ex.Final!S16</f>
        <v/>
      </c>
      <c r="AK18" s="228">
        <f>Ex.Final!U16</f>
        <v>46360</v>
      </c>
      <c r="AL18" s="227">
        <f>Ex.Final!V16</f>
        <v>0.34375</v>
      </c>
      <c r="AM18" s="227" t="str">
        <f>Ex.Final!W16</f>
        <v/>
      </c>
      <c r="AN18" s="229">
        <f>'2° Instancia'!I16</f>
        <v>46373</v>
      </c>
      <c r="AO18" s="230">
        <f>'2° Instancia'!J16</f>
        <v>0.78125</v>
      </c>
      <c r="AP18" s="124"/>
    </row>
    <row r="19">
      <c r="A19" s="90"/>
      <c r="B19" s="96" t="str">
        <f>'1° Parcial'!B17</f>
        <v>FÍSICA II</v>
      </c>
      <c r="C19" s="99" t="str">
        <f>'1° Parcial'!C17</f>
        <v>SIS-122</v>
      </c>
      <c r="D19" s="100" t="str">
        <f>'1° Parcial'!D17</f>
        <v>2º </v>
      </c>
      <c r="E19" s="100" t="str">
        <f>'1° Parcial'!E17</f>
        <v>TA-01</v>
      </c>
      <c r="F19" s="103" t="str">
        <f>'1° Parcial'!F17</f>
        <v>JOSE DAVID QUIÑONES COCA</v>
      </c>
      <c r="G19" s="209">
        <f>'1° Parcial'!J17</f>
        <v>46280</v>
      </c>
      <c r="H19" s="210">
        <f>'1° Parcial'!K17</f>
        <v>0.46875</v>
      </c>
      <c r="I19" s="211">
        <f>'2° Parcial'!J17</f>
        <v>46336</v>
      </c>
      <c r="J19" s="212">
        <f>'2° Parcial'!K17</f>
        <v>0.46875</v>
      </c>
      <c r="K19" s="213">
        <f>Ex.Final!I17</f>
        <v>46357</v>
      </c>
      <c r="L19" s="214">
        <f>Ex.Final!J17</f>
        <v>0.46875</v>
      </c>
      <c r="M19" s="209">
        <f>'1° Parcial'!O17</f>
        <v>46273</v>
      </c>
      <c r="N19" s="215">
        <f>'1° Parcial'!P17</f>
        <v>0.46875</v>
      </c>
      <c r="O19" s="215" t="str">
        <f>'1° Parcial'!Q17</f>
        <v>A</v>
      </c>
      <c r="P19" s="216" t="str">
        <f>'1° Parcial'!T17</f>
        <v/>
      </c>
      <c r="Q19" s="217" t="str">
        <f>'1° Parcial'!U17</f>
        <v/>
      </c>
      <c r="R19" s="218" t="str">
        <f>'1° Parcial'!V17</f>
        <v/>
      </c>
      <c r="S19" s="219" t="str">
        <f>'1° Parcial'!X17</f>
        <v/>
      </c>
      <c r="T19" s="220">
        <f>'1° Parcial'!Z17</f>
        <v>0.46875</v>
      </c>
      <c r="U19" s="218" t="str">
        <f>'1° Parcial'!AA17</f>
        <v/>
      </c>
      <c r="V19" s="211">
        <f>'2° Parcial'!O17</f>
        <v>46329</v>
      </c>
      <c r="W19" s="212">
        <f>'2° Parcial'!P17</f>
        <v>0.46875</v>
      </c>
      <c r="X19" s="212" t="str">
        <f>'2° Parcial'!Q17</f>
        <v>A</v>
      </c>
      <c r="Y19" s="221">
        <f>'2° Parcial'!T17</f>
        <v>56</v>
      </c>
      <c r="Z19" s="222" t="str">
        <f>'2° Parcial'!U17</f>
        <v/>
      </c>
      <c r="AA19" s="223" t="str">
        <f>'2° Parcial'!V17</f>
        <v/>
      </c>
      <c r="AB19" s="224">
        <f>'2° Parcial'!Y17</f>
        <v>46336</v>
      </c>
      <c r="AC19" s="225">
        <f>'2° Parcial'!Z17</f>
        <v>0.46875</v>
      </c>
      <c r="AD19" s="223" t="str">
        <f>'2° Parcial'!AA17</f>
        <v/>
      </c>
      <c r="AE19" s="213">
        <f>Ex.Final!I17</f>
        <v>46357</v>
      </c>
      <c r="AF19" s="214">
        <f>Ex.Final!J17</f>
        <v>0.46875</v>
      </c>
      <c r="AG19" s="214" t="str">
        <f>Ex.Final!O17</f>
        <v/>
      </c>
      <c r="AH19" s="226">
        <f>Ex.Final!Q17</f>
        <v>77</v>
      </c>
      <c r="AI19" s="227" t="str">
        <f>Ex.Final!R17</f>
        <v/>
      </c>
      <c r="AJ19" s="227" t="str">
        <f>Ex.Final!S17</f>
        <v/>
      </c>
      <c r="AK19" s="228">
        <f>Ex.Final!U17</f>
        <v>46357</v>
      </c>
      <c r="AL19" s="227">
        <f>Ex.Final!V17</f>
        <v>0.46875</v>
      </c>
      <c r="AM19" s="227" t="str">
        <f>Ex.Final!W17</f>
        <v/>
      </c>
      <c r="AN19" s="229">
        <f>'2° Instancia'!I17</f>
        <v>46373</v>
      </c>
      <c r="AO19" s="230">
        <f>'2° Instancia'!J17</f>
        <v>0.84375</v>
      </c>
      <c r="AP19" s="124"/>
    </row>
    <row r="20">
      <c r="A20" s="90"/>
      <c r="B20" s="96" t="str">
        <f>'1° Parcial'!B18</f>
        <v>PROGRAMACIÓN II</v>
      </c>
      <c r="C20" s="99" t="str">
        <f>'1° Parcial'!C18</f>
        <v>SIS-123</v>
      </c>
      <c r="D20" s="100" t="str">
        <f>'1° Parcial'!D18</f>
        <v>2º </v>
      </c>
      <c r="E20" s="100" t="str">
        <f>'1° Parcial'!E18</f>
        <v>TA-01</v>
      </c>
      <c r="F20" s="103" t="str">
        <f>'1° Parcial'!F18</f>
        <v>ROSMERY LUIZAGA SALINAS</v>
      </c>
      <c r="G20" s="209">
        <f>'1° Parcial'!J18</f>
        <v>46287</v>
      </c>
      <c r="H20" s="210">
        <f>'1° Parcial'!K18</f>
        <v>0.34375</v>
      </c>
      <c r="I20" s="211">
        <f>'2° Parcial'!J18</f>
        <v>46343</v>
      </c>
      <c r="J20" s="212">
        <f>'2° Parcial'!K18</f>
        <v>0.34375</v>
      </c>
      <c r="K20" s="213">
        <f>Ex.Final!I18</f>
        <v>46364</v>
      </c>
      <c r="L20" s="214">
        <f>Ex.Final!J18</f>
        <v>0.34375</v>
      </c>
      <c r="M20" s="209">
        <f>'1° Parcial'!O18</f>
        <v>46280</v>
      </c>
      <c r="N20" s="215">
        <f>'1° Parcial'!P18</f>
        <v>0.34375</v>
      </c>
      <c r="O20" s="215" t="str">
        <f>'1° Parcial'!Q18</f>
        <v>A</v>
      </c>
      <c r="P20" s="216" t="str">
        <f>'1° Parcial'!T18</f>
        <v/>
      </c>
      <c r="Q20" s="217" t="str">
        <f>'1° Parcial'!U18</f>
        <v/>
      </c>
      <c r="R20" s="218" t="str">
        <f>'1° Parcial'!V18</f>
        <v/>
      </c>
      <c r="S20" s="219" t="str">
        <f>'1° Parcial'!X18</f>
        <v/>
      </c>
      <c r="T20" s="220">
        <f>'1° Parcial'!Z18</f>
        <v>0.34375</v>
      </c>
      <c r="U20" s="218" t="str">
        <f>'1° Parcial'!AA18</f>
        <v/>
      </c>
      <c r="V20" s="211">
        <f>'2° Parcial'!O18</f>
        <v>46336</v>
      </c>
      <c r="W20" s="212">
        <f>'2° Parcial'!P18</f>
        <v>0.34375</v>
      </c>
      <c r="X20" s="212" t="str">
        <f>'2° Parcial'!Q18</f>
        <v>A</v>
      </c>
      <c r="Y20" s="221">
        <f>'2° Parcial'!T18</f>
        <v>56</v>
      </c>
      <c r="Z20" s="222" t="str">
        <f>'2° Parcial'!U18</f>
        <v/>
      </c>
      <c r="AA20" s="223" t="str">
        <f>'2° Parcial'!V18</f>
        <v/>
      </c>
      <c r="AB20" s="224">
        <f>'2° Parcial'!Y18</f>
        <v>46343</v>
      </c>
      <c r="AC20" s="225">
        <f>'2° Parcial'!Z18</f>
        <v>0.34375</v>
      </c>
      <c r="AD20" s="223" t="str">
        <f>'2° Parcial'!AA18</f>
        <v/>
      </c>
      <c r="AE20" s="213">
        <f>Ex.Final!I18</f>
        <v>46364</v>
      </c>
      <c r="AF20" s="214">
        <f>Ex.Final!J18</f>
        <v>0.34375</v>
      </c>
      <c r="AG20" s="214" t="str">
        <f>Ex.Final!O18</f>
        <v/>
      </c>
      <c r="AH20" s="226">
        <f>Ex.Final!Q18</f>
        <v>77</v>
      </c>
      <c r="AI20" s="227" t="str">
        <f>Ex.Final!R18</f>
        <v/>
      </c>
      <c r="AJ20" s="227" t="str">
        <f>Ex.Final!S18</f>
        <v/>
      </c>
      <c r="AK20" s="228">
        <f>Ex.Final!U18</f>
        <v>46364</v>
      </c>
      <c r="AL20" s="227">
        <f>Ex.Final!V18</f>
        <v>0.34375</v>
      </c>
      <c r="AM20" s="227" t="str">
        <f>Ex.Final!W18</f>
        <v/>
      </c>
      <c r="AN20" s="229">
        <f>'2° Instancia'!I18</f>
        <v>46373</v>
      </c>
      <c r="AO20" s="230">
        <f>'2° Instancia'!J18</f>
        <v>0.78125</v>
      </c>
      <c r="AP20" s="124"/>
    </row>
    <row r="21">
      <c r="A21" s="90"/>
      <c r="B21" s="96" t="str">
        <f>'1° Parcial'!B19</f>
        <v>ÁLGEBRA LINEAL</v>
      </c>
      <c r="C21" s="99" t="str">
        <f>'1° Parcial'!C19</f>
        <v>SIS-124</v>
      </c>
      <c r="D21" s="100" t="str">
        <f>'1° Parcial'!D19</f>
        <v>2º </v>
      </c>
      <c r="E21" s="100" t="str">
        <f>'1° Parcial'!E19</f>
        <v>TA-01</v>
      </c>
      <c r="F21" s="103" t="str">
        <f>'1° Parcial'!F19</f>
        <v>XIMENA WENDY CALIZAYA PEREZ</v>
      </c>
      <c r="G21" s="209">
        <f>'1° Parcial'!J19</f>
        <v>46293</v>
      </c>
      <c r="H21" s="210">
        <f>'1° Parcial'!K19</f>
        <v>0.46875</v>
      </c>
      <c r="I21" s="211">
        <f>'2° Parcial'!J19</f>
        <v>46349</v>
      </c>
      <c r="J21" s="212">
        <f>'2° Parcial'!K19</f>
        <v>0.46875</v>
      </c>
      <c r="K21" s="213">
        <f>Ex.Final!I19</f>
        <v>46370</v>
      </c>
      <c r="L21" s="214">
        <f>Ex.Final!J19</f>
        <v>0.46875</v>
      </c>
      <c r="M21" s="209">
        <f>'1° Parcial'!O19</f>
        <v>46286</v>
      </c>
      <c r="N21" s="215">
        <f>'1° Parcial'!P19</f>
        <v>0.46875</v>
      </c>
      <c r="O21" s="215" t="str">
        <f>'1° Parcial'!Q19</f>
        <v>A</v>
      </c>
      <c r="P21" s="216" t="str">
        <f>'1° Parcial'!T19</f>
        <v/>
      </c>
      <c r="Q21" s="217" t="str">
        <f>'1° Parcial'!U19</f>
        <v/>
      </c>
      <c r="R21" s="218" t="str">
        <f>'1° Parcial'!V19</f>
        <v/>
      </c>
      <c r="S21" s="219" t="str">
        <f>'1° Parcial'!X19</f>
        <v/>
      </c>
      <c r="T21" s="220">
        <f>'1° Parcial'!Z19</f>
        <v>0.46875</v>
      </c>
      <c r="U21" s="218" t="str">
        <f>'1° Parcial'!AA19</f>
        <v/>
      </c>
      <c r="V21" s="211">
        <f>'2° Parcial'!O19</f>
        <v>46342</v>
      </c>
      <c r="W21" s="212">
        <f>'2° Parcial'!P19</f>
        <v>0.46875</v>
      </c>
      <c r="X21" s="212" t="str">
        <f>'2° Parcial'!Q19</f>
        <v>A</v>
      </c>
      <c r="Y21" s="221">
        <f>'2° Parcial'!T19</f>
        <v>56</v>
      </c>
      <c r="Z21" s="222" t="str">
        <f>'2° Parcial'!U19</f>
        <v/>
      </c>
      <c r="AA21" s="223" t="str">
        <f>'2° Parcial'!V19</f>
        <v/>
      </c>
      <c r="AB21" s="224">
        <f>'2° Parcial'!Y19</f>
        <v>46349</v>
      </c>
      <c r="AC21" s="225">
        <f>'2° Parcial'!Z19</f>
        <v>0.46875</v>
      </c>
      <c r="AD21" s="223" t="str">
        <f>'2° Parcial'!AA19</f>
        <v/>
      </c>
      <c r="AE21" s="213">
        <f>Ex.Final!I19</f>
        <v>46370</v>
      </c>
      <c r="AF21" s="214">
        <f>Ex.Final!J19</f>
        <v>0.46875</v>
      </c>
      <c r="AG21" s="214" t="str">
        <f>Ex.Final!O19</f>
        <v/>
      </c>
      <c r="AH21" s="226">
        <f>Ex.Final!Q19</f>
        <v>77</v>
      </c>
      <c r="AI21" s="227" t="str">
        <f>Ex.Final!R19</f>
        <v/>
      </c>
      <c r="AJ21" s="227" t="str">
        <f>Ex.Final!S19</f>
        <v/>
      </c>
      <c r="AK21" s="228">
        <f>Ex.Final!U19</f>
        <v>46370</v>
      </c>
      <c r="AL21" s="227">
        <f>Ex.Final!V19</f>
        <v>0.46875</v>
      </c>
      <c r="AM21" s="227" t="str">
        <f>Ex.Final!W19</f>
        <v/>
      </c>
      <c r="AN21" s="229">
        <f>'2° Instancia'!I19</f>
        <v>46373</v>
      </c>
      <c r="AO21" s="230">
        <f>'2° Instancia'!J19</f>
        <v>0.78125</v>
      </c>
      <c r="AP21" s="124"/>
    </row>
    <row r="22">
      <c r="A22" s="90"/>
      <c r="B22" s="96" t="str">
        <f>'1° Parcial'!B20</f>
        <v>INGLÉS TÉCNICO II</v>
      </c>
      <c r="C22" s="99" t="str">
        <f>'1° Parcial'!C20</f>
        <v>SIS-125</v>
      </c>
      <c r="D22" s="100" t="str">
        <f>'1° Parcial'!D20</f>
        <v>2º </v>
      </c>
      <c r="E22" s="100" t="str">
        <f>'1° Parcial'!E20</f>
        <v>TA-01</v>
      </c>
      <c r="F22" s="103" t="str">
        <f>'1° Parcial'!F20</f>
        <v>KARINA PAOLA LOPEZ ECHEVERRIA</v>
      </c>
      <c r="G22" s="209">
        <f>'1° Parcial'!J20</f>
        <v>46289</v>
      </c>
      <c r="H22" s="210">
        <f>'1° Parcial'!K20</f>
        <v>0.40625</v>
      </c>
      <c r="I22" s="211">
        <f>'2° Parcial'!J20</f>
        <v>46345</v>
      </c>
      <c r="J22" s="212">
        <f>'2° Parcial'!K20</f>
        <v>0.40625</v>
      </c>
      <c r="K22" s="213">
        <f>Ex.Final!I20</f>
        <v>46366</v>
      </c>
      <c r="L22" s="214">
        <f>Ex.Final!J20</f>
        <v>0.40625</v>
      </c>
      <c r="M22" s="209">
        <f>'1° Parcial'!O20</f>
        <v>46282</v>
      </c>
      <c r="N22" s="215">
        <f>'1° Parcial'!P20</f>
        <v>0.40625</v>
      </c>
      <c r="O22" s="215" t="str">
        <f>'1° Parcial'!Q20</f>
        <v>A</v>
      </c>
      <c r="P22" s="216" t="str">
        <f>'1° Parcial'!T20</f>
        <v/>
      </c>
      <c r="Q22" s="217" t="str">
        <f>'1° Parcial'!U20</f>
        <v/>
      </c>
      <c r="R22" s="218" t="str">
        <f>'1° Parcial'!V20</f>
        <v/>
      </c>
      <c r="S22" s="219" t="str">
        <f>'1° Parcial'!X20</f>
        <v/>
      </c>
      <c r="T22" s="220">
        <f>'1° Parcial'!Z20</f>
        <v>0.40625</v>
      </c>
      <c r="U22" s="218" t="str">
        <f>'1° Parcial'!AA20</f>
        <v/>
      </c>
      <c r="V22" s="211">
        <f>'2° Parcial'!O20</f>
        <v>46338</v>
      </c>
      <c r="W22" s="212">
        <f>'2° Parcial'!P20</f>
        <v>0.40625</v>
      </c>
      <c r="X22" s="212" t="str">
        <f>'2° Parcial'!Q20</f>
        <v>A</v>
      </c>
      <c r="Y22" s="221">
        <f>'2° Parcial'!T20</f>
        <v>56</v>
      </c>
      <c r="Z22" s="222" t="str">
        <f>'2° Parcial'!U20</f>
        <v/>
      </c>
      <c r="AA22" s="223" t="str">
        <f>'2° Parcial'!V20</f>
        <v/>
      </c>
      <c r="AB22" s="224">
        <f>'2° Parcial'!Y20</f>
        <v>46345</v>
      </c>
      <c r="AC22" s="225">
        <f>'2° Parcial'!Z20</f>
        <v>0.40625</v>
      </c>
      <c r="AD22" s="223" t="str">
        <f>'2° Parcial'!AA20</f>
        <v/>
      </c>
      <c r="AE22" s="213">
        <f>Ex.Final!I20</f>
        <v>46366</v>
      </c>
      <c r="AF22" s="214">
        <f>Ex.Final!J20</f>
        <v>0.40625</v>
      </c>
      <c r="AG22" s="214" t="str">
        <f>Ex.Final!O20</f>
        <v/>
      </c>
      <c r="AH22" s="226">
        <f>Ex.Final!Q20</f>
        <v>77</v>
      </c>
      <c r="AI22" s="227" t="str">
        <f>Ex.Final!R20</f>
        <v/>
      </c>
      <c r="AJ22" s="227" t="str">
        <f>Ex.Final!S20</f>
        <v/>
      </c>
      <c r="AK22" s="228">
        <f>Ex.Final!U20</f>
        <v>46366</v>
      </c>
      <c r="AL22" s="227">
        <f>Ex.Final!V20</f>
        <v>0.40625</v>
      </c>
      <c r="AM22" s="227" t="str">
        <f>Ex.Final!W20</f>
        <v/>
      </c>
      <c r="AN22" s="229">
        <f>'2° Instancia'!I20</f>
        <v>46373</v>
      </c>
      <c r="AO22" s="230">
        <f>'2° Instancia'!J20</f>
        <v>0.71875</v>
      </c>
      <c r="AP22" s="124"/>
    </row>
    <row r="23">
      <c r="A23" s="90"/>
      <c r="B23" s="96" t="str">
        <f>'1° Parcial'!B21</f>
        <v>TALLER DE PROGRAMACIÓN I</v>
      </c>
      <c r="C23" s="99" t="str">
        <f>'1° Parcial'!C21</f>
        <v>SIS-126</v>
      </c>
      <c r="D23" s="100" t="str">
        <f>'1° Parcial'!D21</f>
        <v>2º </v>
      </c>
      <c r="E23" s="100" t="str">
        <f>'1° Parcial'!E21</f>
        <v>TA-01</v>
      </c>
      <c r="F23" s="103" t="str">
        <f>'1° Parcial'!F21</f>
        <v>JANETH GIOVANA ALANEZ VILLEGAS</v>
      </c>
      <c r="G23" s="209">
        <f>'1° Parcial'!J21</f>
        <v>46291</v>
      </c>
      <c r="H23" s="210">
        <f>'1° Parcial'!K21</f>
        <v>0.34375</v>
      </c>
      <c r="I23" s="211">
        <f>'2° Parcial'!J21</f>
        <v>46347</v>
      </c>
      <c r="J23" s="212">
        <f>'2° Parcial'!K21</f>
        <v>0.34375</v>
      </c>
      <c r="K23" s="213">
        <f>Ex.Final!I21</f>
        <v>46368</v>
      </c>
      <c r="L23" s="214">
        <f>Ex.Final!J21</f>
        <v>0.34375</v>
      </c>
      <c r="M23" s="209">
        <f>'1° Parcial'!O21</f>
        <v>46284</v>
      </c>
      <c r="N23" s="215">
        <f>'1° Parcial'!P21</f>
        <v>0.34375</v>
      </c>
      <c r="O23" s="215" t="str">
        <f>'1° Parcial'!Q21</f>
        <v>A</v>
      </c>
      <c r="P23" s="216" t="str">
        <f>'1° Parcial'!T21</f>
        <v/>
      </c>
      <c r="Q23" s="217" t="str">
        <f>'1° Parcial'!U21</f>
        <v/>
      </c>
      <c r="R23" s="218" t="str">
        <f>'1° Parcial'!V21</f>
        <v/>
      </c>
      <c r="S23" s="219" t="str">
        <f>'1° Parcial'!X21</f>
        <v/>
      </c>
      <c r="T23" s="220">
        <f>'1° Parcial'!Z21</f>
        <v>0.34375</v>
      </c>
      <c r="U23" s="218" t="str">
        <f>'1° Parcial'!AA21</f>
        <v/>
      </c>
      <c r="V23" s="211">
        <f>'2° Parcial'!O21</f>
        <v>46340</v>
      </c>
      <c r="W23" s="212">
        <f>'2° Parcial'!P21</f>
        <v>0.34375</v>
      </c>
      <c r="X23" s="212" t="str">
        <f>'2° Parcial'!Q21</f>
        <v>A</v>
      </c>
      <c r="Y23" s="221">
        <f>'2° Parcial'!T21</f>
        <v>56</v>
      </c>
      <c r="Z23" s="222" t="str">
        <f>'2° Parcial'!U21</f>
        <v/>
      </c>
      <c r="AA23" s="223" t="str">
        <f>'2° Parcial'!V21</f>
        <v/>
      </c>
      <c r="AB23" s="224">
        <f>'2° Parcial'!Y21</f>
        <v>46347</v>
      </c>
      <c r="AC23" s="225">
        <f>'2° Parcial'!Z21</f>
        <v>0.34375</v>
      </c>
      <c r="AD23" s="223" t="str">
        <f>'2° Parcial'!AA21</f>
        <v/>
      </c>
      <c r="AE23" s="213">
        <f>Ex.Final!I21</f>
        <v>46368</v>
      </c>
      <c r="AF23" s="214">
        <f>Ex.Final!J21</f>
        <v>0.34375</v>
      </c>
      <c r="AG23" s="214" t="str">
        <f>Ex.Final!O21</f>
        <v/>
      </c>
      <c r="AH23" s="226">
        <f>Ex.Final!Q21</f>
        <v>77</v>
      </c>
      <c r="AI23" s="227" t="str">
        <f>Ex.Final!R21</f>
        <v/>
      </c>
      <c r="AJ23" s="227" t="str">
        <f>Ex.Final!S21</f>
        <v/>
      </c>
      <c r="AK23" s="228">
        <f>Ex.Final!U21</f>
        <v>46368</v>
      </c>
      <c r="AL23" s="227">
        <f>Ex.Final!V21</f>
        <v>0.34375</v>
      </c>
      <c r="AM23" s="227" t="str">
        <f>Ex.Final!W21</f>
        <v/>
      </c>
      <c r="AN23" s="229">
        <f>'2° Instancia'!I21</f>
        <v>46373</v>
      </c>
      <c r="AO23" s="230">
        <f>'2° Instancia'!J21</f>
        <v>0.78125</v>
      </c>
      <c r="AP23" s="124"/>
    </row>
    <row r="24">
      <c r="A24" s="90"/>
      <c r="B24" s="96" t="str">
        <f>'1° Parcial'!B22</f>
        <v>DISPOSITIVOS ELECTRÓNICOS</v>
      </c>
      <c r="C24" s="99" t="str">
        <f>'1° Parcial'!C22</f>
        <v>SIS-127</v>
      </c>
      <c r="D24" s="100" t="str">
        <f>'1° Parcial'!D22</f>
        <v>2º </v>
      </c>
      <c r="E24" s="100" t="str">
        <f>'1° Parcial'!E22</f>
        <v>TA-01</v>
      </c>
      <c r="F24" s="103" t="str">
        <f>'1° Parcial'!F22</f>
        <v>EDUARDO CARLOS MOSCOSO RICALDI</v>
      </c>
      <c r="G24" s="209">
        <f>'1° Parcial'!J22</f>
        <v>46281</v>
      </c>
      <c r="H24" s="210">
        <f>'1° Parcial'!K22</f>
        <v>0.34375</v>
      </c>
      <c r="I24" s="211">
        <f>'2° Parcial'!J22</f>
        <v>46337</v>
      </c>
      <c r="J24" s="212">
        <f>'2° Parcial'!K22</f>
        <v>0.34375</v>
      </c>
      <c r="K24" s="213">
        <f>Ex.Final!I22</f>
        <v>46358</v>
      </c>
      <c r="L24" s="214">
        <f>Ex.Final!J22</f>
        <v>0.34375</v>
      </c>
      <c r="M24" s="209">
        <f>'1° Parcial'!O22</f>
        <v>46274</v>
      </c>
      <c r="N24" s="215">
        <f>'1° Parcial'!P22</f>
        <v>0.34375</v>
      </c>
      <c r="O24" s="215" t="str">
        <f>'1° Parcial'!Q22</f>
        <v>A</v>
      </c>
      <c r="P24" s="216" t="str">
        <f>'1° Parcial'!T22</f>
        <v/>
      </c>
      <c r="Q24" s="217" t="str">
        <f>'1° Parcial'!U22</f>
        <v/>
      </c>
      <c r="R24" s="218" t="str">
        <f>'1° Parcial'!V22</f>
        <v/>
      </c>
      <c r="S24" s="219" t="str">
        <f>'1° Parcial'!X22</f>
        <v/>
      </c>
      <c r="T24" s="220">
        <f>'1° Parcial'!Z22</f>
        <v>0.34375</v>
      </c>
      <c r="U24" s="218" t="str">
        <f>'1° Parcial'!AA22</f>
        <v/>
      </c>
      <c r="V24" s="211">
        <f>'2° Parcial'!O22</f>
        <v>46330</v>
      </c>
      <c r="W24" s="212">
        <f>'2° Parcial'!P22</f>
        <v>0.34375</v>
      </c>
      <c r="X24" s="212" t="str">
        <f>'2° Parcial'!Q22</f>
        <v>A</v>
      </c>
      <c r="Y24" s="221">
        <f>'2° Parcial'!T22</f>
        <v>56</v>
      </c>
      <c r="Z24" s="222" t="str">
        <f>'2° Parcial'!U22</f>
        <v/>
      </c>
      <c r="AA24" s="223" t="str">
        <f>'2° Parcial'!V22</f>
        <v/>
      </c>
      <c r="AB24" s="224">
        <f>'2° Parcial'!Y22</f>
        <v>46337</v>
      </c>
      <c r="AC24" s="225">
        <f>'2° Parcial'!Z22</f>
        <v>0.34375</v>
      </c>
      <c r="AD24" s="223" t="str">
        <f>'2° Parcial'!AA22</f>
        <v/>
      </c>
      <c r="AE24" s="213">
        <f>Ex.Final!I22</f>
        <v>46358</v>
      </c>
      <c r="AF24" s="214">
        <f>Ex.Final!J22</f>
        <v>0.34375</v>
      </c>
      <c r="AG24" s="214" t="str">
        <f>Ex.Final!O22</f>
        <v/>
      </c>
      <c r="AH24" s="226">
        <f>Ex.Final!Q22</f>
        <v>77</v>
      </c>
      <c r="AI24" s="227" t="str">
        <f>Ex.Final!R22</f>
        <v/>
      </c>
      <c r="AJ24" s="227" t="str">
        <f>Ex.Final!S22</f>
        <v/>
      </c>
      <c r="AK24" s="228">
        <f>Ex.Final!U22</f>
        <v>46358</v>
      </c>
      <c r="AL24" s="227">
        <f>Ex.Final!V22</f>
        <v>0.34375</v>
      </c>
      <c r="AM24" s="227" t="str">
        <f>Ex.Final!W22</f>
        <v/>
      </c>
      <c r="AN24" s="229">
        <f>'2° Instancia'!I22</f>
        <v>46373</v>
      </c>
      <c r="AO24" s="230">
        <f>'2° Instancia'!J22</f>
        <v>0.84375</v>
      </c>
      <c r="AP24" s="124"/>
    </row>
    <row r="25">
      <c r="A25" s="90"/>
      <c r="B25" s="96" t="str">
        <f>'1° Parcial'!B23</f>
        <v>ECUACIONES DIFERENCIALES</v>
      </c>
      <c r="C25" s="99" t="str">
        <f>'1° Parcial'!C23</f>
        <v>SIS-211</v>
      </c>
      <c r="D25" s="100" t="str">
        <f>'1° Parcial'!D23</f>
        <v>3º </v>
      </c>
      <c r="E25" s="100" t="str">
        <f>'1° Parcial'!E23</f>
        <v>TA-01</v>
      </c>
      <c r="F25" s="103" t="str">
        <f>'1° Parcial'!F23</f>
        <v>MAURICIO QUIROZ LAFUENTE</v>
      </c>
      <c r="G25" s="209">
        <f>'1° Parcial'!J23</f>
        <v>46286</v>
      </c>
      <c r="H25" s="210">
        <f>'1° Parcial'!K23</f>
        <v>0.34375</v>
      </c>
      <c r="I25" s="211">
        <f>'2° Parcial'!J23</f>
        <v>46342</v>
      </c>
      <c r="J25" s="212">
        <f>'2° Parcial'!K23</f>
        <v>0.34375</v>
      </c>
      <c r="K25" s="213">
        <f>Ex.Final!I23</f>
        <v>46363</v>
      </c>
      <c r="L25" s="214">
        <f>Ex.Final!J23</f>
        <v>0.34375</v>
      </c>
      <c r="M25" s="209">
        <f>'1° Parcial'!O23</f>
        <v>46279</v>
      </c>
      <c r="N25" s="215">
        <f>'1° Parcial'!P23</f>
        <v>0.34375</v>
      </c>
      <c r="O25" s="215" t="str">
        <f>'1° Parcial'!Q23</f>
        <v>A</v>
      </c>
      <c r="P25" s="216" t="str">
        <f>'1° Parcial'!T23</f>
        <v/>
      </c>
      <c r="Q25" s="217" t="str">
        <f>'1° Parcial'!U23</f>
        <v/>
      </c>
      <c r="R25" s="218" t="str">
        <f>'1° Parcial'!V23</f>
        <v/>
      </c>
      <c r="S25" s="219" t="str">
        <f>'1° Parcial'!X23</f>
        <v/>
      </c>
      <c r="T25" s="220">
        <f>'1° Parcial'!Z23</f>
        <v>0.34375</v>
      </c>
      <c r="U25" s="218" t="str">
        <f>'1° Parcial'!AA23</f>
        <v/>
      </c>
      <c r="V25" s="211">
        <f>'2° Parcial'!O23</f>
        <v>46335</v>
      </c>
      <c r="W25" s="212">
        <f>'2° Parcial'!P23</f>
        <v>0.34375</v>
      </c>
      <c r="X25" s="212" t="str">
        <f>'2° Parcial'!Q23</f>
        <v>A</v>
      </c>
      <c r="Y25" s="221">
        <f>'2° Parcial'!T23</f>
        <v>56</v>
      </c>
      <c r="Z25" s="222" t="str">
        <f>'2° Parcial'!U23</f>
        <v/>
      </c>
      <c r="AA25" s="223" t="str">
        <f>'2° Parcial'!V23</f>
        <v/>
      </c>
      <c r="AB25" s="224">
        <f>'2° Parcial'!Y23</f>
        <v>46342</v>
      </c>
      <c r="AC25" s="225">
        <f>'2° Parcial'!Z23</f>
        <v>0.34375</v>
      </c>
      <c r="AD25" s="223" t="str">
        <f>'2° Parcial'!AA23</f>
        <v/>
      </c>
      <c r="AE25" s="213">
        <f>Ex.Final!I23</f>
        <v>46363</v>
      </c>
      <c r="AF25" s="214">
        <f>Ex.Final!J23</f>
        <v>0.34375</v>
      </c>
      <c r="AG25" s="214" t="str">
        <f>Ex.Final!O23</f>
        <v/>
      </c>
      <c r="AH25" s="226">
        <f>Ex.Final!Q23</f>
        <v>77</v>
      </c>
      <c r="AI25" s="227" t="str">
        <f>Ex.Final!R23</f>
        <v/>
      </c>
      <c r="AJ25" s="227" t="str">
        <f>Ex.Final!S23</f>
        <v/>
      </c>
      <c r="AK25" s="228">
        <f>Ex.Final!U23</f>
        <v>46363</v>
      </c>
      <c r="AL25" s="227">
        <f>Ex.Final!V23</f>
        <v>0.34375</v>
      </c>
      <c r="AM25" s="227" t="str">
        <f>Ex.Final!W23</f>
        <v/>
      </c>
      <c r="AN25" s="229">
        <f>'2° Instancia'!I23</f>
        <v>46373</v>
      </c>
      <c r="AO25" s="230">
        <f>'2° Instancia'!J23</f>
        <v>0.84375</v>
      </c>
      <c r="AP25" s="124"/>
    </row>
    <row r="26">
      <c r="A26" s="90"/>
      <c r="B26" s="96" t="str">
        <f>'1° Parcial'!B24</f>
        <v>SISTEMAS DIGITALES</v>
      </c>
      <c r="C26" s="99" t="str">
        <f>'1° Parcial'!C24</f>
        <v>SIS-212</v>
      </c>
      <c r="D26" s="100" t="str">
        <f>'1° Parcial'!D24</f>
        <v>3º </v>
      </c>
      <c r="E26" s="100" t="str">
        <f>'1° Parcial'!E24</f>
        <v>TA-01</v>
      </c>
      <c r="F26" s="103" t="str">
        <f>'1° Parcial'!F24</f>
        <v>DANIEL CAMACHO PASTOR</v>
      </c>
      <c r="G26" s="209">
        <f>'1° Parcial'!J24</f>
        <v>46293</v>
      </c>
      <c r="H26" s="210">
        <f>'1° Parcial'!K24</f>
        <v>0.40625</v>
      </c>
      <c r="I26" s="211">
        <f>'2° Parcial'!J24</f>
        <v>46349</v>
      </c>
      <c r="J26" s="212">
        <f>'2° Parcial'!K24</f>
        <v>0.40625</v>
      </c>
      <c r="K26" s="213">
        <f>Ex.Final!I24</f>
        <v>46370</v>
      </c>
      <c r="L26" s="214">
        <f>Ex.Final!J24</f>
        <v>0.40625</v>
      </c>
      <c r="M26" s="209">
        <f>'1° Parcial'!O24</f>
        <v>46286</v>
      </c>
      <c r="N26" s="215">
        <f>'1° Parcial'!P24</f>
        <v>0.40625</v>
      </c>
      <c r="O26" s="215" t="str">
        <f>'1° Parcial'!Q24</f>
        <v>A</v>
      </c>
      <c r="P26" s="216" t="str">
        <f>'1° Parcial'!T24</f>
        <v/>
      </c>
      <c r="Q26" s="217" t="str">
        <f>'1° Parcial'!U24</f>
        <v/>
      </c>
      <c r="R26" s="218" t="str">
        <f>'1° Parcial'!V24</f>
        <v/>
      </c>
      <c r="S26" s="219" t="str">
        <f>'1° Parcial'!X24</f>
        <v/>
      </c>
      <c r="T26" s="220">
        <f>'1° Parcial'!Z24</f>
        <v>0.40625</v>
      </c>
      <c r="U26" s="218" t="str">
        <f>'1° Parcial'!AA24</f>
        <v/>
      </c>
      <c r="V26" s="211">
        <f>'2° Parcial'!O24</f>
        <v>46342</v>
      </c>
      <c r="W26" s="212">
        <f>'2° Parcial'!P24</f>
        <v>0.40625</v>
      </c>
      <c r="X26" s="212" t="str">
        <f>'2° Parcial'!Q24</f>
        <v>A</v>
      </c>
      <c r="Y26" s="221">
        <f>'2° Parcial'!T24</f>
        <v>56</v>
      </c>
      <c r="Z26" s="222" t="str">
        <f>'2° Parcial'!U24</f>
        <v/>
      </c>
      <c r="AA26" s="223" t="str">
        <f>'2° Parcial'!V24</f>
        <v/>
      </c>
      <c r="AB26" s="224">
        <f>'2° Parcial'!Y24</f>
        <v>46349</v>
      </c>
      <c r="AC26" s="225">
        <f>'2° Parcial'!Z24</f>
        <v>0.40625</v>
      </c>
      <c r="AD26" s="223" t="str">
        <f>'2° Parcial'!AA24</f>
        <v/>
      </c>
      <c r="AE26" s="213">
        <f>Ex.Final!I24</f>
        <v>46370</v>
      </c>
      <c r="AF26" s="214">
        <f>Ex.Final!J24</f>
        <v>0.40625</v>
      </c>
      <c r="AG26" s="214" t="str">
        <f>Ex.Final!O24</f>
        <v/>
      </c>
      <c r="AH26" s="226">
        <f>Ex.Final!Q24</f>
        <v>77</v>
      </c>
      <c r="AI26" s="227" t="str">
        <f>Ex.Final!R24</f>
        <v/>
      </c>
      <c r="AJ26" s="227" t="str">
        <f>Ex.Final!S24</f>
        <v/>
      </c>
      <c r="AK26" s="228">
        <f>Ex.Final!U24</f>
        <v>46370</v>
      </c>
      <c r="AL26" s="227">
        <f>Ex.Final!V24</f>
        <v>0.40625</v>
      </c>
      <c r="AM26" s="227" t="str">
        <f>Ex.Final!W24</f>
        <v/>
      </c>
      <c r="AN26" s="229">
        <f>'2° Instancia'!I24</f>
        <v>46373</v>
      </c>
      <c r="AO26" s="230">
        <f>'2° Instancia'!J24</f>
        <v>0.78125</v>
      </c>
      <c r="AP26" s="124"/>
    </row>
    <row r="27">
      <c r="A27" s="90"/>
      <c r="B27" s="96" t="str">
        <f>'1° Parcial'!B25</f>
        <v>PROGRAMACIÓN III</v>
      </c>
      <c r="C27" s="99" t="str">
        <f>'1° Parcial'!C25</f>
        <v>SIS-213</v>
      </c>
      <c r="D27" s="100" t="str">
        <f>'1° Parcial'!D25</f>
        <v>3º </v>
      </c>
      <c r="E27" s="100" t="str">
        <f>'1° Parcial'!E25</f>
        <v>TA-01</v>
      </c>
      <c r="F27" s="103" t="str">
        <f>'1° Parcial'!F25</f>
        <v>ARIEL DENYS CAMARA ARZE</v>
      </c>
      <c r="G27" s="209">
        <f>'1° Parcial'!J25</f>
        <v>46288</v>
      </c>
      <c r="H27" s="210">
        <f>'1° Parcial'!K25</f>
        <v>0.46875</v>
      </c>
      <c r="I27" s="211">
        <f>'2° Parcial'!J25</f>
        <v>46344</v>
      </c>
      <c r="J27" s="212">
        <f>'2° Parcial'!K25</f>
        <v>0.46875</v>
      </c>
      <c r="K27" s="213">
        <f>Ex.Final!I25</f>
        <v>46365</v>
      </c>
      <c r="L27" s="214">
        <f>Ex.Final!J25</f>
        <v>0.46875</v>
      </c>
      <c r="M27" s="209">
        <f>'1° Parcial'!O25</f>
        <v>46281</v>
      </c>
      <c r="N27" s="215">
        <f>'1° Parcial'!P25</f>
        <v>0.46875</v>
      </c>
      <c r="O27" s="215" t="str">
        <f>'1° Parcial'!Q25</f>
        <v>A</v>
      </c>
      <c r="P27" s="216" t="str">
        <f>'1° Parcial'!T25</f>
        <v/>
      </c>
      <c r="Q27" s="217" t="str">
        <f>'1° Parcial'!U25</f>
        <v/>
      </c>
      <c r="R27" s="218" t="str">
        <f>'1° Parcial'!V25</f>
        <v/>
      </c>
      <c r="S27" s="219" t="str">
        <f>'1° Parcial'!X25</f>
        <v/>
      </c>
      <c r="T27" s="220">
        <f>'1° Parcial'!Z25</f>
        <v>0.46875</v>
      </c>
      <c r="U27" s="218" t="str">
        <f>'1° Parcial'!AA25</f>
        <v/>
      </c>
      <c r="V27" s="211">
        <f>'2° Parcial'!O25</f>
        <v>46337</v>
      </c>
      <c r="W27" s="212">
        <f>'2° Parcial'!P25</f>
        <v>0.46875</v>
      </c>
      <c r="X27" s="212" t="str">
        <f>'2° Parcial'!Q25</f>
        <v>A</v>
      </c>
      <c r="Y27" s="221">
        <f>'2° Parcial'!T25</f>
        <v>56</v>
      </c>
      <c r="Z27" s="222" t="str">
        <f>'2° Parcial'!U25</f>
        <v/>
      </c>
      <c r="AA27" s="223" t="str">
        <f>'2° Parcial'!V25</f>
        <v/>
      </c>
      <c r="AB27" s="224">
        <f>'2° Parcial'!Y25</f>
        <v>46344</v>
      </c>
      <c r="AC27" s="225">
        <f>'2° Parcial'!Z25</f>
        <v>0.46875</v>
      </c>
      <c r="AD27" s="223" t="str">
        <f>'2° Parcial'!AA25</f>
        <v/>
      </c>
      <c r="AE27" s="213">
        <f>Ex.Final!I25</f>
        <v>46365</v>
      </c>
      <c r="AF27" s="214">
        <f>Ex.Final!J25</f>
        <v>0.46875</v>
      </c>
      <c r="AG27" s="214" t="str">
        <f>Ex.Final!O25</f>
        <v/>
      </c>
      <c r="AH27" s="226">
        <f>Ex.Final!Q25</f>
        <v>77</v>
      </c>
      <c r="AI27" s="227" t="str">
        <f>Ex.Final!R25</f>
        <v/>
      </c>
      <c r="AJ27" s="227" t="str">
        <f>Ex.Final!S25</f>
        <v/>
      </c>
      <c r="AK27" s="228">
        <f>Ex.Final!U25</f>
        <v>46365</v>
      </c>
      <c r="AL27" s="227">
        <f>Ex.Final!V25</f>
        <v>0.46875</v>
      </c>
      <c r="AM27" s="227" t="str">
        <f>Ex.Final!W25</f>
        <v/>
      </c>
      <c r="AN27" s="229">
        <f>'2° Instancia'!I25</f>
        <v>46373</v>
      </c>
      <c r="AO27" s="230">
        <f>'2° Instancia'!J25</f>
        <v>0.71875</v>
      </c>
      <c r="AP27" s="124"/>
    </row>
    <row r="28">
      <c r="A28" s="90"/>
      <c r="B28" s="96" t="str">
        <f>'1° Parcial'!B26</f>
        <v>PROBALIDAD Y ESTADÍSTICA</v>
      </c>
      <c r="C28" s="99" t="str">
        <f>'1° Parcial'!C26</f>
        <v>SIS-214</v>
      </c>
      <c r="D28" s="100" t="str">
        <f>'1° Parcial'!D26</f>
        <v>3º </v>
      </c>
      <c r="E28" s="100" t="str">
        <f>'1° Parcial'!E26</f>
        <v>TA-01</v>
      </c>
      <c r="F28" s="103" t="str">
        <f>'1° Parcial'!F26</f>
        <v>IVETT JACQUELINE TANCARA ZAMBRANA</v>
      </c>
      <c r="G28" s="209">
        <f>'1° Parcial'!J26</f>
        <v>46282</v>
      </c>
      <c r="H28" s="210">
        <f>'1° Parcial'!K26</f>
        <v>0.46875</v>
      </c>
      <c r="I28" s="211">
        <f>'2° Parcial'!J26</f>
        <v>46338</v>
      </c>
      <c r="J28" s="212">
        <f>'2° Parcial'!K26</f>
        <v>0.46875</v>
      </c>
      <c r="K28" s="213">
        <f>Ex.Final!I26</f>
        <v>46359</v>
      </c>
      <c r="L28" s="214">
        <f>Ex.Final!J26</f>
        <v>0.46875</v>
      </c>
      <c r="M28" s="209">
        <f>'1° Parcial'!O26</f>
        <v>46275</v>
      </c>
      <c r="N28" s="215">
        <f>'1° Parcial'!P26</f>
        <v>0.46875</v>
      </c>
      <c r="O28" s="215" t="str">
        <f>'1° Parcial'!Q26</f>
        <v>A</v>
      </c>
      <c r="P28" s="216" t="str">
        <f>'1° Parcial'!T26</f>
        <v/>
      </c>
      <c r="Q28" s="217" t="str">
        <f>'1° Parcial'!U26</f>
        <v/>
      </c>
      <c r="R28" s="218" t="str">
        <f>'1° Parcial'!V26</f>
        <v/>
      </c>
      <c r="S28" s="219" t="str">
        <f>'1° Parcial'!X26</f>
        <v/>
      </c>
      <c r="T28" s="220">
        <f>'1° Parcial'!Z26</f>
        <v>0.46875</v>
      </c>
      <c r="U28" s="218" t="str">
        <f>'1° Parcial'!AA26</f>
        <v/>
      </c>
      <c r="V28" s="211">
        <f>'2° Parcial'!O26</f>
        <v>46331</v>
      </c>
      <c r="W28" s="212">
        <f>'2° Parcial'!P26</f>
        <v>0.46875</v>
      </c>
      <c r="X28" s="212" t="str">
        <f>'2° Parcial'!Q26</f>
        <v>A</v>
      </c>
      <c r="Y28" s="221">
        <f>'2° Parcial'!T26</f>
        <v>56</v>
      </c>
      <c r="Z28" s="222" t="str">
        <f>'2° Parcial'!U26</f>
        <v/>
      </c>
      <c r="AA28" s="223" t="str">
        <f>'2° Parcial'!V26</f>
        <v/>
      </c>
      <c r="AB28" s="224">
        <f>'2° Parcial'!Y26</f>
        <v>46338</v>
      </c>
      <c r="AC28" s="225">
        <f>'2° Parcial'!Z26</f>
        <v>0.46875</v>
      </c>
      <c r="AD28" s="223" t="str">
        <f>'2° Parcial'!AA26</f>
        <v/>
      </c>
      <c r="AE28" s="213">
        <f>Ex.Final!I26</f>
        <v>46359</v>
      </c>
      <c r="AF28" s="214">
        <f>Ex.Final!J26</f>
        <v>0.46875</v>
      </c>
      <c r="AG28" s="214" t="str">
        <f>Ex.Final!O26</f>
        <v/>
      </c>
      <c r="AH28" s="226">
        <f>Ex.Final!Q26</f>
        <v>77</v>
      </c>
      <c r="AI28" s="227" t="str">
        <f>Ex.Final!R26</f>
        <v/>
      </c>
      <c r="AJ28" s="227" t="str">
        <f>Ex.Final!S26</f>
        <v/>
      </c>
      <c r="AK28" s="228">
        <f>Ex.Final!U26</f>
        <v>46359</v>
      </c>
      <c r="AL28" s="227">
        <f>Ex.Final!V26</f>
        <v>0.46875</v>
      </c>
      <c r="AM28" s="227" t="str">
        <f>Ex.Final!W26</f>
        <v/>
      </c>
      <c r="AN28" s="229">
        <f>'2° Instancia'!I26</f>
        <v>46373</v>
      </c>
      <c r="AO28" s="230">
        <f>'2° Instancia'!J26</f>
        <v>0.71875</v>
      </c>
      <c r="AP28" s="124"/>
    </row>
    <row r="29">
      <c r="A29" s="90"/>
      <c r="B29" s="96" t="str">
        <f>'1° Parcial'!B27</f>
        <v>INGLÉS TÉCNICO III</v>
      </c>
      <c r="C29" s="99" t="str">
        <f>'1° Parcial'!C27</f>
        <v>SIS-215</v>
      </c>
      <c r="D29" s="100" t="str">
        <f>'1° Parcial'!D27</f>
        <v>3º </v>
      </c>
      <c r="E29" s="100" t="str">
        <f>'1° Parcial'!E27</f>
        <v>TA-01</v>
      </c>
      <c r="F29" s="103" t="str">
        <f>'1° Parcial'!F27</f>
        <v>KARINA PAOLA LOPEZ ECHEVERRIA</v>
      </c>
      <c r="G29" s="209">
        <f>'1° Parcial'!J27</f>
        <v>46284</v>
      </c>
      <c r="H29" s="210">
        <f>'1° Parcial'!K27</f>
        <v>0.34375</v>
      </c>
      <c r="I29" s="211">
        <f>'2° Parcial'!J27</f>
        <v>46340</v>
      </c>
      <c r="J29" s="212">
        <f>'2° Parcial'!K27</f>
        <v>0.34375</v>
      </c>
      <c r="K29" s="213">
        <f>Ex.Final!I27</f>
        <v>46361</v>
      </c>
      <c r="L29" s="214">
        <f>Ex.Final!J27</f>
        <v>0.34375</v>
      </c>
      <c r="M29" s="209">
        <f>'1° Parcial'!O27</f>
        <v>46277</v>
      </c>
      <c r="N29" s="215">
        <f>'1° Parcial'!P27</f>
        <v>0.34375</v>
      </c>
      <c r="O29" s="215" t="str">
        <f>'1° Parcial'!Q27</f>
        <v>A</v>
      </c>
      <c r="P29" s="216" t="str">
        <f>'1° Parcial'!T27</f>
        <v/>
      </c>
      <c r="Q29" s="217" t="str">
        <f>'1° Parcial'!U27</f>
        <v/>
      </c>
      <c r="R29" s="218" t="str">
        <f>'1° Parcial'!V27</f>
        <v/>
      </c>
      <c r="S29" s="219" t="str">
        <f>'1° Parcial'!X27</f>
        <v/>
      </c>
      <c r="T29" s="220">
        <f>'1° Parcial'!Z27</f>
        <v>0.34375</v>
      </c>
      <c r="U29" s="218" t="str">
        <f>'1° Parcial'!AA27</f>
        <v/>
      </c>
      <c r="V29" s="211">
        <f>'2° Parcial'!O27</f>
        <v>46333</v>
      </c>
      <c r="W29" s="212">
        <f>'2° Parcial'!P27</f>
        <v>0.34375</v>
      </c>
      <c r="X29" s="212" t="str">
        <f>'2° Parcial'!Q27</f>
        <v>A</v>
      </c>
      <c r="Y29" s="221">
        <f>'2° Parcial'!T27</f>
        <v>56</v>
      </c>
      <c r="Z29" s="222" t="str">
        <f>'2° Parcial'!U27</f>
        <v/>
      </c>
      <c r="AA29" s="223" t="str">
        <f>'2° Parcial'!V27</f>
        <v/>
      </c>
      <c r="AB29" s="224">
        <f>'2° Parcial'!Y27</f>
        <v>46340</v>
      </c>
      <c r="AC29" s="225">
        <f>'2° Parcial'!Z27</f>
        <v>0.34375</v>
      </c>
      <c r="AD29" s="223" t="str">
        <f>'2° Parcial'!AA27</f>
        <v/>
      </c>
      <c r="AE29" s="213">
        <f>Ex.Final!I27</f>
        <v>46361</v>
      </c>
      <c r="AF29" s="214">
        <f>Ex.Final!J27</f>
        <v>0.34375</v>
      </c>
      <c r="AG29" s="214" t="str">
        <f>Ex.Final!O27</f>
        <v/>
      </c>
      <c r="AH29" s="226">
        <f>Ex.Final!Q27</f>
        <v>77</v>
      </c>
      <c r="AI29" s="227" t="str">
        <f>Ex.Final!R27</f>
        <v/>
      </c>
      <c r="AJ29" s="227" t="str">
        <f>Ex.Final!S27</f>
        <v/>
      </c>
      <c r="AK29" s="228">
        <f>Ex.Final!U27</f>
        <v>46361</v>
      </c>
      <c r="AL29" s="227">
        <f>Ex.Final!V27</f>
        <v>0.34375</v>
      </c>
      <c r="AM29" s="227" t="str">
        <f>Ex.Final!W27</f>
        <v/>
      </c>
      <c r="AN29" s="229">
        <f>'2° Instancia'!I27</f>
        <v>46373</v>
      </c>
      <c r="AO29" s="230">
        <f>'2° Instancia'!J27</f>
        <v>0.78125</v>
      </c>
      <c r="AP29" s="124"/>
    </row>
    <row r="30">
      <c r="A30" s="90"/>
      <c r="B30" s="96" t="str">
        <f>'1° Parcial'!B28</f>
        <v>TALLER DE PROGRAMACIÓN II</v>
      </c>
      <c r="C30" s="99" t="str">
        <f>'1° Parcial'!C28</f>
        <v>SIS-216</v>
      </c>
      <c r="D30" s="100" t="str">
        <f>'1° Parcial'!D28</f>
        <v>3º </v>
      </c>
      <c r="E30" s="100" t="str">
        <f>'1° Parcial'!E28</f>
        <v>TA-01</v>
      </c>
      <c r="F30" s="103" t="str">
        <f>'1° Parcial'!F28</f>
        <v>YAMIL YASMANI CRESPO AYALA</v>
      </c>
      <c r="G30" s="209">
        <f>'1° Parcial'!J28</f>
        <v>46290</v>
      </c>
      <c r="H30" s="210">
        <f>'1° Parcial'!K28</f>
        <v>0.34375</v>
      </c>
      <c r="I30" s="211">
        <f>'2° Parcial'!J28</f>
        <v>46346</v>
      </c>
      <c r="J30" s="212">
        <f>'2° Parcial'!K28</f>
        <v>0.34375</v>
      </c>
      <c r="K30" s="213">
        <f>Ex.Final!I28</f>
        <v>46367</v>
      </c>
      <c r="L30" s="214">
        <f>Ex.Final!J28</f>
        <v>0.34375</v>
      </c>
      <c r="M30" s="209">
        <f>'1° Parcial'!O28</f>
        <v>46283</v>
      </c>
      <c r="N30" s="215">
        <f>'1° Parcial'!P28</f>
        <v>0.34375</v>
      </c>
      <c r="O30" s="215" t="str">
        <f>'1° Parcial'!Q28</f>
        <v>A</v>
      </c>
      <c r="P30" s="216" t="str">
        <f>'1° Parcial'!T28</f>
        <v/>
      </c>
      <c r="Q30" s="217" t="str">
        <f>'1° Parcial'!U28</f>
        <v/>
      </c>
      <c r="R30" s="218" t="str">
        <f>'1° Parcial'!V28</f>
        <v/>
      </c>
      <c r="S30" s="219" t="str">
        <f>'1° Parcial'!X28</f>
        <v/>
      </c>
      <c r="T30" s="220">
        <f>'1° Parcial'!Z28</f>
        <v>0.34375</v>
      </c>
      <c r="U30" s="218" t="str">
        <f>'1° Parcial'!AA28</f>
        <v/>
      </c>
      <c r="V30" s="211">
        <f>'2° Parcial'!O28</f>
        <v>46339</v>
      </c>
      <c r="W30" s="212">
        <f>'2° Parcial'!P28</f>
        <v>0.34375</v>
      </c>
      <c r="X30" s="212" t="str">
        <f>'2° Parcial'!Q28</f>
        <v>A</v>
      </c>
      <c r="Y30" s="221">
        <f>'2° Parcial'!T28</f>
        <v>56</v>
      </c>
      <c r="Z30" s="222" t="str">
        <f>'2° Parcial'!U28</f>
        <v/>
      </c>
      <c r="AA30" s="223" t="str">
        <f>'2° Parcial'!V28</f>
        <v/>
      </c>
      <c r="AB30" s="224">
        <f>'2° Parcial'!Y28</f>
        <v>46346</v>
      </c>
      <c r="AC30" s="225">
        <f>'2° Parcial'!Z28</f>
        <v>0.34375</v>
      </c>
      <c r="AD30" s="223" t="str">
        <f>'2° Parcial'!AA28</f>
        <v/>
      </c>
      <c r="AE30" s="213">
        <f>Ex.Final!I28</f>
        <v>46367</v>
      </c>
      <c r="AF30" s="214">
        <f>Ex.Final!J28</f>
        <v>0.34375</v>
      </c>
      <c r="AG30" s="214" t="str">
        <f>Ex.Final!O28</f>
        <v/>
      </c>
      <c r="AH30" s="226">
        <f>Ex.Final!Q28</f>
        <v>77</v>
      </c>
      <c r="AI30" s="227" t="str">
        <f>Ex.Final!R28</f>
        <v/>
      </c>
      <c r="AJ30" s="227" t="str">
        <f>Ex.Final!S28</f>
        <v/>
      </c>
      <c r="AK30" s="228">
        <f>Ex.Final!U28</f>
        <v>46367</v>
      </c>
      <c r="AL30" s="227">
        <f>Ex.Final!V28</f>
        <v>0.34375</v>
      </c>
      <c r="AM30" s="227" t="str">
        <f>Ex.Final!W28</f>
        <v/>
      </c>
      <c r="AN30" s="229">
        <f>'2° Instancia'!I28</f>
        <v>46373</v>
      </c>
      <c r="AO30" s="230">
        <f>'2° Instancia'!J28</f>
        <v>0.40625</v>
      </c>
      <c r="AP30" s="124"/>
    </row>
    <row r="31">
      <c r="A31" s="90"/>
      <c r="B31" s="96" t="str">
        <f>'1° Parcial'!B29</f>
        <v>ÉTICA E INSTRUCCIÓN AL DERECHO INFORMÁTICO</v>
      </c>
      <c r="C31" s="99" t="str">
        <f>'1° Parcial'!C29</f>
        <v>SIS-217</v>
      </c>
      <c r="D31" s="100" t="str">
        <f>'1° Parcial'!D29</f>
        <v>3º </v>
      </c>
      <c r="E31" s="100" t="str">
        <f>'1° Parcial'!E29</f>
        <v>TA-01</v>
      </c>
      <c r="F31" s="103" t="str">
        <f>'1° Parcial'!F29</f>
        <v>MARIA DE LOS ANGELES MENESES PARRA</v>
      </c>
      <c r="G31" s="209">
        <f>'1° Parcial'!J29</f>
        <v>46280</v>
      </c>
      <c r="H31" s="210">
        <f>'1° Parcial'!K29</f>
        <v>0.34375</v>
      </c>
      <c r="I31" s="211">
        <f>'2° Parcial'!J29</f>
        <v>46336</v>
      </c>
      <c r="J31" s="212">
        <f>'2° Parcial'!K29</f>
        <v>0.34375</v>
      </c>
      <c r="K31" s="213">
        <f>Ex.Final!I29</f>
        <v>46357</v>
      </c>
      <c r="L31" s="214">
        <f>Ex.Final!J29</f>
        <v>0.34375</v>
      </c>
      <c r="M31" s="209">
        <f>'1° Parcial'!O29</f>
        <v>46273</v>
      </c>
      <c r="N31" s="215">
        <f>'1° Parcial'!P29</f>
        <v>0.34375</v>
      </c>
      <c r="O31" s="215" t="str">
        <f>'1° Parcial'!Q29</f>
        <v>A</v>
      </c>
      <c r="P31" s="216" t="str">
        <f>'1° Parcial'!T29</f>
        <v/>
      </c>
      <c r="Q31" s="217" t="str">
        <f>'1° Parcial'!U29</f>
        <v/>
      </c>
      <c r="R31" s="218" t="str">
        <f>'1° Parcial'!V29</f>
        <v/>
      </c>
      <c r="S31" s="219" t="str">
        <f>'1° Parcial'!X29</f>
        <v/>
      </c>
      <c r="T31" s="220">
        <f>'1° Parcial'!Z29</f>
        <v>0.34375</v>
      </c>
      <c r="U31" s="218" t="str">
        <f>'1° Parcial'!AA29</f>
        <v/>
      </c>
      <c r="V31" s="211">
        <f>'2° Parcial'!O29</f>
        <v>46329</v>
      </c>
      <c r="W31" s="212">
        <f>'2° Parcial'!P29</f>
        <v>0.34375</v>
      </c>
      <c r="X31" s="212" t="str">
        <f>'2° Parcial'!Q29</f>
        <v>A</v>
      </c>
      <c r="Y31" s="221">
        <f>'2° Parcial'!T29</f>
        <v>56</v>
      </c>
      <c r="Z31" s="222" t="str">
        <f>'2° Parcial'!U29</f>
        <v/>
      </c>
      <c r="AA31" s="223" t="str">
        <f>'2° Parcial'!V29</f>
        <v/>
      </c>
      <c r="AB31" s="224">
        <f>'2° Parcial'!Y29</f>
        <v>46336</v>
      </c>
      <c r="AC31" s="225">
        <f>'2° Parcial'!Z29</f>
        <v>0.34375</v>
      </c>
      <c r="AD31" s="223" t="str">
        <f>'2° Parcial'!AA29</f>
        <v/>
      </c>
      <c r="AE31" s="213">
        <f>Ex.Final!I29</f>
        <v>46357</v>
      </c>
      <c r="AF31" s="214">
        <f>Ex.Final!J29</f>
        <v>0.34375</v>
      </c>
      <c r="AG31" s="214" t="str">
        <f>Ex.Final!O29</f>
        <v/>
      </c>
      <c r="AH31" s="226">
        <f>Ex.Final!Q29</f>
        <v>77</v>
      </c>
      <c r="AI31" s="227" t="str">
        <f>Ex.Final!R29</f>
        <v/>
      </c>
      <c r="AJ31" s="227" t="str">
        <f>Ex.Final!S29</f>
        <v/>
      </c>
      <c r="AK31" s="228">
        <f>Ex.Final!U29</f>
        <v>46357</v>
      </c>
      <c r="AL31" s="227">
        <f>Ex.Final!V29</f>
        <v>0.34375</v>
      </c>
      <c r="AM31" s="227" t="str">
        <f>Ex.Final!W29</f>
        <v/>
      </c>
      <c r="AN31" s="229">
        <f>'2° Instancia'!I29</f>
        <v>46373</v>
      </c>
      <c r="AO31" s="230">
        <f>'2° Instancia'!J29</f>
        <v>0.71875</v>
      </c>
      <c r="AP31" s="124"/>
    </row>
    <row r="32">
      <c r="A32" s="90"/>
      <c r="B32" s="96" t="str">
        <f>'1° Parcial'!B30</f>
        <v>MÉTODOS NUMÉRICOS</v>
      </c>
      <c r="C32" s="99" t="str">
        <f>'1° Parcial'!C30</f>
        <v>SIS-221</v>
      </c>
      <c r="D32" s="100" t="str">
        <f>'1° Parcial'!D30</f>
        <v>4º </v>
      </c>
      <c r="E32" s="100" t="str">
        <f>'1° Parcial'!E30</f>
        <v>TA-01</v>
      </c>
      <c r="F32" s="103" t="str">
        <f>'1° Parcial'!F30</f>
        <v>JANETH GIOVANA ALANEZ VILLEGAS</v>
      </c>
      <c r="G32" s="209">
        <f>'1° Parcial'!J30</f>
        <v>46286</v>
      </c>
      <c r="H32" s="210">
        <f>'1° Parcial'!K30</f>
        <v>0.40625</v>
      </c>
      <c r="I32" s="211">
        <f>'2° Parcial'!J30</f>
        <v>46342</v>
      </c>
      <c r="J32" s="212">
        <f>'2° Parcial'!K30</f>
        <v>0.40625</v>
      </c>
      <c r="K32" s="213">
        <f>Ex.Final!I30</f>
        <v>46363</v>
      </c>
      <c r="L32" s="214">
        <f>Ex.Final!J30</f>
        <v>0.40625</v>
      </c>
      <c r="M32" s="209">
        <f>'1° Parcial'!O30</f>
        <v>46279</v>
      </c>
      <c r="N32" s="215">
        <f>'1° Parcial'!P30</f>
        <v>0.40625</v>
      </c>
      <c r="O32" s="215" t="str">
        <f>'1° Parcial'!Q30</f>
        <v>A</v>
      </c>
      <c r="P32" s="216" t="str">
        <f>'1° Parcial'!T30</f>
        <v/>
      </c>
      <c r="Q32" s="217" t="str">
        <f>'1° Parcial'!U30</f>
        <v/>
      </c>
      <c r="R32" s="218" t="str">
        <f>'1° Parcial'!V30</f>
        <v/>
      </c>
      <c r="S32" s="219" t="str">
        <f>'1° Parcial'!X30</f>
        <v/>
      </c>
      <c r="T32" s="220">
        <f>'1° Parcial'!Z30</f>
        <v>0.40625</v>
      </c>
      <c r="U32" s="218" t="str">
        <f>'1° Parcial'!AA30</f>
        <v/>
      </c>
      <c r="V32" s="211">
        <f>'2° Parcial'!O30</f>
        <v>46335</v>
      </c>
      <c r="W32" s="212">
        <f>'2° Parcial'!P30</f>
        <v>0.40625</v>
      </c>
      <c r="X32" s="212" t="str">
        <f>'2° Parcial'!Q30</f>
        <v>A</v>
      </c>
      <c r="Y32" s="221">
        <f>'2° Parcial'!T30</f>
        <v>56</v>
      </c>
      <c r="Z32" s="222" t="str">
        <f>'2° Parcial'!U30</f>
        <v/>
      </c>
      <c r="AA32" s="223" t="str">
        <f>'2° Parcial'!V30</f>
        <v/>
      </c>
      <c r="AB32" s="224">
        <f>'2° Parcial'!Y30</f>
        <v>46342</v>
      </c>
      <c r="AC32" s="225">
        <f>'2° Parcial'!Z30</f>
        <v>0.40625</v>
      </c>
      <c r="AD32" s="223" t="str">
        <f>'2° Parcial'!AA30</f>
        <v/>
      </c>
      <c r="AE32" s="213">
        <f>Ex.Final!I30</f>
        <v>46363</v>
      </c>
      <c r="AF32" s="214">
        <f>Ex.Final!J30</f>
        <v>0.40625</v>
      </c>
      <c r="AG32" s="214" t="str">
        <f>Ex.Final!O30</f>
        <v/>
      </c>
      <c r="AH32" s="226">
        <f>Ex.Final!Q30</f>
        <v>77</v>
      </c>
      <c r="AI32" s="227" t="str">
        <f>Ex.Final!R30</f>
        <v/>
      </c>
      <c r="AJ32" s="227" t="str">
        <f>Ex.Final!S30</f>
        <v/>
      </c>
      <c r="AK32" s="228">
        <f>Ex.Final!U30</f>
        <v>46363</v>
      </c>
      <c r="AL32" s="227">
        <f>Ex.Final!V30</f>
        <v>0.40625</v>
      </c>
      <c r="AM32" s="227" t="str">
        <f>Ex.Final!W30</f>
        <v/>
      </c>
      <c r="AN32" s="229">
        <f>'2° Instancia'!I30</f>
        <v>46373</v>
      </c>
      <c r="AO32" s="230">
        <f>'2° Instancia'!J30</f>
        <v>0.78125</v>
      </c>
      <c r="AP32" s="124"/>
    </row>
    <row r="33">
      <c r="A33" s="90"/>
      <c r="B33" s="96" t="str">
        <f>'1° Parcial'!B31</f>
        <v>REDACCIÓN, COMUNICACIÓN E INTERCULTURALIDAD</v>
      </c>
      <c r="C33" s="99" t="str">
        <f>'1° Parcial'!C31</f>
        <v>SIS-222</v>
      </c>
      <c r="D33" s="100" t="str">
        <f>'1° Parcial'!D31</f>
        <v>4º </v>
      </c>
      <c r="E33" s="100" t="str">
        <f>'1° Parcial'!E31</f>
        <v>TA-01</v>
      </c>
      <c r="F33" s="103" t="str">
        <f>'1° Parcial'!F31</f>
        <v>MARIA DE LOS ANGELES MENESES PARRA</v>
      </c>
      <c r="G33" s="209">
        <f>'1° Parcial'!J31</f>
        <v>46293</v>
      </c>
      <c r="H33" s="210">
        <f>'1° Parcial'!K31</f>
        <v>0.34375</v>
      </c>
      <c r="I33" s="211">
        <f>'2° Parcial'!J31</f>
        <v>46349</v>
      </c>
      <c r="J33" s="212">
        <f>'2° Parcial'!K31</f>
        <v>0.34375</v>
      </c>
      <c r="K33" s="213">
        <f>Ex.Final!I31</f>
        <v>46370</v>
      </c>
      <c r="L33" s="214">
        <f>Ex.Final!J31</f>
        <v>0.34375</v>
      </c>
      <c r="M33" s="209">
        <f>'1° Parcial'!O31</f>
        <v>46286</v>
      </c>
      <c r="N33" s="215">
        <f>'1° Parcial'!P31</f>
        <v>0.34375</v>
      </c>
      <c r="O33" s="215" t="str">
        <f>'1° Parcial'!Q31</f>
        <v>A</v>
      </c>
      <c r="P33" s="216" t="str">
        <f>'1° Parcial'!T31</f>
        <v/>
      </c>
      <c r="Q33" s="217" t="str">
        <f>'1° Parcial'!U31</f>
        <v/>
      </c>
      <c r="R33" s="218" t="str">
        <f>'1° Parcial'!V31</f>
        <v/>
      </c>
      <c r="S33" s="219" t="str">
        <f>'1° Parcial'!X31</f>
        <v/>
      </c>
      <c r="T33" s="220">
        <f>'1° Parcial'!Z31</f>
        <v>0.34375</v>
      </c>
      <c r="U33" s="218" t="str">
        <f>'1° Parcial'!AA31</f>
        <v/>
      </c>
      <c r="V33" s="211">
        <f>'2° Parcial'!O31</f>
        <v>46342</v>
      </c>
      <c r="W33" s="212">
        <f>'2° Parcial'!P31</f>
        <v>0.34375</v>
      </c>
      <c r="X33" s="212" t="str">
        <f>'2° Parcial'!Q31</f>
        <v>A</v>
      </c>
      <c r="Y33" s="221">
        <f>'2° Parcial'!T31</f>
        <v>56</v>
      </c>
      <c r="Z33" s="222" t="str">
        <f>'2° Parcial'!U31</f>
        <v/>
      </c>
      <c r="AA33" s="223" t="str">
        <f>'2° Parcial'!V31</f>
        <v/>
      </c>
      <c r="AB33" s="224">
        <f>'2° Parcial'!Y31</f>
        <v>46349</v>
      </c>
      <c r="AC33" s="225">
        <f>'2° Parcial'!Z31</f>
        <v>0.34375</v>
      </c>
      <c r="AD33" s="223" t="str">
        <f>'2° Parcial'!AA31</f>
        <v/>
      </c>
      <c r="AE33" s="213">
        <f>Ex.Final!I31</f>
        <v>46370</v>
      </c>
      <c r="AF33" s="214">
        <f>Ex.Final!J31</f>
        <v>0.34375</v>
      </c>
      <c r="AG33" s="214" t="str">
        <f>Ex.Final!O31</f>
        <v/>
      </c>
      <c r="AH33" s="226">
        <f>Ex.Final!Q31</f>
        <v>77</v>
      </c>
      <c r="AI33" s="227" t="str">
        <f>Ex.Final!R31</f>
        <v/>
      </c>
      <c r="AJ33" s="227" t="str">
        <f>Ex.Final!S31</f>
        <v/>
      </c>
      <c r="AK33" s="228">
        <f>Ex.Final!U31</f>
        <v>46370</v>
      </c>
      <c r="AL33" s="227">
        <f>Ex.Final!V31</f>
        <v>0.34375</v>
      </c>
      <c r="AM33" s="227" t="str">
        <f>Ex.Final!W31</f>
        <v/>
      </c>
      <c r="AN33" s="229">
        <f>'2° Instancia'!I31</f>
        <v>46373</v>
      </c>
      <c r="AO33" s="230">
        <f>'2° Instancia'!J31</f>
        <v>0.78125</v>
      </c>
      <c r="AP33" s="124"/>
    </row>
    <row r="34">
      <c r="A34" s="90"/>
      <c r="B34" s="96" t="str">
        <f>'1° Parcial'!B32</f>
        <v>SISTEMAS OPERATIVOS</v>
      </c>
      <c r="C34" s="99" t="str">
        <f>'1° Parcial'!C32</f>
        <v>SIS-223</v>
      </c>
      <c r="D34" s="100" t="str">
        <f>'1° Parcial'!D32</f>
        <v>4º </v>
      </c>
      <c r="E34" s="100" t="str">
        <f>'1° Parcial'!E32</f>
        <v>TA-01</v>
      </c>
      <c r="F34" s="103" t="str">
        <f>'1° Parcial'!F32</f>
        <v>GUSTAVO MAGARIÑOS CAMACHO</v>
      </c>
      <c r="G34" s="209">
        <f>'1° Parcial'!J32</f>
        <v>46280</v>
      </c>
      <c r="H34" s="210">
        <f>'1° Parcial'!K32</f>
        <v>0.40625</v>
      </c>
      <c r="I34" s="211">
        <f>'2° Parcial'!J32</f>
        <v>46336</v>
      </c>
      <c r="J34" s="212">
        <f>'2° Parcial'!K32</f>
        <v>0.40625</v>
      </c>
      <c r="K34" s="213">
        <f>Ex.Final!I32</f>
        <v>46357</v>
      </c>
      <c r="L34" s="214">
        <f>Ex.Final!J32</f>
        <v>0.40625</v>
      </c>
      <c r="M34" s="209">
        <f>'1° Parcial'!O32</f>
        <v>46273</v>
      </c>
      <c r="N34" s="215">
        <f>'1° Parcial'!P32</f>
        <v>0.40625</v>
      </c>
      <c r="O34" s="215" t="str">
        <f>'1° Parcial'!Q32</f>
        <v>A</v>
      </c>
      <c r="P34" s="216" t="str">
        <f>'1° Parcial'!T32</f>
        <v/>
      </c>
      <c r="Q34" s="217" t="str">
        <f>'1° Parcial'!U32</f>
        <v/>
      </c>
      <c r="R34" s="218" t="str">
        <f>'1° Parcial'!V32</f>
        <v/>
      </c>
      <c r="S34" s="219" t="str">
        <f>'1° Parcial'!X32</f>
        <v/>
      </c>
      <c r="T34" s="220">
        <f>'1° Parcial'!Z32</f>
        <v>0.40625</v>
      </c>
      <c r="U34" s="218" t="str">
        <f>'1° Parcial'!AA32</f>
        <v/>
      </c>
      <c r="V34" s="211">
        <f>'2° Parcial'!O32</f>
        <v>46329</v>
      </c>
      <c r="W34" s="212">
        <f>'2° Parcial'!P32</f>
        <v>0.40625</v>
      </c>
      <c r="X34" s="212" t="str">
        <f>'2° Parcial'!Q32</f>
        <v>A</v>
      </c>
      <c r="Y34" s="221">
        <f>'2° Parcial'!T32</f>
        <v>56</v>
      </c>
      <c r="Z34" s="222" t="str">
        <f>'2° Parcial'!U32</f>
        <v/>
      </c>
      <c r="AA34" s="223" t="str">
        <f>'2° Parcial'!V32</f>
        <v/>
      </c>
      <c r="AB34" s="224">
        <f>'2° Parcial'!Y32</f>
        <v>46336</v>
      </c>
      <c r="AC34" s="225">
        <f>'2° Parcial'!Z32</f>
        <v>0.40625</v>
      </c>
      <c r="AD34" s="223" t="str">
        <f>'2° Parcial'!AA32</f>
        <v/>
      </c>
      <c r="AE34" s="213">
        <f>Ex.Final!I32</f>
        <v>46357</v>
      </c>
      <c r="AF34" s="214">
        <f>Ex.Final!J32</f>
        <v>0.40625</v>
      </c>
      <c r="AG34" s="214" t="str">
        <f>Ex.Final!O32</f>
        <v/>
      </c>
      <c r="AH34" s="226">
        <f>Ex.Final!Q32</f>
        <v>77</v>
      </c>
      <c r="AI34" s="227" t="str">
        <f>Ex.Final!R32</f>
        <v/>
      </c>
      <c r="AJ34" s="227" t="str">
        <f>Ex.Final!S32</f>
        <v/>
      </c>
      <c r="AK34" s="228">
        <f>Ex.Final!U32</f>
        <v>46357</v>
      </c>
      <c r="AL34" s="227">
        <f>Ex.Final!V32</f>
        <v>0.40625</v>
      </c>
      <c r="AM34" s="227" t="str">
        <f>Ex.Final!W32</f>
        <v/>
      </c>
      <c r="AN34" s="229">
        <f>'2° Instancia'!I32</f>
        <v>46373</v>
      </c>
      <c r="AO34" s="230">
        <f>'2° Instancia'!J32</f>
        <v>0.71875</v>
      </c>
      <c r="AP34" s="124"/>
    </row>
    <row r="35">
      <c r="A35" s="90"/>
      <c r="B35" s="96" t="str">
        <f>'1° Parcial'!B33</f>
        <v>DISEÑO DE BASE DE DATOS</v>
      </c>
      <c r="C35" s="99" t="str">
        <f>'1° Parcial'!C33</f>
        <v>SIS-224</v>
      </c>
      <c r="D35" s="100" t="str">
        <f>'1° Parcial'!D33</f>
        <v>4º </v>
      </c>
      <c r="E35" s="100" t="str">
        <f>'1° Parcial'!E33</f>
        <v>TA-01</v>
      </c>
      <c r="F35" s="103" t="str">
        <f>'1° Parcial'!F33</f>
        <v>WALTER JOSE CAZAS CASTRO</v>
      </c>
      <c r="G35" s="209">
        <f>'1° Parcial'!J33</f>
        <v>46288</v>
      </c>
      <c r="H35" s="210">
        <f>'1° Parcial'!K33</f>
        <v>0.34375</v>
      </c>
      <c r="I35" s="211">
        <f>'2° Parcial'!J33</f>
        <v>46344</v>
      </c>
      <c r="J35" s="212">
        <f>'2° Parcial'!K33</f>
        <v>0.34375</v>
      </c>
      <c r="K35" s="213">
        <f>Ex.Final!I33</f>
        <v>46365</v>
      </c>
      <c r="L35" s="214">
        <f>Ex.Final!J33</f>
        <v>0.34375</v>
      </c>
      <c r="M35" s="209">
        <f>'1° Parcial'!O33</f>
        <v>46281</v>
      </c>
      <c r="N35" s="215">
        <f>'1° Parcial'!P33</f>
        <v>0.34375</v>
      </c>
      <c r="O35" s="215" t="str">
        <f>'1° Parcial'!Q33</f>
        <v>A</v>
      </c>
      <c r="P35" s="216" t="str">
        <f>'1° Parcial'!T33</f>
        <v/>
      </c>
      <c r="Q35" s="217" t="str">
        <f>'1° Parcial'!U33</f>
        <v/>
      </c>
      <c r="R35" s="218" t="str">
        <f>'1° Parcial'!V33</f>
        <v/>
      </c>
      <c r="S35" s="219" t="str">
        <f>'1° Parcial'!X33</f>
        <v/>
      </c>
      <c r="T35" s="220">
        <f>'1° Parcial'!Z33</f>
        <v>0.34375</v>
      </c>
      <c r="U35" s="218" t="str">
        <f>'1° Parcial'!AA33</f>
        <v/>
      </c>
      <c r="V35" s="211">
        <f>'2° Parcial'!O33</f>
        <v>46337</v>
      </c>
      <c r="W35" s="212">
        <f>'2° Parcial'!P33</f>
        <v>0.34375</v>
      </c>
      <c r="X35" s="212" t="str">
        <f>'2° Parcial'!Q33</f>
        <v>A</v>
      </c>
      <c r="Y35" s="221">
        <f>'2° Parcial'!T33</f>
        <v>56</v>
      </c>
      <c r="Z35" s="222" t="str">
        <f>'2° Parcial'!U33</f>
        <v/>
      </c>
      <c r="AA35" s="223" t="str">
        <f>'2° Parcial'!V33</f>
        <v/>
      </c>
      <c r="AB35" s="224">
        <f>'2° Parcial'!Y33</f>
        <v>46344</v>
      </c>
      <c r="AC35" s="225">
        <f>'2° Parcial'!Z33</f>
        <v>0.34375</v>
      </c>
      <c r="AD35" s="223" t="str">
        <f>'2° Parcial'!AA33</f>
        <v/>
      </c>
      <c r="AE35" s="213">
        <f>Ex.Final!I33</f>
        <v>46365</v>
      </c>
      <c r="AF35" s="214">
        <f>Ex.Final!J33</f>
        <v>0.34375</v>
      </c>
      <c r="AG35" s="214" t="str">
        <f>Ex.Final!O33</f>
        <v/>
      </c>
      <c r="AH35" s="226">
        <f>Ex.Final!Q33</f>
        <v>77</v>
      </c>
      <c r="AI35" s="227" t="str">
        <f>Ex.Final!R33</f>
        <v/>
      </c>
      <c r="AJ35" s="227" t="str">
        <f>Ex.Final!S33</f>
        <v/>
      </c>
      <c r="AK35" s="228">
        <f>Ex.Final!U33</f>
        <v>46365</v>
      </c>
      <c r="AL35" s="227">
        <f>Ex.Final!V33</f>
        <v>0.34375</v>
      </c>
      <c r="AM35" s="227" t="str">
        <f>Ex.Final!W33</f>
        <v/>
      </c>
      <c r="AN35" s="229">
        <f>'2° Instancia'!I33</f>
        <v>46373</v>
      </c>
      <c r="AO35" s="230">
        <f>'2° Instancia'!J33</f>
        <v>0.78125</v>
      </c>
      <c r="AP35" s="124"/>
    </row>
    <row r="36">
      <c r="A36" s="90"/>
      <c r="B36" s="96" t="str">
        <f>'1° Parcial'!B34</f>
        <v>INGLÉS TÉCNICO IV</v>
      </c>
      <c r="C36" s="99" t="str">
        <f>'1° Parcial'!C34</f>
        <v>SIS-225</v>
      </c>
      <c r="D36" s="100" t="str">
        <f>'1° Parcial'!D34</f>
        <v>4º </v>
      </c>
      <c r="E36" s="100" t="str">
        <f>'1° Parcial'!E34</f>
        <v>TA-01</v>
      </c>
      <c r="F36" s="103" t="str">
        <f>'1° Parcial'!F34</f>
        <v>EDUARDO CARLOS MOSCOSO RICALDI</v>
      </c>
      <c r="G36" s="209">
        <f>'1° Parcial'!J34</f>
        <v>46290</v>
      </c>
      <c r="H36" s="210">
        <f>'1° Parcial'!K34</f>
        <v>0.40625</v>
      </c>
      <c r="I36" s="211">
        <f>'2° Parcial'!J34</f>
        <v>46346</v>
      </c>
      <c r="J36" s="212">
        <f>'2° Parcial'!K34</f>
        <v>0.40625</v>
      </c>
      <c r="K36" s="213">
        <f>Ex.Final!I34</f>
        <v>46367</v>
      </c>
      <c r="L36" s="214">
        <f>Ex.Final!J34</f>
        <v>0.40625</v>
      </c>
      <c r="M36" s="209">
        <f>'1° Parcial'!O34</f>
        <v>46283</v>
      </c>
      <c r="N36" s="215">
        <f>'1° Parcial'!P34</f>
        <v>0.40625</v>
      </c>
      <c r="O36" s="215" t="str">
        <f>'1° Parcial'!Q34</f>
        <v>A</v>
      </c>
      <c r="P36" s="216" t="str">
        <f>'1° Parcial'!T34</f>
        <v/>
      </c>
      <c r="Q36" s="217" t="str">
        <f>'1° Parcial'!U34</f>
        <v/>
      </c>
      <c r="R36" s="218" t="str">
        <f>'1° Parcial'!V34</f>
        <v/>
      </c>
      <c r="S36" s="219" t="str">
        <f>'1° Parcial'!X34</f>
        <v/>
      </c>
      <c r="T36" s="220">
        <f>'1° Parcial'!Z34</f>
        <v>0.40625</v>
      </c>
      <c r="U36" s="218" t="str">
        <f>'1° Parcial'!AA34</f>
        <v/>
      </c>
      <c r="V36" s="211">
        <f>'2° Parcial'!O34</f>
        <v>46339</v>
      </c>
      <c r="W36" s="212">
        <f>'2° Parcial'!P34</f>
        <v>0.40625</v>
      </c>
      <c r="X36" s="212" t="str">
        <f>'2° Parcial'!Q34</f>
        <v>A</v>
      </c>
      <c r="Y36" s="221">
        <f>'2° Parcial'!T34</f>
        <v>56</v>
      </c>
      <c r="Z36" s="222" t="str">
        <f>'2° Parcial'!U34</f>
        <v/>
      </c>
      <c r="AA36" s="223" t="str">
        <f>'2° Parcial'!V34</f>
        <v/>
      </c>
      <c r="AB36" s="224">
        <f>'2° Parcial'!Y34</f>
        <v>46346</v>
      </c>
      <c r="AC36" s="225">
        <f>'2° Parcial'!Z34</f>
        <v>0.40625</v>
      </c>
      <c r="AD36" s="223" t="str">
        <f>'2° Parcial'!AA34</f>
        <v/>
      </c>
      <c r="AE36" s="213">
        <f>Ex.Final!I34</f>
        <v>46367</v>
      </c>
      <c r="AF36" s="214">
        <f>Ex.Final!J34</f>
        <v>0.40625</v>
      </c>
      <c r="AG36" s="214" t="str">
        <f>Ex.Final!O34</f>
        <v/>
      </c>
      <c r="AH36" s="226">
        <f>Ex.Final!Q34</f>
        <v>77</v>
      </c>
      <c r="AI36" s="227" t="str">
        <f>Ex.Final!R34</f>
        <v/>
      </c>
      <c r="AJ36" s="227" t="str">
        <f>Ex.Final!S34</f>
        <v/>
      </c>
      <c r="AK36" s="228">
        <f>Ex.Final!U34</f>
        <v>46367</v>
      </c>
      <c r="AL36" s="227">
        <f>Ex.Final!V34</f>
        <v>0.40625</v>
      </c>
      <c r="AM36" s="227" t="str">
        <f>Ex.Final!W34</f>
        <v/>
      </c>
      <c r="AN36" s="229">
        <f>'2° Instancia'!I34</f>
        <v>46373</v>
      </c>
      <c r="AO36" s="230">
        <f>'2° Instancia'!J34</f>
        <v>0.84375</v>
      </c>
      <c r="AP36" s="124"/>
    </row>
    <row r="37">
      <c r="A37" s="90"/>
      <c r="B37" s="96" t="str">
        <f>'1° Parcial'!B35</f>
        <v>TALLER DE PROGRAMACIÓN III</v>
      </c>
      <c r="C37" s="99" t="str">
        <f>'1° Parcial'!C35</f>
        <v>SIS-226</v>
      </c>
      <c r="D37" s="100" t="str">
        <f>'1° Parcial'!D35</f>
        <v>4º </v>
      </c>
      <c r="E37" s="100" t="str">
        <f>'1° Parcial'!E35</f>
        <v>TA-01</v>
      </c>
      <c r="F37" s="103" t="str">
        <f>'1° Parcial'!F35</f>
        <v>YAMIL YASMANI CRESPO AYALA</v>
      </c>
      <c r="G37" s="209">
        <f>'1° Parcial'!J35</f>
        <v>46284</v>
      </c>
      <c r="H37" s="210">
        <f>'1° Parcial'!K35</f>
        <v>0.34375</v>
      </c>
      <c r="I37" s="211">
        <f>'2° Parcial'!J35</f>
        <v>46340</v>
      </c>
      <c r="J37" s="212">
        <f>'2° Parcial'!K35</f>
        <v>0.34375</v>
      </c>
      <c r="K37" s="213">
        <f>Ex.Final!I35</f>
        <v>46361</v>
      </c>
      <c r="L37" s="214">
        <f>Ex.Final!J35</f>
        <v>0.34375</v>
      </c>
      <c r="M37" s="209">
        <f>'1° Parcial'!O35</f>
        <v>46277</v>
      </c>
      <c r="N37" s="215">
        <f>'1° Parcial'!P35</f>
        <v>0.34375</v>
      </c>
      <c r="O37" s="215" t="str">
        <f>'1° Parcial'!Q35</f>
        <v>A</v>
      </c>
      <c r="P37" s="216" t="str">
        <f>'1° Parcial'!T35</f>
        <v/>
      </c>
      <c r="Q37" s="217" t="str">
        <f>'1° Parcial'!U35</f>
        <v/>
      </c>
      <c r="R37" s="218" t="str">
        <f>'1° Parcial'!V35</f>
        <v/>
      </c>
      <c r="S37" s="219" t="str">
        <f>'1° Parcial'!X35</f>
        <v/>
      </c>
      <c r="T37" s="220">
        <f>'1° Parcial'!Z35</f>
        <v>0.34375</v>
      </c>
      <c r="U37" s="218" t="str">
        <f>'1° Parcial'!AA35</f>
        <v/>
      </c>
      <c r="V37" s="211">
        <f>'2° Parcial'!O35</f>
        <v>46333</v>
      </c>
      <c r="W37" s="212">
        <f>'2° Parcial'!P35</f>
        <v>0.34375</v>
      </c>
      <c r="X37" s="212" t="str">
        <f>'2° Parcial'!Q35</f>
        <v>A</v>
      </c>
      <c r="Y37" s="221">
        <f>'2° Parcial'!T35</f>
        <v>56</v>
      </c>
      <c r="Z37" s="222" t="str">
        <f>'2° Parcial'!U35</f>
        <v/>
      </c>
      <c r="AA37" s="223" t="str">
        <f>'2° Parcial'!V35</f>
        <v/>
      </c>
      <c r="AB37" s="224">
        <f>'2° Parcial'!Y35</f>
        <v>46340</v>
      </c>
      <c r="AC37" s="225">
        <f>'2° Parcial'!Z35</f>
        <v>0.34375</v>
      </c>
      <c r="AD37" s="223" t="str">
        <f>'2° Parcial'!AA35</f>
        <v/>
      </c>
      <c r="AE37" s="213">
        <f>Ex.Final!I35</f>
        <v>46361</v>
      </c>
      <c r="AF37" s="214">
        <f>Ex.Final!J35</f>
        <v>0.34375</v>
      </c>
      <c r="AG37" s="214" t="str">
        <f>Ex.Final!O35</f>
        <v/>
      </c>
      <c r="AH37" s="226">
        <f>Ex.Final!Q35</f>
        <v>77</v>
      </c>
      <c r="AI37" s="227" t="str">
        <f>Ex.Final!R35</f>
        <v/>
      </c>
      <c r="AJ37" s="227" t="str">
        <f>Ex.Final!S35</f>
        <v/>
      </c>
      <c r="AK37" s="228">
        <f>Ex.Final!U35</f>
        <v>46361</v>
      </c>
      <c r="AL37" s="227">
        <f>Ex.Final!V35</f>
        <v>0.34375</v>
      </c>
      <c r="AM37" s="227" t="str">
        <f>Ex.Final!W35</f>
        <v/>
      </c>
      <c r="AN37" s="229">
        <f>'2° Instancia'!I35</f>
        <v>46373</v>
      </c>
      <c r="AO37" s="230">
        <f>'2° Instancia'!J35</f>
        <v>0.71875</v>
      </c>
      <c r="AP37" s="124"/>
    </row>
    <row r="38">
      <c r="A38" s="90"/>
      <c r="B38" s="96" t="str">
        <f>'1° Parcial'!B36</f>
        <v>DISEÑO GRÁFICO Y SISTEMAS DE INFORMACIÓN GEOGRÁFICA</v>
      </c>
      <c r="C38" s="99" t="str">
        <f>'1° Parcial'!C36</f>
        <v>SIS-227</v>
      </c>
      <c r="D38" s="100" t="str">
        <f>'1° Parcial'!D36</f>
        <v>4º </v>
      </c>
      <c r="E38" s="100" t="str">
        <f>'1° Parcial'!E36</f>
        <v>TA-01</v>
      </c>
      <c r="F38" s="103" t="str">
        <f>'1° Parcial'!F36</f>
        <v>JIMENA GIOVANNA ARNEZ MARTINEZ</v>
      </c>
      <c r="G38" s="209">
        <f>'1° Parcial'!J36</f>
        <v>46282</v>
      </c>
      <c r="H38" s="210">
        <f>'1° Parcial'!K36</f>
        <v>0.34375</v>
      </c>
      <c r="I38" s="211">
        <f>'2° Parcial'!J36</f>
        <v>46338</v>
      </c>
      <c r="J38" s="212">
        <f>'2° Parcial'!K36</f>
        <v>0.34375</v>
      </c>
      <c r="K38" s="213">
        <f>Ex.Final!I36</f>
        <v>46359</v>
      </c>
      <c r="L38" s="214">
        <f>Ex.Final!J36</f>
        <v>0.34375</v>
      </c>
      <c r="M38" s="209">
        <f>'1° Parcial'!O36</f>
        <v>46275</v>
      </c>
      <c r="N38" s="215">
        <f>'1° Parcial'!P36</f>
        <v>0.34375</v>
      </c>
      <c r="O38" s="215" t="str">
        <f>'1° Parcial'!Q36</f>
        <v>A</v>
      </c>
      <c r="P38" s="216" t="str">
        <f>'1° Parcial'!T36</f>
        <v/>
      </c>
      <c r="Q38" s="217" t="str">
        <f>'1° Parcial'!U36</f>
        <v/>
      </c>
      <c r="R38" s="218" t="str">
        <f>'1° Parcial'!V36</f>
        <v/>
      </c>
      <c r="S38" s="219" t="str">
        <f>'1° Parcial'!X36</f>
        <v/>
      </c>
      <c r="T38" s="220">
        <f>'1° Parcial'!Z36</f>
        <v>0.34375</v>
      </c>
      <c r="U38" s="218" t="str">
        <f>'1° Parcial'!AA36</f>
        <v/>
      </c>
      <c r="V38" s="211">
        <f>'2° Parcial'!O36</f>
        <v>46331</v>
      </c>
      <c r="W38" s="212">
        <f>'2° Parcial'!P36</f>
        <v>0.34375</v>
      </c>
      <c r="X38" s="212" t="str">
        <f>'2° Parcial'!Q36</f>
        <v>A</v>
      </c>
      <c r="Y38" s="221">
        <f>'2° Parcial'!T36</f>
        <v>56</v>
      </c>
      <c r="Z38" s="222" t="str">
        <f>'2° Parcial'!U36</f>
        <v/>
      </c>
      <c r="AA38" s="223" t="str">
        <f>'2° Parcial'!V36</f>
        <v/>
      </c>
      <c r="AB38" s="224">
        <f>'2° Parcial'!Y36</f>
        <v>46338</v>
      </c>
      <c r="AC38" s="225">
        <f>'2° Parcial'!Z36</f>
        <v>0.34375</v>
      </c>
      <c r="AD38" s="223" t="str">
        <f>'2° Parcial'!AA36</f>
        <v/>
      </c>
      <c r="AE38" s="213">
        <f>Ex.Final!I36</f>
        <v>46359</v>
      </c>
      <c r="AF38" s="214">
        <f>Ex.Final!J36</f>
        <v>0.34375</v>
      </c>
      <c r="AG38" s="214" t="str">
        <f>Ex.Final!O36</f>
        <v/>
      </c>
      <c r="AH38" s="226">
        <f>Ex.Final!Q36</f>
        <v>77</v>
      </c>
      <c r="AI38" s="227" t="str">
        <f>Ex.Final!R36</f>
        <v/>
      </c>
      <c r="AJ38" s="227" t="str">
        <f>Ex.Final!S36</f>
        <v/>
      </c>
      <c r="AK38" s="228">
        <f>Ex.Final!U36</f>
        <v>46359</v>
      </c>
      <c r="AL38" s="227">
        <f>Ex.Final!V36</f>
        <v>0.34375</v>
      </c>
      <c r="AM38" s="227" t="str">
        <f>Ex.Final!W36</f>
        <v/>
      </c>
      <c r="AN38" s="229">
        <f>'2° Instancia'!I36</f>
        <v>46373</v>
      </c>
      <c r="AO38" s="230">
        <f>'2° Instancia'!J36</f>
        <v>0.84375</v>
      </c>
      <c r="AP38" s="124"/>
    </row>
    <row r="39">
      <c r="A39" s="90"/>
      <c r="B39" s="96" t="str">
        <f>'1° Parcial'!B37</f>
        <v>INVESTIGACIÓN OPERATIVA</v>
      </c>
      <c r="C39" s="99" t="str">
        <f>'1° Parcial'!C37</f>
        <v>SIS-311</v>
      </c>
      <c r="D39" s="100" t="str">
        <f>'1° Parcial'!D37</f>
        <v>5º </v>
      </c>
      <c r="E39" s="100" t="str">
        <f>'1° Parcial'!E37</f>
        <v>TA-01</v>
      </c>
      <c r="F39" s="103" t="str">
        <f>'1° Parcial'!F37</f>
        <v>JIMENA GIOVANNA ARNEZ MARTINEZ</v>
      </c>
      <c r="G39" s="209">
        <f>'1° Parcial'!J37</f>
        <v>46282</v>
      </c>
      <c r="H39" s="210">
        <f>'1° Parcial'!K37</f>
        <v>0.59375</v>
      </c>
      <c r="I39" s="211">
        <f>'2° Parcial'!J37</f>
        <v>46338</v>
      </c>
      <c r="J39" s="212">
        <f>'2° Parcial'!K37</f>
        <v>0.59375</v>
      </c>
      <c r="K39" s="213">
        <f>Ex.Final!I37</f>
        <v>46359</v>
      </c>
      <c r="L39" s="214">
        <f>Ex.Final!J37</f>
        <v>0.59375</v>
      </c>
      <c r="M39" s="209">
        <f>'1° Parcial'!O37</f>
        <v>46275</v>
      </c>
      <c r="N39" s="215">
        <f>'1° Parcial'!P37</f>
        <v>0.59375</v>
      </c>
      <c r="O39" s="215" t="str">
        <f>'1° Parcial'!Q37</f>
        <v>A</v>
      </c>
      <c r="P39" s="216" t="str">
        <f>'1° Parcial'!T37</f>
        <v/>
      </c>
      <c r="Q39" s="217" t="str">
        <f>'1° Parcial'!U37</f>
        <v/>
      </c>
      <c r="R39" s="218" t="str">
        <f>'1° Parcial'!V37</f>
        <v/>
      </c>
      <c r="S39" s="219" t="str">
        <f>'1° Parcial'!X37</f>
        <v/>
      </c>
      <c r="T39" s="220">
        <f>'1° Parcial'!Z37</f>
        <v>0.59375</v>
      </c>
      <c r="U39" s="218" t="str">
        <f>'1° Parcial'!AA37</f>
        <v/>
      </c>
      <c r="V39" s="211">
        <f>'2° Parcial'!O37</f>
        <v>46331</v>
      </c>
      <c r="W39" s="212">
        <f>'2° Parcial'!P37</f>
        <v>0.59375</v>
      </c>
      <c r="X39" s="212" t="str">
        <f>'2° Parcial'!Q37</f>
        <v>A</v>
      </c>
      <c r="Y39" s="221">
        <f>'2° Parcial'!T37</f>
        <v>56</v>
      </c>
      <c r="Z39" s="222" t="str">
        <f>'2° Parcial'!U37</f>
        <v/>
      </c>
      <c r="AA39" s="223" t="str">
        <f>'2° Parcial'!V37</f>
        <v/>
      </c>
      <c r="AB39" s="224">
        <f>'2° Parcial'!Y37</f>
        <v>46338</v>
      </c>
      <c r="AC39" s="225">
        <f>'2° Parcial'!Z37</f>
        <v>0.59375</v>
      </c>
      <c r="AD39" s="223" t="str">
        <f>'2° Parcial'!AA37</f>
        <v/>
      </c>
      <c r="AE39" s="213">
        <f>Ex.Final!I37</f>
        <v>46359</v>
      </c>
      <c r="AF39" s="214">
        <f>Ex.Final!J37</f>
        <v>0.59375</v>
      </c>
      <c r="AG39" s="214" t="str">
        <f>Ex.Final!O37</f>
        <v/>
      </c>
      <c r="AH39" s="226">
        <f>Ex.Final!Q37</f>
        <v>77</v>
      </c>
      <c r="AI39" s="227" t="str">
        <f>Ex.Final!R37</f>
        <v/>
      </c>
      <c r="AJ39" s="227" t="str">
        <f>Ex.Final!S37</f>
        <v/>
      </c>
      <c r="AK39" s="228">
        <f>Ex.Final!U37</f>
        <v>46359</v>
      </c>
      <c r="AL39" s="227">
        <f>Ex.Final!V37</f>
        <v>0.59375</v>
      </c>
      <c r="AM39" s="227" t="str">
        <f>Ex.Final!W37</f>
        <v/>
      </c>
      <c r="AN39" s="229">
        <f>'2° Instancia'!I37</f>
        <v>46373</v>
      </c>
      <c r="AO39" s="230">
        <f>'2° Instancia'!J37</f>
        <v>0.71875</v>
      </c>
      <c r="AP39" s="124"/>
    </row>
    <row r="40">
      <c r="A40" s="90"/>
      <c r="B40" s="96" t="str">
        <f>'1° Parcial'!B38</f>
        <v>MICROCONTROLADORES</v>
      </c>
      <c r="C40" s="99" t="str">
        <f>'1° Parcial'!C38</f>
        <v>SIS-312</v>
      </c>
      <c r="D40" s="100" t="str">
        <f>'1° Parcial'!D38</f>
        <v>5º </v>
      </c>
      <c r="E40" s="100" t="str">
        <f>'1° Parcial'!E38</f>
        <v>TA-01</v>
      </c>
      <c r="F40" s="103" t="str">
        <f>'1° Parcial'!F38</f>
        <v>JOAQUIN RICARDO ARAOZ JALDIN</v>
      </c>
      <c r="G40" s="209">
        <f>'1° Parcial'!J38</f>
        <v>46286</v>
      </c>
      <c r="H40" s="210">
        <f>'1° Parcial'!K38</f>
        <v>0.53125</v>
      </c>
      <c r="I40" s="211">
        <f>'2° Parcial'!J38</f>
        <v>46342</v>
      </c>
      <c r="J40" s="212">
        <f>'2° Parcial'!K38</f>
        <v>0.53125</v>
      </c>
      <c r="K40" s="213">
        <f>Ex.Final!I38</f>
        <v>46363</v>
      </c>
      <c r="L40" s="214">
        <f>Ex.Final!J38</f>
        <v>0.53125</v>
      </c>
      <c r="M40" s="209">
        <f>'1° Parcial'!O38</f>
        <v>46279</v>
      </c>
      <c r="N40" s="215">
        <f>'1° Parcial'!P38</f>
        <v>0.53125</v>
      </c>
      <c r="O40" s="215" t="str">
        <f>'1° Parcial'!Q38</f>
        <v>A</v>
      </c>
      <c r="P40" s="216" t="str">
        <f>'1° Parcial'!T38</f>
        <v/>
      </c>
      <c r="Q40" s="217" t="str">
        <f>'1° Parcial'!U38</f>
        <v/>
      </c>
      <c r="R40" s="218" t="str">
        <f>'1° Parcial'!V38</f>
        <v/>
      </c>
      <c r="S40" s="219" t="str">
        <f>'1° Parcial'!X38</f>
        <v/>
      </c>
      <c r="T40" s="220">
        <f>'1° Parcial'!Z38</f>
        <v>0.53125</v>
      </c>
      <c r="U40" s="218" t="str">
        <f>'1° Parcial'!AA38</f>
        <v/>
      </c>
      <c r="V40" s="211">
        <f>'2° Parcial'!O38</f>
        <v>46335</v>
      </c>
      <c r="W40" s="212">
        <f>'2° Parcial'!P38</f>
        <v>0.53125</v>
      </c>
      <c r="X40" s="212" t="str">
        <f>'2° Parcial'!Q38</f>
        <v>A</v>
      </c>
      <c r="Y40" s="221">
        <f>'2° Parcial'!T38</f>
        <v>56</v>
      </c>
      <c r="Z40" s="222" t="str">
        <f>'2° Parcial'!U38</f>
        <v/>
      </c>
      <c r="AA40" s="223" t="str">
        <f>'2° Parcial'!V38</f>
        <v/>
      </c>
      <c r="AB40" s="224">
        <f>'2° Parcial'!Y38</f>
        <v>46342</v>
      </c>
      <c r="AC40" s="225">
        <f>'2° Parcial'!Z38</f>
        <v>0.53125</v>
      </c>
      <c r="AD40" s="223" t="str">
        <f>'2° Parcial'!AA38</f>
        <v/>
      </c>
      <c r="AE40" s="213">
        <f>Ex.Final!I38</f>
        <v>46363</v>
      </c>
      <c r="AF40" s="214">
        <f>Ex.Final!J38</f>
        <v>0.53125</v>
      </c>
      <c r="AG40" s="214" t="str">
        <f>Ex.Final!O38</f>
        <v/>
      </c>
      <c r="AH40" s="226">
        <f>Ex.Final!Q38</f>
        <v>77</v>
      </c>
      <c r="AI40" s="227" t="str">
        <f>Ex.Final!R38</f>
        <v/>
      </c>
      <c r="AJ40" s="227" t="str">
        <f>Ex.Final!S38</f>
        <v/>
      </c>
      <c r="AK40" s="228">
        <f>Ex.Final!U38</f>
        <v>46363</v>
      </c>
      <c r="AL40" s="227">
        <f>Ex.Final!V38</f>
        <v>0.53125</v>
      </c>
      <c r="AM40" s="227" t="str">
        <f>Ex.Final!W38</f>
        <v/>
      </c>
      <c r="AN40" s="229">
        <f>'2° Instancia'!I38</f>
        <v>46373</v>
      </c>
      <c r="AO40" s="230">
        <f>'2° Instancia'!J38</f>
        <v>0.7604166667</v>
      </c>
      <c r="AP40" s="124"/>
    </row>
    <row r="41">
      <c r="A41" s="90"/>
      <c r="B41" s="96" t="str">
        <f>'1° Parcial'!B39</f>
        <v>ARQUITECTURA DE NUEVAS TECNOLÓGIAS</v>
      </c>
      <c r="C41" s="99" t="str">
        <f>'1° Parcial'!C39</f>
        <v>SIS-313</v>
      </c>
      <c r="D41" s="100" t="str">
        <f>'1° Parcial'!D39</f>
        <v>5º </v>
      </c>
      <c r="E41" s="100" t="str">
        <f>'1° Parcial'!E39</f>
        <v>TA-01</v>
      </c>
      <c r="F41" s="103" t="str">
        <f>'1° Parcial'!F39</f>
        <v>JANNETH SOFIA MEDINA ALEMAN</v>
      </c>
      <c r="G41" s="209">
        <f>'1° Parcial'!J39</f>
        <v>46284</v>
      </c>
      <c r="H41" s="210">
        <f>'1° Parcial'!K39</f>
        <v>0.34375</v>
      </c>
      <c r="I41" s="211">
        <f>'2° Parcial'!J39</f>
        <v>46340</v>
      </c>
      <c r="J41" s="212">
        <f>'2° Parcial'!K39</f>
        <v>0.34375</v>
      </c>
      <c r="K41" s="213">
        <f>Ex.Final!I39</f>
        <v>46361</v>
      </c>
      <c r="L41" s="214">
        <f>Ex.Final!J39</f>
        <v>0.34375</v>
      </c>
      <c r="M41" s="209">
        <f>'1° Parcial'!O39</f>
        <v>46277</v>
      </c>
      <c r="N41" s="215">
        <f>'1° Parcial'!P39</f>
        <v>0.34375</v>
      </c>
      <c r="O41" s="215" t="str">
        <f>'1° Parcial'!Q39</f>
        <v>A</v>
      </c>
      <c r="P41" s="216" t="str">
        <f>'1° Parcial'!T39</f>
        <v/>
      </c>
      <c r="Q41" s="217" t="str">
        <f>'1° Parcial'!U39</f>
        <v/>
      </c>
      <c r="R41" s="218" t="str">
        <f>'1° Parcial'!V39</f>
        <v/>
      </c>
      <c r="S41" s="219" t="str">
        <f>'1° Parcial'!X39</f>
        <v/>
      </c>
      <c r="T41" s="220">
        <f>'1° Parcial'!Z39</f>
        <v>0.34375</v>
      </c>
      <c r="U41" s="218" t="str">
        <f>'1° Parcial'!AA39</f>
        <v/>
      </c>
      <c r="V41" s="211">
        <f>'2° Parcial'!O39</f>
        <v>46333</v>
      </c>
      <c r="W41" s="212">
        <f>'2° Parcial'!P39</f>
        <v>0.34375</v>
      </c>
      <c r="X41" s="212" t="str">
        <f>'2° Parcial'!Q39</f>
        <v>A</v>
      </c>
      <c r="Y41" s="221">
        <f>'2° Parcial'!T39</f>
        <v>56</v>
      </c>
      <c r="Z41" s="222" t="str">
        <f>'2° Parcial'!U39</f>
        <v/>
      </c>
      <c r="AA41" s="223" t="str">
        <f>'2° Parcial'!V39</f>
        <v/>
      </c>
      <c r="AB41" s="224">
        <f>'2° Parcial'!Y39</f>
        <v>46340</v>
      </c>
      <c r="AC41" s="225">
        <f>'2° Parcial'!Z39</f>
        <v>0.34375</v>
      </c>
      <c r="AD41" s="223" t="str">
        <f>'2° Parcial'!AA39</f>
        <v/>
      </c>
      <c r="AE41" s="213">
        <f>Ex.Final!I39</f>
        <v>46361</v>
      </c>
      <c r="AF41" s="214">
        <f>Ex.Final!J39</f>
        <v>0.34375</v>
      </c>
      <c r="AG41" s="214" t="str">
        <f>Ex.Final!O39</f>
        <v/>
      </c>
      <c r="AH41" s="226">
        <f>Ex.Final!Q39</f>
        <v>77</v>
      </c>
      <c r="AI41" s="227" t="str">
        <f>Ex.Final!R39</f>
        <v/>
      </c>
      <c r="AJ41" s="227" t="str">
        <f>Ex.Final!S39</f>
        <v/>
      </c>
      <c r="AK41" s="228">
        <f>Ex.Final!U39</f>
        <v>46361</v>
      </c>
      <c r="AL41" s="227">
        <f>Ex.Final!V39</f>
        <v>0.34375</v>
      </c>
      <c r="AM41" s="227" t="str">
        <f>Ex.Final!W39</f>
        <v/>
      </c>
      <c r="AN41" s="229">
        <f>'2° Instancia'!I39</f>
        <v>46373</v>
      </c>
      <c r="AO41" s="230">
        <f>'2° Instancia'!J39</f>
        <v>0.8020833333</v>
      </c>
      <c r="AP41" s="124"/>
    </row>
    <row r="42">
      <c r="A42" s="90"/>
      <c r="B42" s="96" t="str">
        <f>'1° Parcial'!B40</f>
        <v>ANÁLISIS DE SISTEMAS I</v>
      </c>
      <c r="C42" s="99" t="str">
        <f>'1° Parcial'!C40</f>
        <v>SIS-314</v>
      </c>
      <c r="D42" s="100" t="str">
        <f>'1° Parcial'!D40</f>
        <v>5º </v>
      </c>
      <c r="E42" s="100" t="str">
        <f>'1° Parcial'!E40</f>
        <v>TA-01</v>
      </c>
      <c r="F42" s="103" t="str">
        <f>'1° Parcial'!F40</f>
        <v>MARIA LUZ DEL CASTILLO GONZALES</v>
      </c>
      <c r="G42" s="209">
        <f>'1° Parcial'!J40</f>
        <v>46293</v>
      </c>
      <c r="H42" s="210">
        <f>'1° Parcial'!K40</f>
        <v>0.65625</v>
      </c>
      <c r="I42" s="211">
        <f>'2° Parcial'!J40</f>
        <v>46349</v>
      </c>
      <c r="J42" s="212">
        <f>'2° Parcial'!K40</f>
        <v>0.65625</v>
      </c>
      <c r="K42" s="213">
        <f>Ex.Final!I40</f>
        <v>46370</v>
      </c>
      <c r="L42" s="214">
        <f>Ex.Final!J40</f>
        <v>0.65625</v>
      </c>
      <c r="M42" s="209">
        <f>'1° Parcial'!O40</f>
        <v>46286</v>
      </c>
      <c r="N42" s="215">
        <f>'1° Parcial'!P40</f>
        <v>0.65625</v>
      </c>
      <c r="O42" s="215" t="str">
        <f>'1° Parcial'!Q40</f>
        <v>A</v>
      </c>
      <c r="P42" s="216" t="str">
        <f>'1° Parcial'!T40</f>
        <v/>
      </c>
      <c r="Q42" s="217" t="str">
        <f>'1° Parcial'!U40</f>
        <v/>
      </c>
      <c r="R42" s="218" t="str">
        <f>'1° Parcial'!V40</f>
        <v/>
      </c>
      <c r="S42" s="219" t="str">
        <f>'1° Parcial'!X40</f>
        <v/>
      </c>
      <c r="T42" s="220">
        <f>'1° Parcial'!Z40</f>
        <v>0.65625</v>
      </c>
      <c r="U42" s="218" t="str">
        <f>'1° Parcial'!AA40</f>
        <v/>
      </c>
      <c r="V42" s="211">
        <f>'2° Parcial'!O40</f>
        <v>46342</v>
      </c>
      <c r="W42" s="212">
        <f>'2° Parcial'!P40</f>
        <v>0.65625</v>
      </c>
      <c r="X42" s="212" t="str">
        <f>'2° Parcial'!Q40</f>
        <v>A</v>
      </c>
      <c r="Y42" s="221">
        <f>'2° Parcial'!T40</f>
        <v>56</v>
      </c>
      <c r="Z42" s="222" t="str">
        <f>'2° Parcial'!U40</f>
        <v/>
      </c>
      <c r="AA42" s="223" t="str">
        <f>'2° Parcial'!V40</f>
        <v/>
      </c>
      <c r="AB42" s="224">
        <f>'2° Parcial'!Y40</f>
        <v>46349</v>
      </c>
      <c r="AC42" s="225">
        <f>'2° Parcial'!Z40</f>
        <v>0.65625</v>
      </c>
      <c r="AD42" s="223" t="str">
        <f>'2° Parcial'!AA40</f>
        <v/>
      </c>
      <c r="AE42" s="213">
        <f>Ex.Final!I40</f>
        <v>46370</v>
      </c>
      <c r="AF42" s="214">
        <f>Ex.Final!J40</f>
        <v>0.65625</v>
      </c>
      <c r="AG42" s="214" t="str">
        <f>Ex.Final!O40</f>
        <v/>
      </c>
      <c r="AH42" s="226">
        <f>Ex.Final!Q40</f>
        <v>77</v>
      </c>
      <c r="AI42" s="227" t="str">
        <f>Ex.Final!R40</f>
        <v/>
      </c>
      <c r="AJ42" s="227" t="str">
        <f>Ex.Final!S40</f>
        <v/>
      </c>
      <c r="AK42" s="228">
        <f>Ex.Final!U40</f>
        <v>46370</v>
      </c>
      <c r="AL42" s="227">
        <f>Ex.Final!V40</f>
        <v>0.65625</v>
      </c>
      <c r="AM42" s="227" t="str">
        <f>Ex.Final!W40</f>
        <v/>
      </c>
      <c r="AN42" s="229">
        <f>'2° Instancia'!I40</f>
        <v>46373</v>
      </c>
      <c r="AO42" s="230">
        <f>'2° Instancia'!J40</f>
        <v>0.84375</v>
      </c>
      <c r="AP42" s="124"/>
    </row>
    <row r="43">
      <c r="A43" s="90"/>
      <c r="B43" s="96" t="str">
        <f>'1° Parcial'!B41</f>
        <v>INFORMÁTICA FORENSE</v>
      </c>
      <c r="C43" s="99" t="str">
        <f>'1° Parcial'!C41</f>
        <v>SIS-315</v>
      </c>
      <c r="D43" s="100" t="str">
        <f>'1° Parcial'!D41</f>
        <v>5º </v>
      </c>
      <c r="E43" s="100" t="str">
        <f>'1° Parcial'!E41</f>
        <v>TA-01</v>
      </c>
      <c r="F43" s="103" t="str">
        <f>'1° Parcial'!F41</f>
        <v>GUSTAVO MAGARIÑOS CAMACHO</v>
      </c>
      <c r="G43" s="209">
        <f>'1° Parcial'!J41</f>
        <v>46280</v>
      </c>
      <c r="H43" s="210">
        <f>'1° Parcial'!K41</f>
        <v>0.65625</v>
      </c>
      <c r="I43" s="211">
        <f>'2° Parcial'!J41</f>
        <v>46336</v>
      </c>
      <c r="J43" s="212">
        <f>'2° Parcial'!K41</f>
        <v>0.65625</v>
      </c>
      <c r="K43" s="213">
        <f>Ex.Final!I41</f>
        <v>46357</v>
      </c>
      <c r="L43" s="214">
        <f>Ex.Final!J41</f>
        <v>0.65625</v>
      </c>
      <c r="M43" s="209">
        <f>'1° Parcial'!O41</f>
        <v>46273</v>
      </c>
      <c r="N43" s="215">
        <f>'1° Parcial'!P41</f>
        <v>0.65625</v>
      </c>
      <c r="O43" s="215" t="str">
        <f>'1° Parcial'!Q41</f>
        <v>A</v>
      </c>
      <c r="P43" s="216" t="str">
        <f>'1° Parcial'!T41</f>
        <v/>
      </c>
      <c r="Q43" s="217" t="str">
        <f>'1° Parcial'!U41</f>
        <v/>
      </c>
      <c r="R43" s="218" t="str">
        <f>'1° Parcial'!V41</f>
        <v/>
      </c>
      <c r="S43" s="219" t="str">
        <f>'1° Parcial'!X41</f>
        <v/>
      </c>
      <c r="T43" s="220">
        <f>'1° Parcial'!Z41</f>
        <v>0.65625</v>
      </c>
      <c r="U43" s="218" t="str">
        <f>'1° Parcial'!AA41</f>
        <v/>
      </c>
      <c r="V43" s="211">
        <f>'2° Parcial'!O41</f>
        <v>46329</v>
      </c>
      <c r="W43" s="212">
        <f>'2° Parcial'!P41</f>
        <v>0.65625</v>
      </c>
      <c r="X43" s="212" t="str">
        <f>'2° Parcial'!Q41</f>
        <v>A</v>
      </c>
      <c r="Y43" s="221">
        <f>'2° Parcial'!T41</f>
        <v>56</v>
      </c>
      <c r="Z43" s="222" t="str">
        <f>'2° Parcial'!U41</f>
        <v/>
      </c>
      <c r="AA43" s="223" t="str">
        <f>'2° Parcial'!V41</f>
        <v/>
      </c>
      <c r="AB43" s="224">
        <f>'2° Parcial'!Y41</f>
        <v>46336</v>
      </c>
      <c r="AC43" s="225">
        <f>'2° Parcial'!Z41</f>
        <v>0.65625</v>
      </c>
      <c r="AD43" s="223" t="str">
        <f>'2° Parcial'!AA41</f>
        <v/>
      </c>
      <c r="AE43" s="213">
        <f>Ex.Final!I41</f>
        <v>46357</v>
      </c>
      <c r="AF43" s="214">
        <f>Ex.Final!J41</f>
        <v>0.65625</v>
      </c>
      <c r="AG43" s="214" t="str">
        <f>Ex.Final!O41</f>
        <v/>
      </c>
      <c r="AH43" s="226">
        <f>Ex.Final!Q41</f>
        <v>77</v>
      </c>
      <c r="AI43" s="227" t="str">
        <f>Ex.Final!R41</f>
        <v/>
      </c>
      <c r="AJ43" s="227" t="str">
        <f>Ex.Final!S41</f>
        <v/>
      </c>
      <c r="AK43" s="228">
        <f>Ex.Final!U41</f>
        <v>46357</v>
      </c>
      <c r="AL43" s="227">
        <f>Ex.Final!V41</f>
        <v>0.65625</v>
      </c>
      <c r="AM43" s="227" t="str">
        <f>Ex.Final!W41</f>
        <v/>
      </c>
      <c r="AN43" s="229">
        <f>'2° Instancia'!I41</f>
        <v>46373</v>
      </c>
      <c r="AO43" s="230">
        <f>'2° Instancia'!J41</f>
        <v>0.8854166667</v>
      </c>
      <c r="AP43" s="124"/>
    </row>
    <row r="44">
      <c r="A44" s="90"/>
      <c r="B44" s="96" t="str">
        <f>'1° Parcial'!B42</f>
        <v>REDES Y COMUNICACIÓNES</v>
      </c>
      <c r="C44" s="99" t="str">
        <f>'1° Parcial'!C42</f>
        <v>SIS-316</v>
      </c>
      <c r="D44" s="100" t="str">
        <f>'1° Parcial'!D42</f>
        <v>5º </v>
      </c>
      <c r="E44" s="100" t="str">
        <f>'1° Parcial'!E42</f>
        <v>TA-01</v>
      </c>
      <c r="F44" s="103" t="str">
        <f>'1° Parcial'!F42</f>
        <v>GUSTAVO ADOLFO RIVERA ARTEAGA</v>
      </c>
      <c r="G44" s="209">
        <f>'1° Parcial'!J42</f>
        <v>46290</v>
      </c>
      <c r="H44" s="210">
        <f>'1° Parcial'!K42</f>
        <v>0.59375</v>
      </c>
      <c r="I44" s="211">
        <f>'2° Parcial'!J42</f>
        <v>46346</v>
      </c>
      <c r="J44" s="212">
        <f>'2° Parcial'!K42</f>
        <v>0.59375</v>
      </c>
      <c r="K44" s="213">
        <f>Ex.Final!I42</f>
        <v>46367</v>
      </c>
      <c r="L44" s="214">
        <f>Ex.Final!J42</f>
        <v>0.59375</v>
      </c>
      <c r="M44" s="209">
        <f>'1° Parcial'!O42</f>
        <v>46283</v>
      </c>
      <c r="N44" s="215">
        <f>'1° Parcial'!P42</f>
        <v>0.59375</v>
      </c>
      <c r="O44" s="215" t="str">
        <f>'1° Parcial'!Q42</f>
        <v>A</v>
      </c>
      <c r="P44" s="216" t="str">
        <f>'1° Parcial'!T42</f>
        <v/>
      </c>
      <c r="Q44" s="217" t="str">
        <f>'1° Parcial'!U42</f>
        <v/>
      </c>
      <c r="R44" s="218" t="str">
        <f>'1° Parcial'!V42</f>
        <v/>
      </c>
      <c r="S44" s="219" t="str">
        <f>'1° Parcial'!X42</f>
        <v/>
      </c>
      <c r="T44" s="220">
        <f>'1° Parcial'!Z42</f>
        <v>0.59375</v>
      </c>
      <c r="U44" s="218" t="str">
        <f>'1° Parcial'!AA42</f>
        <v/>
      </c>
      <c r="V44" s="211">
        <f>'2° Parcial'!O42</f>
        <v>46339</v>
      </c>
      <c r="W44" s="212">
        <f>'2° Parcial'!P42</f>
        <v>0.59375</v>
      </c>
      <c r="X44" s="212" t="str">
        <f>'2° Parcial'!Q42</f>
        <v>A</v>
      </c>
      <c r="Y44" s="221">
        <f>'2° Parcial'!T42</f>
        <v>56</v>
      </c>
      <c r="Z44" s="222" t="str">
        <f>'2° Parcial'!U42</f>
        <v/>
      </c>
      <c r="AA44" s="223" t="str">
        <f>'2° Parcial'!V42</f>
        <v/>
      </c>
      <c r="AB44" s="224">
        <f>'2° Parcial'!Y42</f>
        <v>46346</v>
      </c>
      <c r="AC44" s="225">
        <f>'2° Parcial'!Z42</f>
        <v>0.59375</v>
      </c>
      <c r="AD44" s="223" t="str">
        <f>'2° Parcial'!AA42</f>
        <v/>
      </c>
      <c r="AE44" s="213">
        <f>Ex.Final!I42</f>
        <v>46367</v>
      </c>
      <c r="AF44" s="214">
        <f>Ex.Final!J42</f>
        <v>0.59375</v>
      </c>
      <c r="AG44" s="214" t="str">
        <f>Ex.Final!O42</f>
        <v/>
      </c>
      <c r="AH44" s="226">
        <f>Ex.Final!Q42</f>
        <v>77</v>
      </c>
      <c r="AI44" s="227" t="str">
        <f>Ex.Final!R42</f>
        <v/>
      </c>
      <c r="AJ44" s="227" t="str">
        <f>Ex.Final!S42</f>
        <v/>
      </c>
      <c r="AK44" s="228">
        <f>Ex.Final!U42</f>
        <v>46367</v>
      </c>
      <c r="AL44" s="227">
        <f>Ex.Final!V42</f>
        <v>0.59375</v>
      </c>
      <c r="AM44" s="227" t="str">
        <f>Ex.Final!W42</f>
        <v/>
      </c>
      <c r="AN44" s="229">
        <f>'2° Instancia'!I42</f>
        <v>46373</v>
      </c>
      <c r="AO44" s="230">
        <f>'2° Instancia'!J42</f>
        <v>0.9270833333</v>
      </c>
      <c r="AP44" s="124"/>
    </row>
    <row r="45">
      <c r="A45" s="90"/>
      <c r="B45" s="96" t="str">
        <f>'1° Parcial'!B43</f>
        <v>CONCEPTOS AVANZADOS DE BASE DE DATOS</v>
      </c>
      <c r="C45" s="99" t="str">
        <f>'1° Parcial'!C43</f>
        <v>SIS-317</v>
      </c>
      <c r="D45" s="100" t="str">
        <f>'1° Parcial'!D43</f>
        <v>5º </v>
      </c>
      <c r="E45" s="100" t="str">
        <f>'1° Parcial'!E43</f>
        <v>TA-01</v>
      </c>
      <c r="F45" s="103" t="str">
        <f>'1° Parcial'!F43</f>
        <v>AMILKAR JESUS MIRANDA ROMERO</v>
      </c>
      <c r="G45" s="209">
        <f>'1° Parcial'!J43</f>
        <v>46288</v>
      </c>
      <c r="H45" s="210">
        <f>'1° Parcial'!K43</f>
        <v>0.71875</v>
      </c>
      <c r="I45" s="211">
        <f>'2° Parcial'!J43</f>
        <v>46344</v>
      </c>
      <c r="J45" s="212">
        <f>'2° Parcial'!K43</f>
        <v>0.71875</v>
      </c>
      <c r="K45" s="213">
        <f>Ex.Final!I43</f>
        <v>46365</v>
      </c>
      <c r="L45" s="214">
        <f>Ex.Final!J43</f>
        <v>0.71875</v>
      </c>
      <c r="M45" s="209">
        <f>'1° Parcial'!O43</f>
        <v>46281</v>
      </c>
      <c r="N45" s="215">
        <f>'1° Parcial'!P43</f>
        <v>0.71875</v>
      </c>
      <c r="O45" s="215" t="str">
        <f>'1° Parcial'!Q43</f>
        <v>A</v>
      </c>
      <c r="P45" s="216" t="str">
        <f>'1° Parcial'!T43</f>
        <v/>
      </c>
      <c r="Q45" s="217" t="str">
        <f>'1° Parcial'!U43</f>
        <v/>
      </c>
      <c r="R45" s="218" t="str">
        <f>'1° Parcial'!V43</f>
        <v/>
      </c>
      <c r="S45" s="219" t="str">
        <f>'1° Parcial'!X43</f>
        <v/>
      </c>
      <c r="T45" s="220">
        <f>'1° Parcial'!Z43</f>
        <v>0.71875</v>
      </c>
      <c r="U45" s="218" t="str">
        <f>'1° Parcial'!AA43</f>
        <v/>
      </c>
      <c r="V45" s="211">
        <f>'2° Parcial'!O43</f>
        <v>46337</v>
      </c>
      <c r="W45" s="212">
        <f>'2° Parcial'!P43</f>
        <v>0.71875</v>
      </c>
      <c r="X45" s="212" t="str">
        <f>'2° Parcial'!Q43</f>
        <v>A</v>
      </c>
      <c r="Y45" s="221">
        <f>'2° Parcial'!T43</f>
        <v>56</v>
      </c>
      <c r="Z45" s="222" t="str">
        <f>'2° Parcial'!U43</f>
        <v/>
      </c>
      <c r="AA45" s="223" t="str">
        <f>'2° Parcial'!V43</f>
        <v/>
      </c>
      <c r="AB45" s="224">
        <f>'2° Parcial'!Y43</f>
        <v>46344</v>
      </c>
      <c r="AC45" s="225">
        <f>'2° Parcial'!Z43</f>
        <v>0.71875</v>
      </c>
      <c r="AD45" s="223" t="str">
        <f>'2° Parcial'!AA43</f>
        <v/>
      </c>
      <c r="AE45" s="213">
        <f>Ex.Final!I43</f>
        <v>46365</v>
      </c>
      <c r="AF45" s="214">
        <f>Ex.Final!J43</f>
        <v>0.71875</v>
      </c>
      <c r="AG45" s="214" t="str">
        <f>Ex.Final!O43</f>
        <v/>
      </c>
      <c r="AH45" s="226">
        <f>Ex.Final!Q43</f>
        <v>77</v>
      </c>
      <c r="AI45" s="227" t="str">
        <f>Ex.Final!R43</f>
        <v/>
      </c>
      <c r="AJ45" s="227" t="str">
        <f>Ex.Final!S43</f>
        <v/>
      </c>
      <c r="AK45" s="228">
        <f>Ex.Final!U43</f>
        <v>46365</v>
      </c>
      <c r="AL45" s="227">
        <f>Ex.Final!V43</f>
        <v>0.71875</v>
      </c>
      <c r="AM45" s="227" t="str">
        <f>Ex.Final!W43</f>
        <v/>
      </c>
      <c r="AN45" s="229">
        <f>'2° Instancia'!I43</f>
        <v>46373</v>
      </c>
      <c r="AO45" s="230">
        <f>'2° Instancia'!J43</f>
        <v>0.96875</v>
      </c>
      <c r="AP45" s="124"/>
    </row>
    <row r="46">
      <c r="A46" s="90"/>
      <c r="B46" s="96" t="str">
        <f>'1° Parcial'!B44</f>
        <v>ROBÓTICA</v>
      </c>
      <c r="C46" s="99" t="str">
        <f>'1° Parcial'!C44</f>
        <v>SIS-321</v>
      </c>
      <c r="D46" s="100" t="str">
        <f>'1° Parcial'!D44</f>
        <v>6º </v>
      </c>
      <c r="E46" s="100" t="str">
        <f>'1° Parcial'!E44</f>
        <v>TA-01</v>
      </c>
      <c r="F46" s="103" t="str">
        <f>'1° Parcial'!F44</f>
        <v>JOAQUIN RICARDO ARAOZ JALDIN</v>
      </c>
      <c r="G46" s="209">
        <f>'1° Parcial'!J44</f>
        <v>46280</v>
      </c>
      <c r="H46" s="210">
        <f>'1° Parcial'!K44</f>
        <v>0.65625</v>
      </c>
      <c r="I46" s="211">
        <f>'2° Parcial'!J44</f>
        <v>46336</v>
      </c>
      <c r="J46" s="212">
        <f>'2° Parcial'!K44</f>
        <v>0.65625</v>
      </c>
      <c r="K46" s="213">
        <f>Ex.Final!I44</f>
        <v>46357</v>
      </c>
      <c r="L46" s="214">
        <f>Ex.Final!J44</f>
        <v>0.65625</v>
      </c>
      <c r="M46" s="209">
        <f>'1° Parcial'!O44</f>
        <v>46273</v>
      </c>
      <c r="N46" s="215">
        <f>'1° Parcial'!P44</f>
        <v>0.65625</v>
      </c>
      <c r="O46" s="215" t="str">
        <f>'1° Parcial'!Q44</f>
        <v>A</v>
      </c>
      <c r="P46" s="216" t="str">
        <f>'1° Parcial'!T44</f>
        <v/>
      </c>
      <c r="Q46" s="217" t="str">
        <f>'1° Parcial'!U44</f>
        <v/>
      </c>
      <c r="R46" s="218" t="str">
        <f>'1° Parcial'!V44</f>
        <v/>
      </c>
      <c r="S46" s="219" t="str">
        <f>'1° Parcial'!X44</f>
        <v/>
      </c>
      <c r="T46" s="220">
        <f>'1° Parcial'!Z44</f>
        <v>0.65625</v>
      </c>
      <c r="U46" s="218" t="str">
        <f>'1° Parcial'!AA44</f>
        <v/>
      </c>
      <c r="V46" s="211">
        <f>'2° Parcial'!O44</f>
        <v>46329</v>
      </c>
      <c r="W46" s="212">
        <f>'2° Parcial'!P44</f>
        <v>0.65625</v>
      </c>
      <c r="X46" s="212" t="str">
        <f>'2° Parcial'!Q44</f>
        <v>A</v>
      </c>
      <c r="Y46" s="221">
        <f>'2° Parcial'!T44</f>
        <v>56</v>
      </c>
      <c r="Z46" s="222" t="str">
        <f>'2° Parcial'!U44</f>
        <v/>
      </c>
      <c r="AA46" s="223" t="str">
        <f>'2° Parcial'!V44</f>
        <v/>
      </c>
      <c r="AB46" s="224">
        <f>'2° Parcial'!Y44</f>
        <v>46336</v>
      </c>
      <c r="AC46" s="225">
        <f>'2° Parcial'!Z44</f>
        <v>0.65625</v>
      </c>
      <c r="AD46" s="223" t="str">
        <f>'2° Parcial'!AA44</f>
        <v/>
      </c>
      <c r="AE46" s="213">
        <f>Ex.Final!I44</f>
        <v>46357</v>
      </c>
      <c r="AF46" s="214">
        <f>Ex.Final!J44</f>
        <v>0.65625</v>
      </c>
      <c r="AG46" s="214" t="str">
        <f>Ex.Final!O44</f>
        <v/>
      </c>
      <c r="AH46" s="226">
        <f>Ex.Final!Q44</f>
        <v>77</v>
      </c>
      <c r="AI46" s="227" t="str">
        <f>Ex.Final!R44</f>
        <v/>
      </c>
      <c r="AJ46" s="227" t="str">
        <f>Ex.Final!S44</f>
        <v/>
      </c>
      <c r="AK46" s="228">
        <f>Ex.Final!U44</f>
        <v>46357</v>
      </c>
      <c r="AL46" s="227">
        <f>Ex.Final!V44</f>
        <v>0.65625</v>
      </c>
      <c r="AM46" s="227" t="str">
        <f>Ex.Final!W44</f>
        <v/>
      </c>
      <c r="AN46" s="229">
        <f>'2° Instancia'!I44</f>
        <v>46373</v>
      </c>
      <c r="AO46" s="230">
        <f>'2° Instancia'!J44</f>
        <v>1.010416667</v>
      </c>
      <c r="AP46" s="124"/>
    </row>
    <row r="47">
      <c r="A47" s="90"/>
      <c r="B47" s="96" t="str">
        <f>'1° Parcial'!B45</f>
        <v>INFRAESTRUCTURA TECNOLÓGICA</v>
      </c>
      <c r="C47" s="99" t="str">
        <f>'1° Parcial'!C45</f>
        <v>SIS-322</v>
      </c>
      <c r="D47" s="100" t="str">
        <f>'1° Parcial'!D45</f>
        <v>6º </v>
      </c>
      <c r="E47" s="100" t="str">
        <f>'1° Parcial'!E45</f>
        <v>TA-01</v>
      </c>
      <c r="F47" s="103" t="str">
        <f>'1° Parcial'!F45</f>
        <v>WILSON JAVIER CONTRERAS VARGAS</v>
      </c>
      <c r="G47" s="209">
        <f>'1° Parcial'!J45</f>
        <v>46288</v>
      </c>
      <c r="H47" s="210">
        <f>'1° Parcial'!K45</f>
        <v>0.65625</v>
      </c>
      <c r="I47" s="211">
        <f>'2° Parcial'!J45</f>
        <v>46344</v>
      </c>
      <c r="J47" s="212">
        <f>'2° Parcial'!K45</f>
        <v>0.65625</v>
      </c>
      <c r="K47" s="213">
        <f>Ex.Final!I45</f>
        <v>46365</v>
      </c>
      <c r="L47" s="214">
        <f>Ex.Final!J45</f>
        <v>0.65625</v>
      </c>
      <c r="M47" s="209">
        <f>'1° Parcial'!O45</f>
        <v>46281</v>
      </c>
      <c r="N47" s="215">
        <f>'1° Parcial'!P45</f>
        <v>0.65625</v>
      </c>
      <c r="O47" s="215" t="str">
        <f>'1° Parcial'!Q45</f>
        <v>A</v>
      </c>
      <c r="P47" s="216" t="str">
        <f>'1° Parcial'!T45</f>
        <v/>
      </c>
      <c r="Q47" s="217" t="str">
        <f>'1° Parcial'!U45</f>
        <v/>
      </c>
      <c r="R47" s="218" t="str">
        <f>'1° Parcial'!V45</f>
        <v/>
      </c>
      <c r="S47" s="219" t="str">
        <f>'1° Parcial'!X45</f>
        <v/>
      </c>
      <c r="T47" s="220">
        <f>'1° Parcial'!Z45</f>
        <v>0.65625</v>
      </c>
      <c r="U47" s="218" t="str">
        <f>'1° Parcial'!AA45</f>
        <v/>
      </c>
      <c r="V47" s="211">
        <f>'2° Parcial'!O45</f>
        <v>46337</v>
      </c>
      <c r="W47" s="212">
        <f>'2° Parcial'!P45</f>
        <v>0.65625</v>
      </c>
      <c r="X47" s="212" t="str">
        <f>'2° Parcial'!Q45</f>
        <v>A</v>
      </c>
      <c r="Y47" s="221">
        <f>'2° Parcial'!T45</f>
        <v>56</v>
      </c>
      <c r="Z47" s="222" t="str">
        <f>'2° Parcial'!U45</f>
        <v/>
      </c>
      <c r="AA47" s="223" t="str">
        <f>'2° Parcial'!V45</f>
        <v/>
      </c>
      <c r="AB47" s="224">
        <f>'2° Parcial'!Y45</f>
        <v>46344</v>
      </c>
      <c r="AC47" s="225">
        <f>'2° Parcial'!Z45</f>
        <v>0.65625</v>
      </c>
      <c r="AD47" s="223" t="str">
        <f>'2° Parcial'!AA45</f>
        <v/>
      </c>
      <c r="AE47" s="213">
        <f>Ex.Final!I45</f>
        <v>46365</v>
      </c>
      <c r="AF47" s="214">
        <f>Ex.Final!J45</f>
        <v>0.65625</v>
      </c>
      <c r="AG47" s="214" t="str">
        <f>Ex.Final!O45</f>
        <v/>
      </c>
      <c r="AH47" s="226">
        <f>Ex.Final!Q45</f>
        <v>77</v>
      </c>
      <c r="AI47" s="227" t="str">
        <f>Ex.Final!R45</f>
        <v/>
      </c>
      <c r="AJ47" s="227" t="str">
        <f>Ex.Final!S45</f>
        <v/>
      </c>
      <c r="AK47" s="228">
        <f>Ex.Final!U45</f>
        <v>46365</v>
      </c>
      <c r="AL47" s="227">
        <f>Ex.Final!V45</f>
        <v>0.65625</v>
      </c>
      <c r="AM47" s="227" t="str">
        <f>Ex.Final!W45</f>
        <v/>
      </c>
      <c r="AN47" s="229">
        <f>'2° Instancia'!I45</f>
        <v>46373</v>
      </c>
      <c r="AO47" s="230">
        <f>'2° Instancia'!J45</f>
        <v>1.052083333</v>
      </c>
      <c r="AP47" s="124"/>
    </row>
    <row r="48">
      <c r="A48" s="90"/>
      <c r="B48" s="96" t="str">
        <f>'1° Parcial'!B46</f>
        <v>ANÁLISIS DE SISTEMAS II</v>
      </c>
      <c r="C48" s="99" t="str">
        <f>'1° Parcial'!C46</f>
        <v>SIS-323</v>
      </c>
      <c r="D48" s="100" t="str">
        <f>'1° Parcial'!D46</f>
        <v>6º </v>
      </c>
      <c r="E48" s="100" t="str">
        <f>'1° Parcial'!E46</f>
        <v>TA-01</v>
      </c>
      <c r="F48" s="103" t="str">
        <f>'1° Parcial'!F46</f>
        <v>MARIA LUZ DEL CASTILLO GONZALES</v>
      </c>
      <c r="G48" s="209">
        <f>'1° Parcial'!J46</f>
        <v>46286</v>
      </c>
      <c r="H48" s="210">
        <f>'1° Parcial'!K46</f>
        <v>0.59375</v>
      </c>
      <c r="I48" s="211">
        <f>'2° Parcial'!J46</f>
        <v>46342</v>
      </c>
      <c r="J48" s="212">
        <f>'2° Parcial'!K46</f>
        <v>0.59375</v>
      </c>
      <c r="K48" s="213">
        <f>Ex.Final!I46</f>
        <v>46363</v>
      </c>
      <c r="L48" s="214">
        <f>Ex.Final!J46</f>
        <v>0.59375</v>
      </c>
      <c r="M48" s="209">
        <f>'1° Parcial'!O46</f>
        <v>46279</v>
      </c>
      <c r="N48" s="215">
        <f>'1° Parcial'!P46</f>
        <v>0.59375</v>
      </c>
      <c r="O48" s="215" t="str">
        <f>'1° Parcial'!Q46</f>
        <v>A</v>
      </c>
      <c r="P48" s="216" t="str">
        <f>'1° Parcial'!T46</f>
        <v/>
      </c>
      <c r="Q48" s="217" t="str">
        <f>'1° Parcial'!U46</f>
        <v/>
      </c>
      <c r="R48" s="218" t="str">
        <f>'1° Parcial'!V46</f>
        <v/>
      </c>
      <c r="S48" s="219" t="str">
        <f>'1° Parcial'!X46</f>
        <v/>
      </c>
      <c r="T48" s="220">
        <f>'1° Parcial'!Z46</f>
        <v>0.59375</v>
      </c>
      <c r="U48" s="218" t="str">
        <f>'1° Parcial'!AA46</f>
        <v/>
      </c>
      <c r="V48" s="211">
        <f>'2° Parcial'!O46</f>
        <v>46335</v>
      </c>
      <c r="W48" s="212">
        <f>'2° Parcial'!P46</f>
        <v>0.59375</v>
      </c>
      <c r="X48" s="212" t="str">
        <f>'2° Parcial'!Q46</f>
        <v>A</v>
      </c>
      <c r="Y48" s="221">
        <f>'2° Parcial'!T46</f>
        <v>56</v>
      </c>
      <c r="Z48" s="222" t="str">
        <f>'2° Parcial'!U46</f>
        <v/>
      </c>
      <c r="AA48" s="223" t="str">
        <f>'2° Parcial'!V46</f>
        <v/>
      </c>
      <c r="AB48" s="224">
        <f>'2° Parcial'!Y46</f>
        <v>46342</v>
      </c>
      <c r="AC48" s="225">
        <f>'2° Parcial'!Z46</f>
        <v>0.59375</v>
      </c>
      <c r="AD48" s="223" t="str">
        <f>'2° Parcial'!AA46</f>
        <v/>
      </c>
      <c r="AE48" s="213">
        <f>Ex.Final!I46</f>
        <v>46363</v>
      </c>
      <c r="AF48" s="214">
        <f>Ex.Final!J46</f>
        <v>0.59375</v>
      </c>
      <c r="AG48" s="214" t="str">
        <f>Ex.Final!O46</f>
        <v/>
      </c>
      <c r="AH48" s="226">
        <f>Ex.Final!Q46</f>
        <v>77</v>
      </c>
      <c r="AI48" s="227" t="str">
        <f>Ex.Final!R46</f>
        <v/>
      </c>
      <c r="AJ48" s="227" t="str">
        <f>Ex.Final!S46</f>
        <v/>
      </c>
      <c r="AK48" s="228">
        <f>Ex.Final!U46</f>
        <v>46363</v>
      </c>
      <c r="AL48" s="227">
        <f>Ex.Final!V46</f>
        <v>0.59375</v>
      </c>
      <c r="AM48" s="227" t="str">
        <f>Ex.Final!W46</f>
        <v/>
      </c>
      <c r="AN48" s="229">
        <f>'2° Instancia'!I46</f>
        <v>46373</v>
      </c>
      <c r="AO48" s="230">
        <f>'2° Instancia'!J46</f>
        <v>1.09375</v>
      </c>
      <c r="AP48" s="124"/>
    </row>
    <row r="49">
      <c r="A49" s="90"/>
      <c r="B49" s="96" t="str">
        <f>'1° Parcial'!B47</f>
        <v>INGENIERÍA DE MÉTODOS Y REINGENIERÍA</v>
      </c>
      <c r="C49" s="99" t="str">
        <f>'1° Parcial'!C47</f>
        <v>SIS-324</v>
      </c>
      <c r="D49" s="100" t="str">
        <f>'1° Parcial'!D47</f>
        <v>6º </v>
      </c>
      <c r="E49" s="100" t="str">
        <f>'1° Parcial'!E47</f>
        <v>TA-01</v>
      </c>
      <c r="F49" s="103" t="str">
        <f>'1° Parcial'!F47</f>
        <v>ELIANA LESLY MICORDIA ROMERO</v>
      </c>
      <c r="G49" s="209">
        <f>'1° Parcial'!J47</f>
        <v>46284</v>
      </c>
      <c r="H49" s="210">
        <f>'1° Parcial'!K47</f>
        <v>0.46875</v>
      </c>
      <c r="I49" s="211">
        <f>'2° Parcial'!J47</f>
        <v>46340</v>
      </c>
      <c r="J49" s="212">
        <f>'2° Parcial'!K47</f>
        <v>0.46875</v>
      </c>
      <c r="K49" s="213">
        <f>Ex.Final!I47</f>
        <v>46361</v>
      </c>
      <c r="L49" s="214">
        <f>Ex.Final!J47</f>
        <v>0.46875</v>
      </c>
      <c r="M49" s="209">
        <f>'1° Parcial'!O47</f>
        <v>46277</v>
      </c>
      <c r="N49" s="215">
        <f>'1° Parcial'!P47</f>
        <v>0.46875</v>
      </c>
      <c r="O49" s="215" t="str">
        <f>'1° Parcial'!Q47</f>
        <v>A</v>
      </c>
      <c r="P49" s="216" t="str">
        <f>'1° Parcial'!T47</f>
        <v/>
      </c>
      <c r="Q49" s="217" t="str">
        <f>'1° Parcial'!U47</f>
        <v/>
      </c>
      <c r="R49" s="218" t="str">
        <f>'1° Parcial'!V47</f>
        <v/>
      </c>
      <c r="S49" s="219" t="str">
        <f>'1° Parcial'!X47</f>
        <v/>
      </c>
      <c r="T49" s="220">
        <f>'1° Parcial'!Z47</f>
        <v>0.46875</v>
      </c>
      <c r="U49" s="218" t="str">
        <f>'1° Parcial'!AA47</f>
        <v/>
      </c>
      <c r="V49" s="211">
        <f>'2° Parcial'!O47</f>
        <v>46333</v>
      </c>
      <c r="W49" s="212">
        <f>'2° Parcial'!P47</f>
        <v>0.46875</v>
      </c>
      <c r="X49" s="212" t="str">
        <f>'2° Parcial'!Q47</f>
        <v>A</v>
      </c>
      <c r="Y49" s="221">
        <f>'2° Parcial'!T47</f>
        <v>56</v>
      </c>
      <c r="Z49" s="222" t="str">
        <f>'2° Parcial'!U47</f>
        <v/>
      </c>
      <c r="AA49" s="223" t="str">
        <f>'2° Parcial'!V47</f>
        <v/>
      </c>
      <c r="AB49" s="224">
        <f>'2° Parcial'!Y47</f>
        <v>46340</v>
      </c>
      <c r="AC49" s="225">
        <f>'2° Parcial'!Z47</f>
        <v>0.46875</v>
      </c>
      <c r="AD49" s="223" t="str">
        <f>'2° Parcial'!AA47</f>
        <v/>
      </c>
      <c r="AE49" s="213">
        <f>Ex.Final!I47</f>
        <v>46361</v>
      </c>
      <c r="AF49" s="214">
        <f>Ex.Final!J47</f>
        <v>0.46875</v>
      </c>
      <c r="AG49" s="214" t="str">
        <f>Ex.Final!O47</f>
        <v/>
      </c>
      <c r="AH49" s="226">
        <f>Ex.Final!Q47</f>
        <v>77</v>
      </c>
      <c r="AI49" s="227" t="str">
        <f>Ex.Final!R47</f>
        <v/>
      </c>
      <c r="AJ49" s="227" t="str">
        <f>Ex.Final!S47</f>
        <v/>
      </c>
      <c r="AK49" s="228">
        <f>Ex.Final!U47</f>
        <v>46361</v>
      </c>
      <c r="AL49" s="227">
        <f>Ex.Final!V47</f>
        <v>0.46875</v>
      </c>
      <c r="AM49" s="227" t="str">
        <f>Ex.Final!W47</f>
        <v/>
      </c>
      <c r="AN49" s="229">
        <f>'2° Instancia'!I47</f>
        <v>46373</v>
      </c>
      <c r="AO49" s="230">
        <f>'2° Instancia'!J47</f>
        <v>1.135416667</v>
      </c>
      <c r="AP49" s="124"/>
    </row>
    <row r="50">
      <c r="A50" s="90"/>
      <c r="B50" s="96" t="str">
        <f>'1° Parcial'!B48</f>
        <v>TALLER DE REDES</v>
      </c>
      <c r="C50" s="99" t="str">
        <f>'1° Parcial'!C48</f>
        <v>SIS-325</v>
      </c>
      <c r="D50" s="100" t="str">
        <f>'1° Parcial'!D48</f>
        <v>6º </v>
      </c>
      <c r="E50" s="100" t="str">
        <f>'1° Parcial'!E48</f>
        <v>TA-01</v>
      </c>
      <c r="F50" s="103" t="str">
        <f>'1° Parcial'!F48</f>
        <v>AMILKAR JESUS MIRANDA ROMERO</v>
      </c>
      <c r="G50" s="209">
        <f>'1° Parcial'!J48</f>
        <v>46282</v>
      </c>
      <c r="H50" s="210">
        <f>'1° Parcial'!K48</f>
        <v>0.71875</v>
      </c>
      <c r="I50" s="211">
        <f>'2° Parcial'!J48</f>
        <v>46338</v>
      </c>
      <c r="J50" s="212">
        <f>'2° Parcial'!K48</f>
        <v>0.71875</v>
      </c>
      <c r="K50" s="213">
        <f>Ex.Final!I48</f>
        <v>46359</v>
      </c>
      <c r="L50" s="214">
        <f>Ex.Final!J48</f>
        <v>0.71875</v>
      </c>
      <c r="M50" s="209">
        <f>'1° Parcial'!O48</f>
        <v>46275</v>
      </c>
      <c r="N50" s="215">
        <f>'1° Parcial'!P48</f>
        <v>0.71875</v>
      </c>
      <c r="O50" s="215" t="str">
        <f>'1° Parcial'!Q48</f>
        <v>A</v>
      </c>
      <c r="P50" s="216" t="str">
        <f>'1° Parcial'!T48</f>
        <v/>
      </c>
      <c r="Q50" s="217" t="str">
        <f>'1° Parcial'!U48</f>
        <v/>
      </c>
      <c r="R50" s="218" t="str">
        <f>'1° Parcial'!V48</f>
        <v/>
      </c>
      <c r="S50" s="219" t="str">
        <f>'1° Parcial'!X48</f>
        <v/>
      </c>
      <c r="T50" s="220">
        <f>'1° Parcial'!Z48</f>
        <v>0.71875</v>
      </c>
      <c r="U50" s="218" t="str">
        <f>'1° Parcial'!AA48</f>
        <v/>
      </c>
      <c r="V50" s="211">
        <f>'2° Parcial'!O48</f>
        <v>46331</v>
      </c>
      <c r="W50" s="212">
        <f>'2° Parcial'!P48</f>
        <v>0.71875</v>
      </c>
      <c r="X50" s="212" t="str">
        <f>'2° Parcial'!Q48</f>
        <v>A</v>
      </c>
      <c r="Y50" s="221">
        <f>'2° Parcial'!T48</f>
        <v>56</v>
      </c>
      <c r="Z50" s="222" t="str">
        <f>'2° Parcial'!U48</f>
        <v/>
      </c>
      <c r="AA50" s="223" t="str">
        <f>'2° Parcial'!V48</f>
        <v/>
      </c>
      <c r="AB50" s="224">
        <f>'2° Parcial'!Y48</f>
        <v>46338</v>
      </c>
      <c r="AC50" s="225">
        <f>'2° Parcial'!Z48</f>
        <v>0.71875</v>
      </c>
      <c r="AD50" s="223" t="str">
        <f>'2° Parcial'!AA48</f>
        <v/>
      </c>
      <c r="AE50" s="213">
        <f>Ex.Final!I48</f>
        <v>46359</v>
      </c>
      <c r="AF50" s="214">
        <f>Ex.Final!J48</f>
        <v>0.71875</v>
      </c>
      <c r="AG50" s="214" t="str">
        <f>Ex.Final!O48</f>
        <v/>
      </c>
      <c r="AH50" s="226">
        <f>Ex.Final!Q48</f>
        <v>77</v>
      </c>
      <c r="AI50" s="227" t="str">
        <f>Ex.Final!R48</f>
        <v/>
      </c>
      <c r="AJ50" s="227" t="str">
        <f>Ex.Final!S48</f>
        <v/>
      </c>
      <c r="AK50" s="228">
        <f>Ex.Final!U48</f>
        <v>46359</v>
      </c>
      <c r="AL50" s="227">
        <f>Ex.Final!V48</f>
        <v>0.71875</v>
      </c>
      <c r="AM50" s="227" t="str">
        <f>Ex.Final!W48</f>
        <v/>
      </c>
      <c r="AN50" s="229">
        <f>'2° Instancia'!I48</f>
        <v>46373</v>
      </c>
      <c r="AO50" s="230">
        <f>'2° Instancia'!J48</f>
        <v>1.177083333</v>
      </c>
      <c r="AP50" s="124"/>
    </row>
    <row r="51">
      <c r="A51" s="90"/>
      <c r="B51" s="96" t="str">
        <f>'1° Parcial'!B49</f>
        <v>LENGUAJES DE PROGRAMACIÓN DE ÚLTIMA GENERACIÓN</v>
      </c>
      <c r="C51" s="99" t="str">
        <f>'1° Parcial'!C49</f>
        <v>SIS-326</v>
      </c>
      <c r="D51" s="100" t="str">
        <f>'1° Parcial'!D49</f>
        <v>6º </v>
      </c>
      <c r="E51" s="100" t="str">
        <f>'1° Parcial'!E49</f>
        <v>TA-01</v>
      </c>
      <c r="F51" s="103" t="str">
        <f>'1° Parcial'!F49</f>
        <v>HAROLD MARCO ANTONIO ROJAS TORRES</v>
      </c>
      <c r="G51" s="209">
        <f>'1° Parcial'!J49</f>
        <v>46293</v>
      </c>
      <c r="H51" s="210">
        <f>'1° Parcial'!K49</f>
        <v>0.65625</v>
      </c>
      <c r="I51" s="211">
        <f>'2° Parcial'!J49</f>
        <v>46349</v>
      </c>
      <c r="J51" s="212">
        <f>'2° Parcial'!K49</f>
        <v>0.65625</v>
      </c>
      <c r="K51" s="213">
        <f>Ex.Final!I49</f>
        <v>46370</v>
      </c>
      <c r="L51" s="214">
        <f>Ex.Final!J49</f>
        <v>0.65625</v>
      </c>
      <c r="M51" s="209">
        <f>'1° Parcial'!O49</f>
        <v>46286</v>
      </c>
      <c r="N51" s="215">
        <f>'1° Parcial'!P49</f>
        <v>0.65625</v>
      </c>
      <c r="O51" s="215" t="str">
        <f>'1° Parcial'!Q49</f>
        <v>A</v>
      </c>
      <c r="P51" s="216" t="str">
        <f>'1° Parcial'!T49</f>
        <v/>
      </c>
      <c r="Q51" s="217" t="str">
        <f>'1° Parcial'!U49</f>
        <v/>
      </c>
      <c r="R51" s="218" t="str">
        <f>'1° Parcial'!V49</f>
        <v/>
      </c>
      <c r="S51" s="219" t="str">
        <f>'1° Parcial'!X49</f>
        <v/>
      </c>
      <c r="T51" s="220">
        <f>'1° Parcial'!Z49</f>
        <v>0.65625</v>
      </c>
      <c r="U51" s="218" t="str">
        <f>'1° Parcial'!AA49</f>
        <v/>
      </c>
      <c r="V51" s="211">
        <f>'2° Parcial'!O49</f>
        <v>46342</v>
      </c>
      <c r="W51" s="212">
        <f>'2° Parcial'!P49</f>
        <v>0.65625</v>
      </c>
      <c r="X51" s="212" t="str">
        <f>'2° Parcial'!Q49</f>
        <v>A</v>
      </c>
      <c r="Y51" s="221">
        <f>'2° Parcial'!T49</f>
        <v>56</v>
      </c>
      <c r="Z51" s="222" t="str">
        <f>'2° Parcial'!U49</f>
        <v/>
      </c>
      <c r="AA51" s="223" t="str">
        <f>'2° Parcial'!V49</f>
        <v/>
      </c>
      <c r="AB51" s="224">
        <f>'2° Parcial'!Y49</f>
        <v>46349</v>
      </c>
      <c r="AC51" s="225">
        <f>'2° Parcial'!Z49</f>
        <v>0.65625</v>
      </c>
      <c r="AD51" s="223" t="str">
        <f>'2° Parcial'!AA49</f>
        <v/>
      </c>
      <c r="AE51" s="213">
        <f>Ex.Final!I49</f>
        <v>46370</v>
      </c>
      <c r="AF51" s="214">
        <f>Ex.Final!J49</f>
        <v>0.65625</v>
      </c>
      <c r="AG51" s="214" t="str">
        <f>Ex.Final!O49</f>
        <v/>
      </c>
      <c r="AH51" s="226">
        <f>Ex.Final!Q49</f>
        <v>77</v>
      </c>
      <c r="AI51" s="227" t="str">
        <f>Ex.Final!R49</f>
        <v/>
      </c>
      <c r="AJ51" s="227" t="str">
        <f>Ex.Final!S49</f>
        <v/>
      </c>
      <c r="AK51" s="228">
        <f>Ex.Final!U49</f>
        <v>46370</v>
      </c>
      <c r="AL51" s="227">
        <f>Ex.Final!V49</f>
        <v>0.65625</v>
      </c>
      <c r="AM51" s="227" t="str">
        <f>Ex.Final!W49</f>
        <v/>
      </c>
      <c r="AN51" s="229">
        <f>'2° Instancia'!I49</f>
        <v>46373</v>
      </c>
      <c r="AO51" s="230">
        <f>'2° Instancia'!J49</f>
        <v>1.21875</v>
      </c>
      <c r="AP51" s="124"/>
    </row>
    <row r="52">
      <c r="A52" s="90"/>
      <c r="B52" s="96" t="str">
        <f>'1° Parcial'!B50</f>
        <v>MÉTODOS Y TÉCNICAS DE INVESTIGACIÓN</v>
      </c>
      <c r="C52" s="99" t="str">
        <f>'1° Parcial'!C50</f>
        <v>SIS-411</v>
      </c>
      <c r="D52" s="100" t="str">
        <f>'1° Parcial'!D50</f>
        <v>7º </v>
      </c>
      <c r="E52" s="100" t="str">
        <f>'1° Parcial'!E50</f>
        <v>TA-01</v>
      </c>
      <c r="F52" s="103" t="str">
        <f>'1° Parcial'!F50</f>
        <v>EDWIN WINDSOR JARA ARIAS</v>
      </c>
      <c r="G52" s="209">
        <f>'1° Parcial'!J50</f>
        <v>46288</v>
      </c>
      <c r="H52" s="210">
        <f>'1° Parcial'!K50</f>
        <v>0.71875</v>
      </c>
      <c r="I52" s="211">
        <f>'2° Parcial'!J50</f>
        <v>46344</v>
      </c>
      <c r="J52" s="212">
        <f>'2° Parcial'!K50</f>
        <v>0.71875</v>
      </c>
      <c r="K52" s="213">
        <f>Ex.Final!I50</f>
        <v>46365</v>
      </c>
      <c r="L52" s="214">
        <f>Ex.Final!J50</f>
        <v>0.71875</v>
      </c>
      <c r="M52" s="209">
        <f>'1° Parcial'!O50</f>
        <v>46281</v>
      </c>
      <c r="N52" s="215">
        <f>'1° Parcial'!P50</f>
        <v>0.71875</v>
      </c>
      <c r="O52" s="215" t="str">
        <f>'1° Parcial'!Q50</f>
        <v>A</v>
      </c>
      <c r="P52" s="216" t="str">
        <f>'1° Parcial'!T50</f>
        <v/>
      </c>
      <c r="Q52" s="217" t="str">
        <f>'1° Parcial'!U50</f>
        <v/>
      </c>
      <c r="R52" s="218" t="str">
        <f>'1° Parcial'!V50</f>
        <v/>
      </c>
      <c r="S52" s="219" t="str">
        <f>'1° Parcial'!X50</f>
        <v/>
      </c>
      <c r="T52" s="220">
        <f>'1° Parcial'!Z50</f>
        <v>0.71875</v>
      </c>
      <c r="U52" s="218" t="str">
        <f>'1° Parcial'!AA50</f>
        <v/>
      </c>
      <c r="V52" s="211">
        <f>'2° Parcial'!O50</f>
        <v>46337</v>
      </c>
      <c r="W52" s="212">
        <f>'2° Parcial'!P50</f>
        <v>0.71875</v>
      </c>
      <c r="X52" s="212" t="str">
        <f>'2° Parcial'!Q50</f>
        <v>A</v>
      </c>
      <c r="Y52" s="221">
        <f>'2° Parcial'!T50</f>
        <v>56</v>
      </c>
      <c r="Z52" s="222" t="str">
        <f>'2° Parcial'!U50</f>
        <v/>
      </c>
      <c r="AA52" s="223" t="str">
        <f>'2° Parcial'!V50</f>
        <v/>
      </c>
      <c r="AB52" s="224">
        <f>'2° Parcial'!Y50</f>
        <v>46344</v>
      </c>
      <c r="AC52" s="225">
        <f>'2° Parcial'!Z50</f>
        <v>0.71875</v>
      </c>
      <c r="AD52" s="223" t="str">
        <f>'2° Parcial'!AA50</f>
        <v/>
      </c>
      <c r="AE52" s="213">
        <f>Ex.Final!I50</f>
        <v>46365</v>
      </c>
      <c r="AF52" s="214">
        <f>Ex.Final!J50</f>
        <v>0.71875</v>
      </c>
      <c r="AG52" s="214" t="str">
        <f>Ex.Final!O50</f>
        <v/>
      </c>
      <c r="AH52" s="226">
        <f>Ex.Final!Q50</f>
        <v>77</v>
      </c>
      <c r="AI52" s="227" t="str">
        <f>Ex.Final!R50</f>
        <v/>
      </c>
      <c r="AJ52" s="227" t="str">
        <f>Ex.Final!S50</f>
        <v/>
      </c>
      <c r="AK52" s="228">
        <f>Ex.Final!U50</f>
        <v>46365</v>
      </c>
      <c r="AL52" s="227">
        <f>Ex.Final!V50</f>
        <v>0.71875</v>
      </c>
      <c r="AM52" s="227" t="str">
        <f>Ex.Final!W50</f>
        <v/>
      </c>
      <c r="AN52" s="229">
        <f>'2° Instancia'!I50</f>
        <v>46373</v>
      </c>
      <c r="AO52" s="230">
        <f>'2° Instancia'!J50</f>
        <v>1.260416667</v>
      </c>
      <c r="AP52" s="124"/>
    </row>
    <row r="53">
      <c r="A53" s="90"/>
      <c r="B53" s="96" t="str">
        <f>'1° Parcial'!B51</f>
        <v>REDES NEURONALES E INTELIGENCIA ARTIFICIAL</v>
      </c>
      <c r="C53" s="99" t="str">
        <f>'1° Parcial'!C51</f>
        <v>SIS-412</v>
      </c>
      <c r="D53" s="100" t="str">
        <f>'1° Parcial'!D51</f>
        <v>7º </v>
      </c>
      <c r="E53" s="100" t="str">
        <f>'1° Parcial'!E51</f>
        <v>TA-01</v>
      </c>
      <c r="F53" s="103" t="str">
        <f>'1° Parcial'!F51</f>
        <v>BLADIMIR MARCELO AJATA GUZMAN</v>
      </c>
      <c r="G53" s="209">
        <f>'1° Parcial'!J51</f>
        <v>46286</v>
      </c>
      <c r="H53" s="210">
        <f>'1° Parcial'!K51</f>
        <v>0.78125</v>
      </c>
      <c r="I53" s="211">
        <f>'2° Parcial'!J51</f>
        <v>46342</v>
      </c>
      <c r="J53" s="212">
        <f>'2° Parcial'!K51</f>
        <v>0.78125</v>
      </c>
      <c r="K53" s="213">
        <f>Ex.Final!I51</f>
        <v>46363</v>
      </c>
      <c r="L53" s="214">
        <f>Ex.Final!J51</f>
        <v>0.78125</v>
      </c>
      <c r="M53" s="209">
        <f>'1° Parcial'!O51</f>
        <v>46279</v>
      </c>
      <c r="N53" s="215">
        <f>'1° Parcial'!P51</f>
        <v>0.78125</v>
      </c>
      <c r="O53" s="215" t="str">
        <f>'1° Parcial'!Q51</f>
        <v>A</v>
      </c>
      <c r="P53" s="216" t="str">
        <f>'1° Parcial'!T51</f>
        <v/>
      </c>
      <c r="Q53" s="217" t="str">
        <f>'1° Parcial'!U51</f>
        <v/>
      </c>
      <c r="R53" s="218" t="str">
        <f>'1° Parcial'!V51</f>
        <v/>
      </c>
      <c r="S53" s="219" t="str">
        <f>'1° Parcial'!X51</f>
        <v/>
      </c>
      <c r="T53" s="220">
        <f>'1° Parcial'!Z51</f>
        <v>0.78125</v>
      </c>
      <c r="U53" s="218" t="str">
        <f>'1° Parcial'!AA51</f>
        <v/>
      </c>
      <c r="V53" s="211">
        <f>'2° Parcial'!O51</f>
        <v>46335</v>
      </c>
      <c r="W53" s="212">
        <f>'2° Parcial'!P51</f>
        <v>0.78125</v>
      </c>
      <c r="X53" s="212" t="str">
        <f>'2° Parcial'!Q51</f>
        <v>A</v>
      </c>
      <c r="Y53" s="221">
        <f>'2° Parcial'!T51</f>
        <v>56</v>
      </c>
      <c r="Z53" s="222" t="str">
        <f>'2° Parcial'!U51</f>
        <v/>
      </c>
      <c r="AA53" s="223" t="str">
        <f>'2° Parcial'!V51</f>
        <v/>
      </c>
      <c r="AB53" s="224">
        <f>'2° Parcial'!Y51</f>
        <v>46342</v>
      </c>
      <c r="AC53" s="225">
        <f>'2° Parcial'!Z51</f>
        <v>0.78125</v>
      </c>
      <c r="AD53" s="223" t="str">
        <f>'2° Parcial'!AA51</f>
        <v/>
      </c>
      <c r="AE53" s="213">
        <f>Ex.Final!I51</f>
        <v>46363</v>
      </c>
      <c r="AF53" s="214">
        <f>Ex.Final!J51</f>
        <v>0.78125</v>
      </c>
      <c r="AG53" s="214" t="str">
        <f>Ex.Final!O51</f>
        <v/>
      </c>
      <c r="AH53" s="226">
        <f>Ex.Final!Q51</f>
        <v>77</v>
      </c>
      <c r="AI53" s="227" t="str">
        <f>Ex.Final!R51</f>
        <v/>
      </c>
      <c r="AJ53" s="227" t="str">
        <f>Ex.Final!S51</f>
        <v/>
      </c>
      <c r="AK53" s="228">
        <f>Ex.Final!U51</f>
        <v>46363</v>
      </c>
      <c r="AL53" s="227">
        <f>Ex.Final!V51</f>
        <v>0.78125</v>
      </c>
      <c r="AM53" s="227" t="str">
        <f>Ex.Final!W51</f>
        <v/>
      </c>
      <c r="AN53" s="229">
        <f>'2° Instancia'!I51</f>
        <v>46373</v>
      </c>
      <c r="AO53" s="230">
        <f>'2° Instancia'!J51</f>
        <v>1.302083333</v>
      </c>
      <c r="AP53" s="124"/>
    </row>
    <row r="54">
      <c r="A54" s="90"/>
      <c r="B54" s="96" t="str">
        <f>'1° Parcial'!B52</f>
        <v>TELECOMUNICACIONES</v>
      </c>
      <c r="C54" s="99" t="str">
        <f>'1° Parcial'!C52</f>
        <v>SIS-413</v>
      </c>
      <c r="D54" s="100" t="str">
        <f>'1° Parcial'!D52</f>
        <v>7º </v>
      </c>
      <c r="E54" s="100" t="str">
        <f>'1° Parcial'!E52</f>
        <v>TA-01</v>
      </c>
      <c r="F54" s="103" t="str">
        <f>'1° Parcial'!F52</f>
        <v>ARIEL DENYS CAMARA ARZE</v>
      </c>
      <c r="G54" s="209">
        <f>'1° Parcial'!J52</f>
        <v>46290</v>
      </c>
      <c r="H54" s="210">
        <f>'1° Parcial'!K52</f>
        <v>0.71875</v>
      </c>
      <c r="I54" s="211">
        <f>'2° Parcial'!J52</f>
        <v>46346</v>
      </c>
      <c r="J54" s="212">
        <f>'2° Parcial'!K52</f>
        <v>0.71875</v>
      </c>
      <c r="K54" s="213">
        <f>Ex.Final!I52</f>
        <v>46367</v>
      </c>
      <c r="L54" s="214">
        <f>Ex.Final!J52</f>
        <v>0.71875</v>
      </c>
      <c r="M54" s="209">
        <f>'1° Parcial'!O52</f>
        <v>46283</v>
      </c>
      <c r="N54" s="215">
        <f>'1° Parcial'!P52</f>
        <v>0.71875</v>
      </c>
      <c r="O54" s="215" t="str">
        <f>'1° Parcial'!Q52</f>
        <v>A</v>
      </c>
      <c r="P54" s="216" t="str">
        <f>'1° Parcial'!T52</f>
        <v/>
      </c>
      <c r="Q54" s="217" t="str">
        <f>'1° Parcial'!U52</f>
        <v/>
      </c>
      <c r="R54" s="218" t="str">
        <f>'1° Parcial'!V52</f>
        <v/>
      </c>
      <c r="S54" s="219" t="str">
        <f>'1° Parcial'!X52</f>
        <v/>
      </c>
      <c r="T54" s="220">
        <f>'1° Parcial'!Z52</f>
        <v>0.71875</v>
      </c>
      <c r="U54" s="218" t="str">
        <f>'1° Parcial'!AA52</f>
        <v/>
      </c>
      <c r="V54" s="211">
        <f>'2° Parcial'!O52</f>
        <v>46339</v>
      </c>
      <c r="W54" s="212">
        <f>'2° Parcial'!P52</f>
        <v>0.71875</v>
      </c>
      <c r="X54" s="212" t="str">
        <f>'2° Parcial'!Q52</f>
        <v>A</v>
      </c>
      <c r="Y54" s="221">
        <f>'2° Parcial'!T52</f>
        <v>56</v>
      </c>
      <c r="Z54" s="222" t="str">
        <f>'2° Parcial'!U52</f>
        <v/>
      </c>
      <c r="AA54" s="223" t="str">
        <f>'2° Parcial'!V52</f>
        <v/>
      </c>
      <c r="AB54" s="224">
        <f>'2° Parcial'!Y52</f>
        <v>46346</v>
      </c>
      <c r="AC54" s="225">
        <f>'2° Parcial'!Z52</f>
        <v>0.71875</v>
      </c>
      <c r="AD54" s="223" t="str">
        <f>'2° Parcial'!AA52</f>
        <v/>
      </c>
      <c r="AE54" s="213">
        <f>Ex.Final!I52</f>
        <v>46367</v>
      </c>
      <c r="AF54" s="214">
        <f>Ex.Final!J52</f>
        <v>0.71875</v>
      </c>
      <c r="AG54" s="214" t="str">
        <f>Ex.Final!O52</f>
        <v/>
      </c>
      <c r="AH54" s="226">
        <f>Ex.Final!Q52</f>
        <v>77</v>
      </c>
      <c r="AI54" s="227" t="str">
        <f>Ex.Final!R52</f>
        <v/>
      </c>
      <c r="AJ54" s="227" t="str">
        <f>Ex.Final!S52</f>
        <v/>
      </c>
      <c r="AK54" s="228">
        <f>Ex.Final!U52</f>
        <v>46367</v>
      </c>
      <c r="AL54" s="227">
        <f>Ex.Final!V52</f>
        <v>0.71875</v>
      </c>
      <c r="AM54" s="227" t="str">
        <f>Ex.Final!W52</f>
        <v/>
      </c>
      <c r="AN54" s="229">
        <f>'2° Instancia'!I52</f>
        <v>46373</v>
      </c>
      <c r="AO54" s="230">
        <f>'2° Instancia'!J52</f>
        <v>1.34375</v>
      </c>
      <c r="AP54" s="124"/>
    </row>
    <row r="55">
      <c r="A55" s="90"/>
      <c r="B55" s="96" t="str">
        <f>'1° Parcial'!B53</f>
        <v>INGENIERÍA DE SOFTWARE</v>
      </c>
      <c r="C55" s="99" t="str">
        <f>'1° Parcial'!C53</f>
        <v>SIS-414</v>
      </c>
      <c r="D55" s="100" t="str">
        <f>'1° Parcial'!D53</f>
        <v>7º </v>
      </c>
      <c r="E55" s="100" t="str">
        <f>'1° Parcial'!E53</f>
        <v>TA-01</v>
      </c>
      <c r="F55" s="103" t="str">
        <f>'1° Parcial'!F53</f>
        <v>WALTER JOSE CAZAS CASTRO</v>
      </c>
      <c r="G55" s="209">
        <f>'1° Parcial'!J53</f>
        <v>46280</v>
      </c>
      <c r="H55" s="210">
        <f>'1° Parcial'!K53</f>
        <v>0.59375</v>
      </c>
      <c r="I55" s="211">
        <f>'2° Parcial'!J53</f>
        <v>46336</v>
      </c>
      <c r="J55" s="212">
        <f>'2° Parcial'!K53</f>
        <v>0.59375</v>
      </c>
      <c r="K55" s="213">
        <f>Ex.Final!I53</f>
        <v>46357</v>
      </c>
      <c r="L55" s="214">
        <f>Ex.Final!J53</f>
        <v>0.59375</v>
      </c>
      <c r="M55" s="209">
        <f>'1° Parcial'!O53</f>
        <v>46273</v>
      </c>
      <c r="N55" s="215">
        <f>'1° Parcial'!P53</f>
        <v>0.59375</v>
      </c>
      <c r="O55" s="215" t="str">
        <f>'1° Parcial'!Q53</f>
        <v>A</v>
      </c>
      <c r="P55" s="216" t="str">
        <f>'1° Parcial'!T53</f>
        <v/>
      </c>
      <c r="Q55" s="217" t="str">
        <f>'1° Parcial'!U53</f>
        <v/>
      </c>
      <c r="R55" s="218" t="str">
        <f>'1° Parcial'!V53</f>
        <v/>
      </c>
      <c r="S55" s="219" t="str">
        <f>'1° Parcial'!X53</f>
        <v/>
      </c>
      <c r="T55" s="220">
        <f>'1° Parcial'!Z53</f>
        <v>0.59375</v>
      </c>
      <c r="U55" s="218" t="str">
        <f>'1° Parcial'!AA53</f>
        <v/>
      </c>
      <c r="V55" s="211">
        <f>'2° Parcial'!O53</f>
        <v>46329</v>
      </c>
      <c r="W55" s="212">
        <f>'2° Parcial'!P53</f>
        <v>0.59375</v>
      </c>
      <c r="X55" s="212" t="str">
        <f>'2° Parcial'!Q53</f>
        <v>A</v>
      </c>
      <c r="Y55" s="221">
        <f>'2° Parcial'!T53</f>
        <v>56</v>
      </c>
      <c r="Z55" s="222" t="str">
        <f>'2° Parcial'!U53</f>
        <v/>
      </c>
      <c r="AA55" s="223" t="str">
        <f>'2° Parcial'!V53</f>
        <v/>
      </c>
      <c r="AB55" s="224">
        <f>'2° Parcial'!Y53</f>
        <v>46336</v>
      </c>
      <c r="AC55" s="225">
        <f>'2° Parcial'!Z53</f>
        <v>0.59375</v>
      </c>
      <c r="AD55" s="223" t="str">
        <f>'2° Parcial'!AA53</f>
        <v/>
      </c>
      <c r="AE55" s="213">
        <f>Ex.Final!I53</f>
        <v>46357</v>
      </c>
      <c r="AF55" s="214">
        <f>Ex.Final!J53</f>
        <v>0.59375</v>
      </c>
      <c r="AG55" s="214" t="str">
        <f>Ex.Final!O53</f>
        <v/>
      </c>
      <c r="AH55" s="226">
        <f>Ex.Final!Q53</f>
        <v>77</v>
      </c>
      <c r="AI55" s="227" t="str">
        <f>Ex.Final!R53</f>
        <v/>
      </c>
      <c r="AJ55" s="227" t="str">
        <f>Ex.Final!S53</f>
        <v/>
      </c>
      <c r="AK55" s="228">
        <f>Ex.Final!U53</f>
        <v>46357</v>
      </c>
      <c r="AL55" s="227">
        <f>Ex.Final!V53</f>
        <v>0.59375</v>
      </c>
      <c r="AM55" s="227" t="str">
        <f>Ex.Final!W53</f>
        <v/>
      </c>
      <c r="AN55" s="229">
        <f>'2° Instancia'!I53</f>
        <v>46373</v>
      </c>
      <c r="AO55" s="230">
        <f>'2° Instancia'!J53</f>
        <v>1.385416667</v>
      </c>
      <c r="AP55" s="124"/>
    </row>
    <row r="56">
      <c r="A56" s="90"/>
      <c r="B56" s="96" t="str">
        <f>'1° Parcial'!B54</f>
        <v>TALLER DE SIMULACIÓN DE SISTEMAS</v>
      </c>
      <c r="C56" s="99" t="str">
        <f>'1° Parcial'!C54</f>
        <v>SIS-415</v>
      </c>
      <c r="D56" s="100" t="str">
        <f>'1° Parcial'!D54</f>
        <v>7º </v>
      </c>
      <c r="E56" s="100" t="str">
        <f>'1° Parcial'!E54</f>
        <v>TA-01</v>
      </c>
      <c r="F56" s="103" t="str">
        <f>'1° Parcial'!F54</f>
        <v>WILSON JAVIER CONTRERAS VARGAS</v>
      </c>
      <c r="G56" s="209">
        <f>'1° Parcial'!J54</f>
        <v>46282</v>
      </c>
      <c r="H56" s="210">
        <f>'1° Parcial'!K54</f>
        <v>0.59375</v>
      </c>
      <c r="I56" s="211">
        <f>'2° Parcial'!J54</f>
        <v>46338</v>
      </c>
      <c r="J56" s="212">
        <f>'2° Parcial'!K54</f>
        <v>0.59375</v>
      </c>
      <c r="K56" s="213">
        <f>Ex.Final!I54</f>
        <v>46359</v>
      </c>
      <c r="L56" s="214">
        <f>Ex.Final!J54</f>
        <v>0.59375</v>
      </c>
      <c r="M56" s="209">
        <f>'1° Parcial'!O54</f>
        <v>46275</v>
      </c>
      <c r="N56" s="215">
        <f>'1° Parcial'!P54</f>
        <v>0.59375</v>
      </c>
      <c r="O56" s="215" t="str">
        <f>'1° Parcial'!Q54</f>
        <v>A</v>
      </c>
      <c r="P56" s="216" t="str">
        <f>'1° Parcial'!T54</f>
        <v/>
      </c>
      <c r="Q56" s="217" t="str">
        <f>'1° Parcial'!U54</f>
        <v/>
      </c>
      <c r="R56" s="218" t="str">
        <f>'1° Parcial'!V54</f>
        <v/>
      </c>
      <c r="S56" s="219" t="str">
        <f>'1° Parcial'!X54</f>
        <v/>
      </c>
      <c r="T56" s="220">
        <f>'1° Parcial'!Z54</f>
        <v>0.59375</v>
      </c>
      <c r="U56" s="218" t="str">
        <f>'1° Parcial'!AA54</f>
        <v/>
      </c>
      <c r="V56" s="211">
        <f>'2° Parcial'!O54</f>
        <v>46331</v>
      </c>
      <c r="W56" s="212">
        <f>'2° Parcial'!P54</f>
        <v>0.59375</v>
      </c>
      <c r="X56" s="212" t="str">
        <f>'2° Parcial'!Q54</f>
        <v>A</v>
      </c>
      <c r="Y56" s="221">
        <f>'2° Parcial'!T54</f>
        <v>56</v>
      </c>
      <c r="Z56" s="222" t="str">
        <f>'2° Parcial'!U54</f>
        <v/>
      </c>
      <c r="AA56" s="223" t="str">
        <f>'2° Parcial'!V54</f>
        <v/>
      </c>
      <c r="AB56" s="224">
        <f>'2° Parcial'!Y54</f>
        <v>46338</v>
      </c>
      <c r="AC56" s="225">
        <f>'2° Parcial'!Z54</f>
        <v>0.59375</v>
      </c>
      <c r="AD56" s="223" t="str">
        <f>'2° Parcial'!AA54</f>
        <v/>
      </c>
      <c r="AE56" s="213">
        <f>Ex.Final!I54</f>
        <v>46359</v>
      </c>
      <c r="AF56" s="214">
        <f>Ex.Final!J54</f>
        <v>0.59375</v>
      </c>
      <c r="AG56" s="214" t="str">
        <f>Ex.Final!O54</f>
        <v/>
      </c>
      <c r="AH56" s="226">
        <f>Ex.Final!Q54</f>
        <v>77</v>
      </c>
      <c r="AI56" s="227" t="str">
        <f>Ex.Final!R54</f>
        <v/>
      </c>
      <c r="AJ56" s="227" t="str">
        <f>Ex.Final!S54</f>
        <v/>
      </c>
      <c r="AK56" s="228">
        <f>Ex.Final!U54</f>
        <v>46359</v>
      </c>
      <c r="AL56" s="227">
        <f>Ex.Final!V54</f>
        <v>0.59375</v>
      </c>
      <c r="AM56" s="227" t="str">
        <f>Ex.Final!W54</f>
        <v/>
      </c>
      <c r="AN56" s="229">
        <f>'2° Instancia'!I54</f>
        <v>46373</v>
      </c>
      <c r="AO56" s="230">
        <f>'2° Instancia'!J54</f>
        <v>1.427083333</v>
      </c>
      <c r="AP56" s="124"/>
    </row>
    <row r="57">
      <c r="A57" s="90"/>
      <c r="B57" s="96" t="str">
        <f>'1° Parcial'!B55</f>
        <v>MÉTODO DE DESARROLLO DE SOFTWARE</v>
      </c>
      <c r="C57" s="99" t="str">
        <f>'1° Parcial'!C55</f>
        <v>SIS-416</v>
      </c>
      <c r="D57" s="100" t="str">
        <f>'1° Parcial'!D55</f>
        <v>7º </v>
      </c>
      <c r="E57" s="100" t="str">
        <f>'1° Parcial'!E55</f>
        <v>TA-01</v>
      </c>
      <c r="F57" s="103" t="str">
        <f>'1° Parcial'!F55</f>
        <v>JANNETH SOFIA MEDINA ALEMAN</v>
      </c>
      <c r="G57" s="209">
        <f>'1° Parcial'!J55</f>
        <v>46293</v>
      </c>
      <c r="H57" s="210">
        <f>'1° Parcial'!K55</f>
        <v>0.65625</v>
      </c>
      <c r="I57" s="211">
        <f>'2° Parcial'!J55</f>
        <v>46349</v>
      </c>
      <c r="J57" s="212">
        <f>'2° Parcial'!K55</f>
        <v>0.65625</v>
      </c>
      <c r="K57" s="213">
        <f>Ex.Final!I55</f>
        <v>46370</v>
      </c>
      <c r="L57" s="214">
        <f>Ex.Final!J55</f>
        <v>0.65625</v>
      </c>
      <c r="M57" s="209">
        <f>'1° Parcial'!O55</f>
        <v>46286</v>
      </c>
      <c r="N57" s="215">
        <f>'1° Parcial'!P55</f>
        <v>0.65625</v>
      </c>
      <c r="O57" s="215" t="str">
        <f>'1° Parcial'!Q55</f>
        <v>A</v>
      </c>
      <c r="P57" s="216" t="str">
        <f>'1° Parcial'!T55</f>
        <v/>
      </c>
      <c r="Q57" s="217" t="str">
        <f>'1° Parcial'!U55</f>
        <v/>
      </c>
      <c r="R57" s="218" t="str">
        <f>'1° Parcial'!V55</f>
        <v/>
      </c>
      <c r="S57" s="219" t="str">
        <f>'1° Parcial'!X55</f>
        <v/>
      </c>
      <c r="T57" s="220">
        <f>'1° Parcial'!Z55</f>
        <v>0.65625</v>
      </c>
      <c r="U57" s="218" t="str">
        <f>'1° Parcial'!AA55</f>
        <v/>
      </c>
      <c r="V57" s="211">
        <f>'2° Parcial'!O55</f>
        <v>46342</v>
      </c>
      <c r="W57" s="212">
        <f>'2° Parcial'!P55</f>
        <v>0.65625</v>
      </c>
      <c r="X57" s="212" t="str">
        <f>'2° Parcial'!Q55</f>
        <v>A</v>
      </c>
      <c r="Y57" s="221">
        <f>'2° Parcial'!T55</f>
        <v>56</v>
      </c>
      <c r="Z57" s="222" t="str">
        <f>'2° Parcial'!U55</f>
        <v/>
      </c>
      <c r="AA57" s="223" t="str">
        <f>'2° Parcial'!V55</f>
        <v/>
      </c>
      <c r="AB57" s="224">
        <f>'2° Parcial'!Y55</f>
        <v>46349</v>
      </c>
      <c r="AC57" s="225">
        <f>'2° Parcial'!Z55</f>
        <v>0.65625</v>
      </c>
      <c r="AD57" s="223" t="str">
        <f>'2° Parcial'!AA55</f>
        <v/>
      </c>
      <c r="AE57" s="213">
        <f>Ex.Final!I55</f>
        <v>46370</v>
      </c>
      <c r="AF57" s="214">
        <f>Ex.Final!J55</f>
        <v>0.65625</v>
      </c>
      <c r="AG57" s="214" t="str">
        <f>Ex.Final!O55</f>
        <v/>
      </c>
      <c r="AH57" s="226">
        <f>Ex.Final!Q55</f>
        <v>77</v>
      </c>
      <c r="AI57" s="227" t="str">
        <f>Ex.Final!R55</f>
        <v/>
      </c>
      <c r="AJ57" s="227" t="str">
        <f>Ex.Final!S55</f>
        <v/>
      </c>
      <c r="AK57" s="228">
        <f>Ex.Final!U55</f>
        <v>46370</v>
      </c>
      <c r="AL57" s="227">
        <f>Ex.Final!V55</f>
        <v>0.65625</v>
      </c>
      <c r="AM57" s="227" t="str">
        <f>Ex.Final!W55</f>
        <v/>
      </c>
      <c r="AN57" s="229">
        <f>'2° Instancia'!I55</f>
        <v>46373</v>
      </c>
      <c r="AO57" s="230">
        <f>'2° Instancia'!J55</f>
        <v>1.46875</v>
      </c>
      <c r="AP57" s="124"/>
    </row>
    <row r="58">
      <c r="A58" s="90"/>
      <c r="B58" s="96" t="str">
        <f>'1° Parcial'!B56</f>
        <v>TALLER DE TITULACIÓN</v>
      </c>
      <c r="C58" s="99" t="str">
        <f>'1° Parcial'!C56</f>
        <v>SIS-421</v>
      </c>
      <c r="D58" s="100" t="str">
        <f>'1° Parcial'!D56</f>
        <v>8º </v>
      </c>
      <c r="E58" s="100" t="str">
        <f>'1° Parcial'!E56</f>
        <v>TA-01</v>
      </c>
      <c r="F58" s="103" t="str">
        <f>'1° Parcial'!F56</f>
        <v>JANNETH SOFIA MEDINA ALEMAN</v>
      </c>
      <c r="G58" s="209">
        <f>'1° Parcial'!J56</f>
        <v>46286</v>
      </c>
      <c r="H58" s="210">
        <f>'1° Parcial'!K56</f>
        <v>0.53125</v>
      </c>
      <c r="I58" s="211">
        <f>'2° Parcial'!J56</f>
        <v>46342</v>
      </c>
      <c r="J58" s="212">
        <f>'2° Parcial'!K56</f>
        <v>0.53125</v>
      </c>
      <c r="K58" s="213">
        <f>Ex.Final!I56</f>
        <v>46363</v>
      </c>
      <c r="L58" s="214">
        <f>Ex.Final!J56</f>
        <v>0.53125</v>
      </c>
      <c r="M58" s="209">
        <f>'1° Parcial'!O56</f>
        <v>46279</v>
      </c>
      <c r="N58" s="215">
        <f>'1° Parcial'!P56</f>
        <v>0.53125</v>
      </c>
      <c r="O58" s="215" t="str">
        <f>'1° Parcial'!Q56</f>
        <v>A</v>
      </c>
      <c r="P58" s="216" t="str">
        <f>'1° Parcial'!T56</f>
        <v/>
      </c>
      <c r="Q58" s="217" t="str">
        <f>'1° Parcial'!U56</f>
        <v/>
      </c>
      <c r="R58" s="218" t="str">
        <f>'1° Parcial'!V56</f>
        <v/>
      </c>
      <c r="S58" s="219" t="str">
        <f>'1° Parcial'!X56</f>
        <v/>
      </c>
      <c r="T58" s="220">
        <f>'1° Parcial'!Z56</f>
        <v>0.53125</v>
      </c>
      <c r="U58" s="218" t="str">
        <f>'1° Parcial'!AA56</f>
        <v/>
      </c>
      <c r="V58" s="211">
        <f>'2° Parcial'!O56</f>
        <v>46335</v>
      </c>
      <c r="W58" s="212">
        <f>'2° Parcial'!P56</f>
        <v>0.53125</v>
      </c>
      <c r="X58" s="212" t="str">
        <f>'2° Parcial'!Q56</f>
        <v>A</v>
      </c>
      <c r="Y58" s="221">
        <f>'2° Parcial'!T56</f>
        <v>56</v>
      </c>
      <c r="Z58" s="222" t="str">
        <f>'2° Parcial'!U56</f>
        <v/>
      </c>
      <c r="AA58" s="223" t="str">
        <f>'2° Parcial'!V56</f>
        <v/>
      </c>
      <c r="AB58" s="224">
        <f>'2° Parcial'!Y56</f>
        <v>46342</v>
      </c>
      <c r="AC58" s="225">
        <f>'2° Parcial'!Z56</f>
        <v>0.53125</v>
      </c>
      <c r="AD58" s="223" t="str">
        <f>'2° Parcial'!AA56</f>
        <v/>
      </c>
      <c r="AE58" s="213">
        <f>Ex.Final!I56</f>
        <v>46363</v>
      </c>
      <c r="AF58" s="214">
        <f>Ex.Final!J56</f>
        <v>0.53125</v>
      </c>
      <c r="AG58" s="214" t="str">
        <f>Ex.Final!O56</f>
        <v/>
      </c>
      <c r="AH58" s="226">
        <f>Ex.Final!Q56</f>
        <v>77</v>
      </c>
      <c r="AI58" s="227" t="str">
        <f>Ex.Final!R56</f>
        <v/>
      </c>
      <c r="AJ58" s="227" t="str">
        <f>Ex.Final!S56</f>
        <v/>
      </c>
      <c r="AK58" s="228">
        <f>Ex.Final!U56</f>
        <v>46363</v>
      </c>
      <c r="AL58" s="227">
        <f>Ex.Final!V56</f>
        <v>0.53125</v>
      </c>
      <c r="AM58" s="227" t="str">
        <f>Ex.Final!W56</f>
        <v/>
      </c>
      <c r="AN58" s="229">
        <f>'2° Instancia'!I56</f>
        <v>46373</v>
      </c>
      <c r="AO58" s="230">
        <f>'2° Instancia'!J56</f>
        <v>1.510416667</v>
      </c>
      <c r="AP58" s="124"/>
    </row>
    <row r="59">
      <c r="A59" s="90"/>
      <c r="B59" s="96" t="str">
        <f>'1° Parcial'!B57</f>
        <v>GESTIÓN ESTRATÉGICA DE EMPRESAS</v>
      </c>
      <c r="C59" s="99" t="str">
        <f>'1° Parcial'!C57</f>
        <v>SIS-422</v>
      </c>
      <c r="D59" s="100" t="str">
        <f>'1° Parcial'!D57</f>
        <v>8º </v>
      </c>
      <c r="E59" s="100" t="str">
        <f>'1° Parcial'!E57</f>
        <v>TA-01</v>
      </c>
      <c r="F59" s="103" t="str">
        <f>'1° Parcial'!F57</f>
        <v>ELIANA LESLY MICORDIA ROMERO</v>
      </c>
      <c r="G59" s="209">
        <f>'1° Parcial'!J57</f>
        <v>46280</v>
      </c>
      <c r="H59" s="210">
        <f>'1° Parcial'!K57</f>
        <v>0.59375</v>
      </c>
      <c r="I59" s="211">
        <f>'2° Parcial'!J57</f>
        <v>46336</v>
      </c>
      <c r="J59" s="212">
        <f>'2° Parcial'!K57</f>
        <v>0.59375</v>
      </c>
      <c r="K59" s="213">
        <f>Ex.Final!I57</f>
        <v>46357</v>
      </c>
      <c r="L59" s="214">
        <f>Ex.Final!J57</f>
        <v>0.59375</v>
      </c>
      <c r="M59" s="209">
        <f>'1° Parcial'!O57</f>
        <v>46273</v>
      </c>
      <c r="N59" s="215">
        <f>'1° Parcial'!P57</f>
        <v>0.59375</v>
      </c>
      <c r="O59" s="215" t="str">
        <f>'1° Parcial'!Q57</f>
        <v>A</v>
      </c>
      <c r="P59" s="216" t="str">
        <f>'1° Parcial'!T57</f>
        <v/>
      </c>
      <c r="Q59" s="217" t="str">
        <f>'1° Parcial'!U57</f>
        <v/>
      </c>
      <c r="R59" s="218" t="str">
        <f>'1° Parcial'!V57</f>
        <v/>
      </c>
      <c r="S59" s="219" t="str">
        <f>'1° Parcial'!X57</f>
        <v/>
      </c>
      <c r="T59" s="220">
        <f>'1° Parcial'!Z57</f>
        <v>0.59375</v>
      </c>
      <c r="U59" s="218" t="str">
        <f>'1° Parcial'!AA57</f>
        <v/>
      </c>
      <c r="V59" s="211">
        <f>'2° Parcial'!O57</f>
        <v>46329</v>
      </c>
      <c r="W59" s="212">
        <f>'2° Parcial'!P57</f>
        <v>0.59375</v>
      </c>
      <c r="X59" s="212" t="str">
        <f>'2° Parcial'!Q57</f>
        <v>A</v>
      </c>
      <c r="Y59" s="221">
        <f>'2° Parcial'!T57</f>
        <v>56</v>
      </c>
      <c r="Z59" s="222" t="str">
        <f>'2° Parcial'!U57</f>
        <v/>
      </c>
      <c r="AA59" s="223" t="str">
        <f>'2° Parcial'!V57</f>
        <v/>
      </c>
      <c r="AB59" s="224">
        <f>'2° Parcial'!Y57</f>
        <v>46336</v>
      </c>
      <c r="AC59" s="225">
        <f>'2° Parcial'!Z57</f>
        <v>0.59375</v>
      </c>
      <c r="AD59" s="223" t="str">
        <f>'2° Parcial'!AA57</f>
        <v/>
      </c>
      <c r="AE59" s="213">
        <f>Ex.Final!I57</f>
        <v>46357</v>
      </c>
      <c r="AF59" s="214">
        <f>Ex.Final!J57</f>
        <v>0.59375</v>
      </c>
      <c r="AG59" s="214" t="str">
        <f>Ex.Final!O57</f>
        <v/>
      </c>
      <c r="AH59" s="226">
        <f>Ex.Final!Q57</f>
        <v>77</v>
      </c>
      <c r="AI59" s="227" t="str">
        <f>Ex.Final!R57</f>
        <v/>
      </c>
      <c r="AJ59" s="227" t="str">
        <f>Ex.Final!S57</f>
        <v/>
      </c>
      <c r="AK59" s="228">
        <f>Ex.Final!U57</f>
        <v>46357</v>
      </c>
      <c r="AL59" s="227">
        <f>Ex.Final!V57</f>
        <v>0.59375</v>
      </c>
      <c r="AM59" s="227" t="str">
        <f>Ex.Final!W57</f>
        <v/>
      </c>
      <c r="AN59" s="229">
        <f>'2° Instancia'!I57</f>
        <v>46373</v>
      </c>
      <c r="AO59" s="230">
        <f>'2° Instancia'!J57</f>
        <v>1.552083333</v>
      </c>
      <c r="AP59" s="124"/>
    </row>
    <row r="60">
      <c r="A60" s="90"/>
      <c r="B60" s="96" t="str">
        <f>'1° Parcial'!B58</f>
        <v>TALLER DE INGENIERÍA DE SOFTWARE</v>
      </c>
      <c r="C60" s="99" t="str">
        <f>'1° Parcial'!C58</f>
        <v>SIS-423</v>
      </c>
      <c r="D60" s="100" t="str">
        <f>'1° Parcial'!D58</f>
        <v>8º </v>
      </c>
      <c r="E60" s="100" t="str">
        <f>'1° Parcial'!E58</f>
        <v>TA-01</v>
      </c>
      <c r="F60" s="103" t="str">
        <f>'1° Parcial'!F58</f>
        <v>HAROLD MARCO ANTONIO ROJAS TORRES</v>
      </c>
      <c r="G60" s="209">
        <f>'1° Parcial'!J58</f>
        <v>46282</v>
      </c>
      <c r="H60" s="210">
        <f>'1° Parcial'!K58</f>
        <v>0.59375</v>
      </c>
      <c r="I60" s="211">
        <f>'2° Parcial'!J58</f>
        <v>46338</v>
      </c>
      <c r="J60" s="212">
        <f>'2° Parcial'!K58</f>
        <v>0.59375</v>
      </c>
      <c r="K60" s="213">
        <f>Ex.Final!I58</f>
        <v>46359</v>
      </c>
      <c r="L60" s="214">
        <f>Ex.Final!J58</f>
        <v>0.59375</v>
      </c>
      <c r="M60" s="209">
        <f>'1° Parcial'!O58</f>
        <v>46275</v>
      </c>
      <c r="N60" s="215">
        <f>'1° Parcial'!P58</f>
        <v>0.59375</v>
      </c>
      <c r="O60" s="215" t="str">
        <f>'1° Parcial'!Q58</f>
        <v>A</v>
      </c>
      <c r="P60" s="216" t="str">
        <f>'1° Parcial'!T58</f>
        <v/>
      </c>
      <c r="Q60" s="217" t="str">
        <f>'1° Parcial'!U58</f>
        <v/>
      </c>
      <c r="R60" s="218" t="str">
        <f>'1° Parcial'!V58</f>
        <v/>
      </c>
      <c r="S60" s="219" t="str">
        <f>'1° Parcial'!X58</f>
        <v/>
      </c>
      <c r="T60" s="220">
        <f>'1° Parcial'!Z58</f>
        <v>0.59375</v>
      </c>
      <c r="U60" s="218" t="str">
        <f>'1° Parcial'!AA58</f>
        <v/>
      </c>
      <c r="V60" s="211">
        <f>'2° Parcial'!O58</f>
        <v>46331</v>
      </c>
      <c r="W60" s="212">
        <f>'2° Parcial'!P58</f>
        <v>0.59375</v>
      </c>
      <c r="X60" s="212" t="str">
        <f>'2° Parcial'!Q58</f>
        <v>A</v>
      </c>
      <c r="Y60" s="221">
        <f>'2° Parcial'!T58</f>
        <v>56</v>
      </c>
      <c r="Z60" s="222" t="str">
        <f>'2° Parcial'!U58</f>
        <v/>
      </c>
      <c r="AA60" s="223" t="str">
        <f>'2° Parcial'!V58</f>
        <v/>
      </c>
      <c r="AB60" s="224">
        <f>'2° Parcial'!Y58</f>
        <v>46338</v>
      </c>
      <c r="AC60" s="225">
        <f>'2° Parcial'!Z58</f>
        <v>0.59375</v>
      </c>
      <c r="AD60" s="223" t="str">
        <f>'2° Parcial'!AA58</f>
        <v/>
      </c>
      <c r="AE60" s="213">
        <f>Ex.Final!I58</f>
        <v>46359</v>
      </c>
      <c r="AF60" s="214">
        <f>Ex.Final!J58</f>
        <v>0.59375</v>
      </c>
      <c r="AG60" s="214" t="str">
        <f>Ex.Final!O58</f>
        <v/>
      </c>
      <c r="AH60" s="226">
        <f>Ex.Final!Q58</f>
        <v>77</v>
      </c>
      <c r="AI60" s="227" t="str">
        <f>Ex.Final!R58</f>
        <v/>
      </c>
      <c r="AJ60" s="227" t="str">
        <f>Ex.Final!S58</f>
        <v/>
      </c>
      <c r="AK60" s="228">
        <f>Ex.Final!U58</f>
        <v>46359</v>
      </c>
      <c r="AL60" s="227">
        <f>Ex.Final!V58</f>
        <v>0.59375</v>
      </c>
      <c r="AM60" s="227" t="str">
        <f>Ex.Final!W58</f>
        <v/>
      </c>
      <c r="AN60" s="229">
        <f>'2° Instancia'!I58</f>
        <v>46373</v>
      </c>
      <c r="AO60" s="230">
        <f>'2° Instancia'!J58</f>
        <v>1.59375</v>
      </c>
      <c r="AP60" s="124"/>
    </row>
    <row r="61">
      <c r="A61" s="90"/>
      <c r="B61" s="96" t="str">
        <f>'1° Parcial'!B59</f>
        <v>GESTIÓN DE CALIDAD ESTRATÉGICA DE PROYECTOS DE SOFTWARE</v>
      </c>
      <c r="C61" s="99" t="str">
        <f>'1° Parcial'!C59</f>
        <v>SIS-425</v>
      </c>
      <c r="D61" s="100" t="str">
        <f>'1° Parcial'!D59</f>
        <v>8º </v>
      </c>
      <c r="E61" s="100" t="str">
        <f>'1° Parcial'!E59</f>
        <v>TA-01</v>
      </c>
      <c r="F61" s="103" t="str">
        <f>'1° Parcial'!F59</f>
        <v>AMILKAR JESUS MIRANDA ROMERO</v>
      </c>
      <c r="G61" s="209">
        <f>'1° Parcial'!J59</f>
        <v>46290</v>
      </c>
      <c r="H61" s="210">
        <f>'1° Parcial'!K59</f>
        <v>0.71875</v>
      </c>
      <c r="I61" s="211">
        <f>'2° Parcial'!J59</f>
        <v>46346</v>
      </c>
      <c r="J61" s="212">
        <f>'2° Parcial'!K59</f>
        <v>0.71875</v>
      </c>
      <c r="K61" s="213">
        <f>Ex.Final!I59</f>
        <v>46367</v>
      </c>
      <c r="L61" s="214">
        <f>Ex.Final!J59</f>
        <v>0.71875</v>
      </c>
      <c r="M61" s="209">
        <f>'1° Parcial'!O59</f>
        <v>46283</v>
      </c>
      <c r="N61" s="215">
        <f>'1° Parcial'!P59</f>
        <v>0.71875</v>
      </c>
      <c r="O61" s="215" t="str">
        <f>'1° Parcial'!Q59</f>
        <v>A</v>
      </c>
      <c r="P61" s="216" t="str">
        <f>'1° Parcial'!T59</f>
        <v/>
      </c>
      <c r="Q61" s="217" t="str">
        <f>'1° Parcial'!U59</f>
        <v/>
      </c>
      <c r="R61" s="218" t="str">
        <f>'1° Parcial'!V59</f>
        <v/>
      </c>
      <c r="S61" s="219" t="str">
        <f>'1° Parcial'!X59</f>
        <v/>
      </c>
      <c r="T61" s="220">
        <f>'1° Parcial'!Z59</f>
        <v>0.71875</v>
      </c>
      <c r="U61" s="218" t="str">
        <f>'1° Parcial'!AA59</f>
        <v/>
      </c>
      <c r="V61" s="211">
        <f>'2° Parcial'!O59</f>
        <v>46339</v>
      </c>
      <c r="W61" s="212">
        <f>'2° Parcial'!P59</f>
        <v>0.71875</v>
      </c>
      <c r="X61" s="212" t="str">
        <f>'2° Parcial'!Q59</f>
        <v>A</v>
      </c>
      <c r="Y61" s="221">
        <f>'2° Parcial'!T59</f>
        <v>56</v>
      </c>
      <c r="Z61" s="222" t="str">
        <f>'2° Parcial'!U59</f>
        <v/>
      </c>
      <c r="AA61" s="223" t="str">
        <f>'2° Parcial'!V59</f>
        <v/>
      </c>
      <c r="AB61" s="224">
        <f>'2° Parcial'!Y59</f>
        <v>46346</v>
      </c>
      <c r="AC61" s="225">
        <f>'2° Parcial'!Z59</f>
        <v>0.71875</v>
      </c>
      <c r="AD61" s="223" t="str">
        <f>'2° Parcial'!AA59</f>
        <v/>
      </c>
      <c r="AE61" s="213">
        <f>Ex.Final!I59</f>
        <v>46367</v>
      </c>
      <c r="AF61" s="214">
        <f>Ex.Final!J59</f>
        <v>0.71875</v>
      </c>
      <c r="AG61" s="214" t="str">
        <f>Ex.Final!O59</f>
        <v/>
      </c>
      <c r="AH61" s="226">
        <f>Ex.Final!Q59</f>
        <v>77</v>
      </c>
      <c r="AI61" s="227" t="str">
        <f>Ex.Final!R59</f>
        <v/>
      </c>
      <c r="AJ61" s="227" t="str">
        <f>Ex.Final!S59</f>
        <v/>
      </c>
      <c r="AK61" s="228">
        <f>Ex.Final!U59</f>
        <v>46367</v>
      </c>
      <c r="AL61" s="227">
        <f>Ex.Final!V59</f>
        <v>0.71875</v>
      </c>
      <c r="AM61" s="227" t="str">
        <f>Ex.Final!W59</f>
        <v/>
      </c>
      <c r="AN61" s="229">
        <f>'2° Instancia'!I59</f>
        <v>46373</v>
      </c>
      <c r="AO61" s="230">
        <f>'2° Instancia'!J59</f>
        <v>1.635416667</v>
      </c>
      <c r="AP61" s="124"/>
    </row>
  </sheetData>
  <mergeCells count="20">
    <mergeCell ref="C9:C11"/>
    <mergeCell ref="D9:D11"/>
    <mergeCell ref="E9:E11"/>
    <mergeCell ref="F9:F11"/>
    <mergeCell ref="G9:L9"/>
    <mergeCell ref="M9:AM9"/>
    <mergeCell ref="B9:B11"/>
    <mergeCell ref="G10:H10"/>
    <mergeCell ref="I10:J10"/>
    <mergeCell ref="K10:L10"/>
    <mergeCell ref="M10:U10"/>
    <mergeCell ref="V10:AD10"/>
    <mergeCell ref="B2:AO2"/>
    <mergeCell ref="B3:AO3"/>
    <mergeCell ref="B4:AO4"/>
    <mergeCell ref="B5:AO5"/>
    <mergeCell ref="B6:AO6"/>
    <mergeCell ref="B7:AO7"/>
    <mergeCell ref="AN9:AO10"/>
    <mergeCell ref="AE10:AM10"/>
  </mergeCells>
  <drawing r:id="rId1"/>
</worksheet>
</file>