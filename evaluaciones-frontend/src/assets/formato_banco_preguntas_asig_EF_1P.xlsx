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73942f76954e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2" r:id="R65e99fdbbbd447ad"/>
    <x:sheet xmlns:r="http://schemas.openxmlformats.org/officeDocument/2006/relationships" name="Banco" sheetId="3" r:id="R9465090ac55c42f8"/>
    <x:sheet xmlns:r="http://schemas.openxmlformats.org/officeDocument/2006/relationships" name="Ejemplo" sheetId="4" r:id="Ree1b56f1657e4909"/>
    <x:sheet xmlns:r="http://schemas.openxmlformats.org/officeDocument/2006/relationships" name="VALIDACIONES" state="veryHidden" sheetId="1" r:id="R0e1518ce15dd493f"/>
  </x:sheets>
  <x:definedNames>
    <x:definedName name="LISTA_TIPOS_2P">VALIDACIONES!$A$1:$A$8</x:definedName>
    <x:definedName name="RESP_VF">VALIDACIONES!$B$1:$B$2</x:definedName>
    <x:definedName name="RESP_ABCD">VALIDACIONES!$C$1:$C$4</x:definedName>
    <x:definedName name="RESP_ABCDE">VALIDACIONES!$D$1:$D$5</x:definedName>
    <x:definedName name="RESP_VACIA">VALIDACIONES!$E$1</x:definedName>
    <x:definedName name="DIFICULTADES_123">VALIDACIONES!$F$1:$F$3</x:definedName>
    <x:definedName name="PARCIAL_ACTIVO_BANCO">VALIDACIONES!$G$1</x:definedName>
    <x:definedName name="RESP_CLAVE">VALIDACIONES!$H$1:$H$5</x:definedName>
    <x:definedName name="MAPA_RESPUESTA_TIPO">VALIDACIONES!$J$1:$K$6</x:definedName>
    <x:definedName name="TIPOS_REQUIEREN_GRUPO">VALIDACIONES!$L$1:$L$4</x:definedName>
    <x:definedName name="TIPOS_SIN_DIFICULTAD">VALIDACIONES!$M$1:$M$2</x:definedName>
    <x:definedName name="TIPOS_OPCION_D">VALIDACIONES!$N$1:$N$6</x:definedName>
    <x:definedName name="TIPOS_OPCION_E">VALIDACIONES!$O$1:$O$6</x:definedName>
    <x:definedName name="TIPOS_OPCION_F">VALIDACIONES!$P$1:$P$5</x:definedName>
    <x:definedName name="TIPOS_OPCION_G">VALIDACIONES!$Q$1:$Q$5</x:definedName>
    <x:definedName name="TIPOS_OPCION_H">VALIDACIONES!$R$1:$R$3</x:definedName>
  </x:definedNames>
</x:workbook>
</file>

<file path=xl/sharedStrings.xml><?xml version="1.0" encoding="utf-8"?>
<x:sst xmlns:x="http://schemas.openxmlformats.org/spreadsheetml/2006/main">
  <x:si>
    <x:t xml:space="preserve">BANCO DE PREGUNTAS - GUIA OFICIAL</x:t>
  </x:si>
  <x:si>
    <x:t xml:space="preserve">1. CODIGOS DE PREGUNTA (Columna TIPO)</x:t>
  </x:si>
  <x:si>
    <x:t xml:space="preserve">Verdadero o Falso Simple</x:t>
  </x:si>
  <x:si>
    <x:t xml:space="preserve">Verdadero o Falso Complejas</x:t>
  </x:si>
  <x:si>
    <x:t xml:space="preserve">Selección de la mejor respuesta</x:t>
  </x:si>
  <x:si>
    <x:t xml:space="preserve">Respuesta A/B/Ambas/Ninguna</x:t>
  </x:si>
  <x:si>
    <x:t xml:space="preserve">Ítems agrupados por caso clínico o problema</x:t>
  </x:si>
  <x:si>
    <x:t xml:space="preserve">Subítem de caso o problema</x:t>
  </x:si>
  <x:si>
    <x:t xml:space="preserve">Emparejamiento Ampliado</x:t>
  </x:si>
  <x:si>
    <x:t xml:space="preserve">Opción de Emparejamiento Ampliado</x:t>
  </x:si>
  <x:si>
    <x:t xml:space="preserve">2. RESPUESTAS VALIDAS</x:t>
  </x:si>
  <x:si>
    <x:t xml:space="preserve">Use una de las combinaciones fijas: A: 1, 2, 3 correctas; B: 1 y 3 correctas; C: 2 y 4 correctas; D: Solo 4 es correcta; E: Todas son correctas.</x:t>
  </x:si>
  <x:si>
    <x:t xml:space="preserve">Selección de la mejor respuesta / Subítem de caso o problema</x:t>
  </x:si>
  <x:si>
    <x:t xml:space="preserve">Use una sola letra: A, B, C, D o E.</x:t>
  </x:si>
  <x:si>
    <x:t xml:space="preserve">Emparejamiento Ampliado / Ítems agrupados por caso clínico o problema</x:t>
  </x:si>
  <x:si>
    <x:t xml:space="preserve">Deje respuesta_correcta vacia.</x:t>
  </x:si>
  <x:si>
    <x:t xml:space="preserve">La respuesta_correcta solo puede ser A, B, C o D.</x:t>
  </x:si>
  <x:si>
    <x:t xml:space="preserve">A para Verdadero, B para Falso.</x:t>
  </x:si>
  <x:si>
    <x:t xml:space="preserve">Use la letra correcta segun las opciones activas definidas en el encabezado del emparejamiento.</x:t>
  </x:si>
  <x:si>
    <x:t xml:space="preserve">No debe llevar respuesta_correcta.</x:t>
  </x:si>
  <x:si>
    <x:t xml:space="preserve">3. CONFIGURACION DEL EXAMEN</x:t>
  </x:si>
  <x:si>
    <x:t xml:space="preserve">Dificultad (Nivel)</x:t>
  </x:si>
  <x:si>
    <x:t xml:space="preserve">1 (Facil), 2 (Medio), 3 (Dificil). Casos/problemas y Emparejamiento Ampliado no llevan dificultad.</x:t>
  </x:si>
  <x:si>
    <x:t xml:space="preserve">Parcial activo</x:t>
  </x:si>
  <x:si>
    <x:t xml:space="preserve">Registro por grupo</x:t>
  </x:si>
  <x:si>
    <x:t xml:space="preserve">Columna observaciones</x:t>
  </x:si>
  <x:si>
    <x:t xml:space="preserve">NOTAS IMPORTANTES</x:t>
  </x:si>
  <x:si>
    <x:t xml:space="preserve">- No elimine columnas ni cambie el nombre de la hoja "Banco".</x:t>
  </x:si>
  <x:si>
    <x:t xml:space="preserve">- IMPORTANTE: Respuesta A/B/Ambas/Ninguna usa solo las premisas I. y II. en enunciado; opcion_a a opcion_d lleva las respuestas fijas y opcion_e no se usa.</x:t>
  </x:si>
  <x:si>
    <x:t xml:space="preserve">- IMPORTANTE: Casos/problemas y Emparejamiento Ampliado son encabezados y no deben tener dificultad.</x:t>
  </x:si>
  <x:si>
    <x:t xml:space="preserve">- IMPORTANTE: Si la columna L no indica "OK", corrige esa fila antes de importar.</x:t>
  </x:si>
  <x:si>
    <x:t xml:space="preserve">- Conteo por grupos de tipo: Grupo 1 = VF simple + VF complejas + A/B/Ambas/Ninguna. Grupo 2 = mejor respuesta. Grupo 3 = casos/problemas y emparejamiento ampliado.</x:t>
  </x:si>
  <x:si>
    <x:t xml:space="preserve">tipo</x:t>
  </x:si>
  <x:si>
    <x:t xml:space="preserve">grupo</x:t>
  </x:si>
  <x:si>
    <x:t xml:space="preserve">enunciado</x:t>
  </x:si>
  <x:si>
    <x:t xml:space="preserve">opcion_a</x:t>
  </x:si>
  <x:si>
    <x:t xml:space="preserve">opcion_b</x:t>
  </x:si>
  <x:si>
    <x:t xml:space="preserve">opcion_c</x:t>
  </x:si>
  <x:si>
    <x:t xml:space="preserve">opcion_d</x:t>
  </x:si>
  <x:si>
    <x:t xml:space="preserve">opcion_e</x:t>
  </x:si>
  <x:si>
    <x:t xml:space="preserve">respuesta_correcta</x:t>
  </x:si>
  <x:si>
    <x:t xml:space="preserve">dificultad</x:t>
  </x:si>
  <x:si>
    <x:t xml:space="preserve">parcial</x:t>
  </x:si>
  <x:si>
    <x:t xml:space="preserve">_obs_1</x:t>
  </x:si>
  <x:si>
    <x:t xml:space="preserve">_obs_2</x:t>
  </x:si>
  <x:si>
    <x:t xml:space="preserve">_obs_3</x:t>
  </x:si>
  <x:si>
    <x:t xml:space="preserve">_obs_4</x:t>
  </x:si>
  <x:si>
    <x:t xml:space="preserve">observaciones</x:t>
  </x:si>
  <x:si>
    <x:t xml:space="preserve">El agua hierve a 100 grados Celsius al nivel del mar.</x:t>
  </x:si>
  <x:si>
    <x:t xml:space="preserve">Verdadero</x:t>
  </x:si>
  <x:si>
    <x:t xml:space="preserve">Falso</x:t>
  </x:si>
  <x:si>
    <x:t xml:space="preserve">A</x:t>
  </x:si>
  <x:si>
    <x:t xml:space="preserve">1</x:t>
  </x:si>
  <x:si>
    <x:t xml:space="preserve">OK</x:t>
  </x:si>
  <x:si>
    <x:t xml:space="preserve">La Antartida es el continente mas calido del planeta.</x:t>
  </x:si>
  <x:si>
    <x:t xml:space="preserve">B</x:t>
  </x:si>
  <x:si>
    <x:t xml:space="preserve">Seleccione los incisos correctos sobre geografia mundial.</x:t>
  </x:si>
  <x:si>
    <x:t xml:space="preserve">1. Asia es el continente con mayor superficie.</x:t>
  </x:si>
  <x:si>
    <x:t xml:space="preserve">2. El rio Nilo se encuentra en Africa.</x:t>
  </x:si>
  <x:si>
    <x:t xml:space="preserve">3. Brasil esta ubicado en America del Sur.</x:t>
  </x:si>
  <x:si>
    <x:t xml:space="preserve">4. Australia forma parte de Europa.</x:t>
  </x:si>
  <x:si>
    <x:t xml:space="preserve">A: 1, 2 y 3 son verdaderas</x:t>
  </x:si>
  <x:si>
    <x:t xml:space="preserve">2</x:t>
  </x:si>
  <x:si>
    <x:t xml:space="preserve">Seleccione los incisos correctos sobre ciencias naturales.</x:t>
  </x:si>
  <x:si>
    <x:t xml:space="preserve">1. Los mamiferos respiran por branquias durante toda su vida.</x:t>
  </x:si>
  <x:si>
    <x:t xml:space="preserve">2. La fotosintesis permite a las plantas producir glucosa.</x:t>
  </x:si>
  <x:si>
    <x:t xml:space="preserve">3. El oxigeno es necesario para la respiracion celular aerobia.</x:t>
  </x:si>
  <x:si>
    <x:t xml:space="preserve">4. El agua puede encontrarse en estado solido, liquido y gaseoso.</x:t>
  </x:si>
  <x:si>
    <x:t xml:space="preserve">C: 2 y 4 son verdaderas</x:t>
  </x:si>
  <x:si>
    <x:t xml:space="preserve">Cual es el planeta mas cercano al Sol?</x:t>
  </x:si>
  <x:si>
    <x:t xml:space="preserve">Venus</x:t>
  </x:si>
  <x:si>
    <x:t xml:space="preserve">Mercurio</x:t>
  </x:si>
  <x:si>
    <x:t xml:space="preserve">Marte</x:t>
  </x:si>
  <x:si>
    <x:t xml:space="preserve">Jupiter</x:t>
  </x:si>
  <x:si>
    <x:t xml:space="preserve">Saturno</x:t>
  </x:si>
  <x:si>
    <x:t xml:space="preserve">Que organo bombea la sangre en el cuerpo humano?</x:t>
  </x:si>
  <x:si>
    <x:t xml:space="preserve">Pulmon</x:t>
  </x:si>
  <x:si>
    <x:t xml:space="preserve">Higado</x:t>
  </x:si>
  <x:si>
    <x:t xml:space="preserve">Corazon</x:t>
  </x:si>
  <x:si>
    <x:t xml:space="preserve">Estomago</x:t>
  </x:si>
  <x:si>
    <x:t xml:space="preserve">Rinon</x:t>
  </x:si>
  <x:si>
    <x:t xml:space="preserve">C</x:t>
  </x:si>
  <x:si>
    <x:t xml:space="preserve">I. La capital de Bolivia es Sucre.
II. La sede de gobierno de Bolivia esta en La Paz.</x:t>
  </x:si>
  <x:si>
    <x:t xml:space="preserve">A. Si la primera es verdadera</x:t>
  </x:si>
  <x:si>
    <x:t xml:space="preserve">B. Si la segunda es verdadera</x:t>
  </x:si>
  <x:si>
    <x:t xml:space="preserve">C. Si ambas son verdaderas</x:t>
  </x:si>
  <x:si>
    <x:t xml:space="preserve">D. Si ninguna es verdadera</x:t>
  </x:si>
  <x:si>
    <x:t xml:space="preserve">3</x:t>
  </x:si>
  <x:si>
    <x:t xml:space="preserve">I. La Tierra gira alrededor del Sol.
II. La Luna es una estrella con luz propia.</x:t>
  </x:si>
  <x:si>
    <x:t xml:space="preserve">CASO-GEN1</x:t>
  </x:si>
  <x:si>
    <x:t xml:space="preserve">Caso de lectura 1: En una ciudad se organiza una campana para reducir residuos. El equipo municipal instalara puntos de reciclaje, separara materiales y comunicara horarios de recoleccion a los vecinos.</x:t>
  </x:si>
  <x:si>
    <x:t xml:space="preserve">Cual es una accion inicial adecuada para que la campana funcione?</x:t>
  </x:si>
  <x:si>
    <x:t xml:space="preserve">Definir puntos de reciclaje visibles y accesibles</x:t>
  </x:si>
  <x:si>
    <x:t xml:space="preserve">Ocultar los horarios de recoleccion</x:t>
  </x:si>
  <x:si>
    <x:t xml:space="preserve">Mezclar todos los residuos en una sola bolsa</x:t>
  </x:si>
  <x:si>
    <x:t xml:space="preserve">Eliminar la comunicacion con los vecinos</x:t>
  </x:si>
  <x:si>
    <x:t xml:space="preserve">Suspender la separacion de materiales</x:t>
  </x:si>
  <x:si>
    <x:t xml:space="preserve">Que tipo de residuo corresponde separar en un contenedor para papel y carton?</x:t>
  </x:si>
  <x:si>
    <x:t xml:space="preserve">Restos de comida</x:t>
  </x:si>
  <x:si>
    <x:t xml:space="preserve">Botellas de vidrio</x:t>
  </x:si>
  <x:si>
    <x:t xml:space="preserve">Cajas de carton limpias</x:t>
  </x:si>
  <x:si>
    <x:t xml:space="preserve">Pilas usadas</x:t>
  </x:si>
  <x:si>
    <x:t xml:space="preserve">Aceite de cocina</x:t>
  </x:si>
  <x:si>
    <x:t xml:space="preserve">EMP-GEN1</x:t>
  </x:si>
  <x:si>
    <x:t xml:space="preserve">De la lista de opciones, seleccione la respuesta correcta para cada enunciado</x:t>
  </x:si>
  <x:si>
    <x:t xml:space="preserve">Sol</x:t>
  </x:si>
  <x:si>
    <x:t xml:space="preserve">Luna</x:t>
  </x:si>
  <x:si>
    <x:t xml:space="preserve">Estrella ubicada en el centro del sistema solar.</x:t>
  </x:si>
  <x:si>
    <x:t xml:space="preserve">Satelite natural de la Tierra.</x:t>
  </x:si>
  <x:si>
    <x:t xml:space="preserve">EMP-GEN2</x:t>
  </x:si>
  <x:si>
    <x:t xml:space="preserve">Evaporacion</x:t>
  </x:si>
  <x:si>
    <x:t xml:space="preserve">Condensacion</x:t>
  </x:si>
  <x:si>
    <x:t xml:space="preserve">Precipitacion</x:t>
  </x:si>
  <x:si>
    <x:t xml:space="preserve">Proceso por el cual el vapor de agua se transforma en gotas.</x:t>
  </x:si>
  <x:si>
    <x:t xml:space="preserve">Caida de agua desde las nubes hacia la superficie.</x:t>
  </x:si>
  <x:si>
    <x:t xml:space="preserve">RESP_VF</x:t>
  </x:si>
  <x:si>
    <x:t xml:space="preserve">B: 1 y 3 son verdaderas</x:t>
  </x:si>
  <x:si>
    <x:t xml:space="preserve">RESP_ABCD</x:t>
  </x:si>
  <x:si>
    <x:t xml:space="preserve">RESP_CLAVE</x:t>
  </x:si>
  <x:si>
    <x:t xml:space="preserve">D</x:t>
  </x:si>
  <x:si>
    <x:t xml:space="preserve">D: Solo 4 es verdadera</x:t>
  </x:si>
  <x:si>
    <x:t xml:space="preserve">RESP_ABCDE</x:t>
  </x:si>
  <x:si>
    <x:t xml:space="preserve">E</x:t>
  </x:si>
  <x:si>
    <x:t xml:space="preserve">E: Todas son verdaderas</x:t>
  </x:si>
</x:sst>
</file>

<file path=xl/styles.xml><?xml version="1.0" encoding="utf-8"?>
<x:styleSheet xmlns:x="http://schemas.openxmlformats.org/spreadsheetml/2006/main">
  <x:fonts count="12">
    <x:font>
      <x:sz val="11"/>
      <x:color theme="1"/>
      <x:name val="Calibri"/>
    </x:font>
    <x:font>
      <x:b/>
      <x:sz val="16"/>
      <x:color rgb="FFFFFFFF"/>
    </x:font>
    <x:font>
      <x:b/>
      <x:sz val="12"/>
    </x:font>
    <x:font>
      <x:b/>
      <x:color rgb="FFFF0000"/>
    </x:font>
    <x:font>
      <x:i/>
      <x:color rgb="FFC62828"/>
    </x:font>
    <x:font>
      <x:b/>
      <x:color rgb="FFFFFFFF"/>
    </x:font>
    <x:font>
      <x:b/>
    </x:font>
    <x:font>
      <x:b/>
      <x:sz val="10"/>
      <x:color rgb="FF3B1A75"/>
      <x:name val="Calibri"/>
    </x:font>
    <x:font>
      <x:b/>
      <x:sz val="11"/>
      <x:color rgb="FFFFFFFF"/>
      <x:name val="Calibri"/>
    </x:font>
    <x:font>
      <x:sz val="11"/>
      <x:color rgb="FF92400E"/>
      <x:name val="Calibri"/>
    </x:font>
    <x:font>
      <x:sz val="10"/>
      <x:color rgb="FF1F2937"/>
      <x:name val="Calibri"/>
    </x:font>
    <x:font>
      <x:b/>
      <x:sz val="11"/>
      <x:color rgb="FF4527A0"/>
      <x:name val="Calibri"/>
    </x:font>
  </x:fonts>
  <x:fills count="66">
    <x:fill>
      <x:patternFill patternType="none"/>
    </x:fill>
    <x:fill>
      <x:patternFill patternType="gray125"/>
    </x:fill>
    <x:fill>
      <x:patternFill patternType="solid">
        <x:fgColor rgb="FF4527A0"/>
      </x:patternFill>
    </x:fill>
    <x:fill>
      <x:patternFill patternType="solid">
        <x:fgColor rgb="FFE8EAF6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FC7CE"/>
      </x:patternFill>
    </x:fill>
    <x:fill>
      <x:patternFill patternType="solid">
        <x:fgColor rgb="FF006064"/>
      </x:patternFill>
    </x:fill>
    <x:fill>
      <x:patternFill patternType="solid">
        <x:fgColor rgb="FFF3EEFF"/>
      </x:patternFill>
    </x:fill>
    <x:fill>
      <x:patternFill patternType="solid">
        <x:fgColor rgb="FFF3EEFF"/>
      </x:patternFill>
    </x:fill>
    <x:fill>
      <x:patternFill patternType="solid">
        <x:fgColor rgb="FFF3EEFF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</x:fills>
  <x:borders count="16">
    <x:border/>
    <x:border>
      <x:left style="thin"/>
      <x:right style="thin"/>
      <x:top style="thin"/>
      <x:bottom style="thin"/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</x:border>
    <x:border>
      <x:right style="thin">
        <x:color rgb="FF7C3AED"/>
      </x:right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  <x:border>
      <x:left style="thin">
        <x:color rgb="FFB8A8F5"/>
      </x:left>
      <x:top style="thin">
        <x:color rgb="FFB8A8F5"/>
      </x:top>
    </x:border>
    <x:border>
      <x:top style="thin">
        <x:color rgb="FFB8A8F5"/>
      </x:top>
    </x:border>
    <x:border>
      <x:right style="thin">
        <x:color rgb="FFB8A8F5"/>
      </x:right>
      <x:top style="thin">
        <x:color rgb="FFB8A8F5"/>
      </x:top>
    </x:border>
    <x:border>
      <x:left style="thin">
        <x:color rgb="FFB8A8F5"/>
      </x:left>
    </x:border>
    <x:border>
      <x:right style="thin">
        <x:color rgb="FFB8A8F5"/>
      </x:right>
    </x:border>
    <x:border>
      <x:left style="thin">
        <x:color rgb="FFB8A8F5"/>
      </x:left>
      <x:bottom style="thin">
        <x:color rgb="FFB8A8F5"/>
      </x:bottom>
    </x:border>
    <x:border>
      <x:bottom style="thin">
        <x:color rgb="FFB8A8F5"/>
      </x:bottom>
    </x:border>
    <x:border>
      <x:right style="thin">
        <x:color rgb="FFB8A8F5"/>
      </x:right>
      <x:bottom style="thin">
        <x:color rgb="FFB8A8F5"/>
      </x:bottom>
    </x:border>
  </x:borders>
  <x:cellStyleXfs count="1">
    <x:xf numFmtId="0" fontId="0" fillId="0" borderId="0"/>
  </x:cellStyleXfs>
  <x:cellXfs count="315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2" fillId="3" borderId="0" xfId="0" applyFont="1" applyFill="1"/>
    <x:xf numFmtId="0" fontId="3" fillId="0" borderId="0" xfId="0" applyFont="1"/>
    <x:xf numFmtId="0" fontId="4" fillId="0" borderId="0" xfId="0" applyFont="1"/>
    <x:xf numFmtId="0" fontId="0" fillId="0" borderId="0" xfId="0" applyAlignment="1">
      <x:alignment vertical="top" wrapText="1"/>
    </x:xf>
    <x:xf numFmtId="0" fontId="5" fillId="2" borderId="1" xfId="0" applyFont="1" applyFill="1" applyBorder="1" applyAlignment="1">
      <x:alignment horizontal="center" vertical="center"/>
    </x:xf>
    <x:xf numFmtId="0" fontId="0" fillId="4" borderId="1" xfId="0" applyFill="1" applyBorder="1"/>
    <x:xf numFmtId="0" fontId="0" fillId="4" borderId="1" xfId="0" applyFill="1" applyBorder="1" applyAlignment="1">
      <x:alignment vertical="top" wrapText="1"/>
    </x:xf>
    <x:xf numFmtId="0" fontId="6" fillId="4" borderId="1" xfId="0" applyFont="1" applyFill="1" applyBorder="1"/>
    <x:xf numFmtId="0" fontId="0" fillId="5" borderId="1" xfId="0" applyFill="1" applyBorder="1"/>
    <x:xf numFmtId="0" fontId="0" fillId="5" borderId="1" xfId="0" applyFill="1" applyBorder="1" applyAlignment="1">
      <x:alignment vertical="top" wrapText="1"/>
    </x:xf>
    <x:xf numFmtId="0" fontId="6" fillId="5" borderId="1" xfId="0" applyFont="1" applyFill="1" applyBorder="1"/>
    <x:xf numFmtId="0" fontId="0" fillId="6" borderId="1" xfId="0" applyFill="1" applyBorder="1"/>
    <x:xf numFmtId="0" fontId="0" fillId="6" borderId="1" xfId="0" applyFill="1" applyBorder="1" applyAlignment="1">
      <x:alignment vertical="top" wrapText="1"/>
    </x:xf>
    <x:xf numFmtId="0" fontId="6" fillId="6" borderId="1" xfId="0" applyFont="1" applyFill="1" applyBorder="1"/>
    <x:xf numFmtId="0" fontId="6" fillId="0" borderId="0" xfId="0" applyFont="1"/>
    <x:xf numFmtId="0" fontId="5" fillId="7" borderId="0" xfId="0" applyFont="1" applyFill="1" applyAlignment="1">
      <x:alignment horizontal="center"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2" xfId="0" applyNumberFormat="1" applyFont="1" applyFill="1" applyBorder="1"/>
    <x:xf numFmtId="0" fontId="7" fillId="8" borderId="3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2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2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7" fillId="8" borderId="3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  <x:xf numFmtId="0" fontId="7" fillId="8" borderId="7" xfId="0" applyNumberFormat="1" applyFont="1" applyFill="1" applyBorder="1" applyAlignment="1">
      <x:alignment horizontal="center" vertical="center" wrapText="1"/>
    </x:xf>
    <x:xf numFmtId="0" fontId="7" fillId="9" borderId="2" xfId="0" applyNumberFormat="1" applyFont="1" applyFill="1" applyBorder="1" applyAlignment="1">
      <x:alignment horizontal="center" vertical="center" wrapText="1"/>
    </x:xf>
    <x:xf numFmtId="0" fontId="7" fillId="9" borderId="3" xfId="0" applyNumberFormat="1" applyFont="1" applyFill="1" applyBorder="1" applyAlignment="1">
      <x:alignment horizontal="center" vertical="center" wrapText="1"/>
    </x:xf>
    <x:xf numFmtId="0" fontId="7" fillId="9" borderId="4" xfId="0" applyNumberFormat="1" applyFont="1" applyFill="1" applyBorder="1" applyAlignment="1">
      <x:alignment vertical="center" wrapText="1"/>
    </x:xf>
    <x:xf numFmtId="0" fontId="7" fillId="9" borderId="5" xfId="0" applyNumberFormat="1" applyFont="1" applyFill="1" applyBorder="1" applyAlignment="1">
      <x:alignment horizontal="center" vertical="center" wrapText="1"/>
    </x:xf>
    <x:xf numFmtId="0" fontId="7" fillId="9" borderId="6" xfId="0" applyNumberFormat="1" applyFont="1" applyFill="1" applyBorder="1" applyAlignment="1">
      <x:alignment vertical="center" wrapText="1"/>
    </x:xf>
    <x:xf numFmtId="0" fontId="7" fillId="9" borderId="7" xfId="0" applyNumberFormat="1" applyFont="1" applyFill="1" applyBorder="1" applyAlignment="1">
      <x:alignment horizontal="center" vertical="center" wrapText="1"/>
    </x:xf>
    <x:xf numFmtId="0" fontId="7" fillId="10" borderId="2" xfId="0" applyNumberFormat="1" applyFont="1" applyFill="1" applyBorder="1" applyAlignment="1">
      <x:alignment horizontal="center" vertical="center" wrapText="1"/>
    </x:xf>
    <x:xf numFmtId="0" fontId="7" fillId="10" borderId="3" xfId="0" applyNumberFormat="1" applyFont="1" applyFill="1" applyBorder="1" applyAlignment="1">
      <x:alignment horizontal="center" vertical="center" wrapText="1"/>
    </x:xf>
    <x:xf numFmtId="0" fontId="7" fillId="10" borderId="4" xfId="0" applyNumberFormat="1" applyFont="1" applyFill="1" applyBorder="1" applyAlignment="1">
      <x:alignment vertical="center" wrapText="1"/>
    </x:xf>
    <x:xf numFmtId="0" fontId="7" fillId="10" borderId="5" xfId="0" applyNumberFormat="1" applyFont="1" applyFill="1" applyBorder="1" applyAlignment="1">
      <x:alignment horizontal="center" vertical="center" wrapText="1"/>
    </x:xf>
    <x:xf numFmtId="0" fontId="7" fillId="10" borderId="6" xfId="0" applyNumberFormat="1" applyFont="1" applyFill="1" applyBorder="1" applyAlignment="1">
      <x:alignment vertical="center" wrapText="1"/>
    </x:xf>
    <x:xf numFmtId="0" fontId="7" fillId="10" borderId="7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8" fillId="13" borderId="0" xfId="0" applyNumberFormat="1" applyFont="1" applyFill="1" applyBorder="1" applyAlignment="1">
      <x:alignment horizontal="center"/>
    </x:xf>
    <x:xf numFmtId="0" fontId="9" fillId="14" borderId="0" xfId="0" applyNumberFormat="1" applyFont="1" applyFill="1" applyBorder="1"/>
    <x:xf numFmtId="0" fontId="8" fillId="15" borderId="0" xfId="0" applyNumberFormat="1" applyFont="1" applyFill="1" applyBorder="1" applyAlignment="1">
      <x:alignment horizontal="center"/>
    </x:xf>
    <x:xf numFmtId="0" fontId="9" fillId="16" borderId="0" xfId="0" applyNumberFormat="1" applyFont="1" applyFill="1" applyBorder="1"/>
    <x:xf numFmtId="0" fontId="8" fillId="17" borderId="0" xfId="0" applyNumberFormat="1" applyFont="1" applyFill="1" applyBorder="1" applyAlignment="1">
      <x:alignment horizontal="center"/>
    </x:xf>
    <x:xf numFmtId="0" fontId="9" fillId="18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vertical="center" wrapText="1"/>
    </x:xf>
    <x:xf numFmtId="0" fontId="8" fillId="11" borderId="0" xfId="0" applyNumberFormat="1" applyFont="1" applyFill="1" applyBorder="1" applyAlignment="1">
      <x:alignment horizontal="center"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wrapText="1"/>
    </x:xf>
    <x:xf numFmtId="0" fontId="9" fillId="12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vertical="top" wrapText="1"/>
    </x:xf>
    <x:xf numFmtId="0" fontId="9" fillId="12" borderId="0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top" wrapText="1"/>
    </x:xf>
    <x:xf numFmtId="0" fontId="0" fillId="22" borderId="1" xfId="0" applyNumberFormat="1" applyFont="1" applyFill="1" applyBorder="1" applyAlignment="1">
      <x:alignment vertical="top" wrapText="1"/>
    </x:xf>
    <x:xf numFmtId="0" fontId="6" fillId="22" borderId="1" xfId="0" applyNumberFormat="1" applyFont="1" applyFill="1" applyBorder="1" applyAlignment="1">
      <x:alignment vertical="top" wrapText="1"/>
    </x:xf>
    <x:xf numFmtId="0" fontId="0" fillId="21" borderId="1" xfId="0" applyNumberFormat="1" applyFont="1" applyFill="1" applyBorder="1" applyAlignment="1">
      <x:alignment vertical="top" wrapText="1"/>
    </x:xf>
    <x:xf numFmtId="0" fontId="6" fillId="21" borderId="1" xfId="0" applyNumberFormat="1" applyFont="1" applyFill="1" applyBorder="1" applyAlignment="1">
      <x:alignment vertical="top" wrapText="1"/>
    </x:xf>
    <x:xf numFmtId="0" fontId="0" fillId="23" borderId="1" xfId="0" applyNumberFormat="1" applyFont="1" applyFill="1" applyBorder="1" applyAlignment="1">
      <x:alignment vertical="top" wrapText="1"/>
    </x:xf>
    <x:xf numFmtId="0" fontId="6" fillId="23" borderId="1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8" fillId="24" borderId="0" xfId="0" applyNumberFormat="1" applyFont="1" applyFill="1" applyBorder="1"/>
    <x:xf numFmtId="0" fontId="8" fillId="24" borderId="0" xfId="0" applyNumberFormat="1" applyFont="1" applyFill="1" applyBorder="1" applyAlignment="1">
      <x:alignment horizontal="center"/>
    </x:xf>
    <x:xf numFmtId="0" fontId="8" fillId="24" borderId="0" xfId="0" applyNumberFormat="1" applyFont="1" applyFill="1" applyBorder="1" applyAlignment="1">
      <x:alignment horizontal="center" vertical="center"/>
    </x:xf>
    <x:xf numFmtId="0" fontId="0" fillId="25" borderId="0" xfId="0" applyNumberFormat="1" applyFont="1" applyFill="1" applyBorder="1"/>
    <x:xf numFmtId="0" fontId="10" fillId="25" borderId="0" xfId="0" applyNumberFormat="1" applyFont="1" applyFill="1" applyBorder="1"/>
    <x:xf numFmtId="0" fontId="10" fillId="25" borderId="0" xfId="0" applyNumberFormat="1" applyFont="1" applyFill="1" applyBorder="1" applyAlignment="1">
      <x:alignment wrapText="1"/>
    </x:xf>
    <x:xf numFmtId="0" fontId="10" fillId="25" borderId="0" xfId="0" applyNumberFormat="1" applyFont="1" applyFill="1" applyBorder="1" applyAlignment="1">
      <x:alignment vertical="center" wrapText="1"/>
    </x:xf>
    <x:xf numFmtId="0" fontId="11" fillId="25" borderId="0" xfId="0" applyNumberFormat="1" applyFont="1" applyFill="1" applyBorder="1" applyAlignment="1">
      <x:alignment vertical="center" wrapText="1"/>
    </x:xf>
    <x:xf numFmtId="0" fontId="10" fillId="25" borderId="8" xfId="0" applyNumberFormat="1" applyFont="1" applyFill="1" applyBorder="1" applyAlignment="1">
      <x:alignment vertical="center" wrapText="1"/>
    </x:xf>
    <x:xf numFmtId="0" fontId="11" fillId="25" borderId="9" xfId="0" applyNumberFormat="1" applyFont="1" applyFill="1" applyBorder="1" applyAlignment="1">
      <x:alignment vertical="center" wrapText="1"/>
    </x:xf>
    <x:xf numFmtId="0" fontId="10" fillId="25" borderId="10" xfId="0" applyNumberFormat="1" applyFont="1" applyFill="1" applyBorder="1" applyAlignment="1">
      <x:alignment vertical="center" wrapText="1"/>
    </x:xf>
    <x:xf numFmtId="0" fontId="10" fillId="25" borderId="11" xfId="0" applyNumberFormat="1" applyFont="1" applyFill="1" applyBorder="1" applyAlignment="1">
      <x:alignment vertical="center" wrapText="1"/>
    </x:xf>
    <x:xf numFmtId="0" fontId="11" fillId="25" xfId="0" applyNumberFormat="1" applyFont="1" applyFill="1" applyBorder="0" applyAlignment="1">
      <x:alignment vertical="center" wrapText="1"/>
    </x:xf>
    <x:xf numFmtId="0" fontId="10" fillId="25" borderId="12" xfId="0" applyNumberFormat="1" applyFont="1" applyFill="1" applyBorder="1" applyAlignment="1">
      <x:alignment vertical="center" wrapText="1"/>
    </x:xf>
    <x:xf numFmtId="0" fontId="10" fillId="25" borderId="13" xfId="0" applyNumberFormat="1" applyFont="1" applyFill="1" applyBorder="1" applyAlignment="1">
      <x:alignment vertical="center" wrapText="1"/>
    </x:xf>
    <x:xf numFmtId="0" fontId="11" fillId="25" borderId="14" xfId="0" applyNumberFormat="1" applyFont="1" applyFill="1" applyBorder="1" applyAlignment="1">
      <x:alignment vertical="center" wrapText="1"/>
    </x:xf>
    <x:xf numFmtId="0" fontId="10" fillId="25" borderId="15" xfId="0" applyNumberFormat="1" applyFont="1" applyFill="1" applyBorder="1" applyAlignment="1">
      <x:alignment vertical="center" wrapText="1"/>
    </x:xf>
    <x:xf numFmtId="0" fontId="8" fillId="2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vertical="top" wrapText="1"/>
    </x:xf>
    <x:xf numFmtId="0" fontId="0" fillId="27" borderId="1" xfId="0" applyNumberFormat="1" applyFont="1" applyFill="1" applyBorder="1" applyAlignment="1">
      <x:alignment vertical="top" wrapText="1"/>
    </x:xf>
    <x:xf numFmtId="0" fontId="6" fillId="27" borderId="1" xfId="0" applyNumberFormat="1" applyFont="1" applyFill="1" applyBorder="1" applyAlignment="1">
      <x:alignment vertical="top" wrapText="1"/>
    </x:xf>
    <x:xf numFmtId="0" fontId="0" fillId="26" borderId="1" xfId="0" applyNumberFormat="1" applyFont="1" applyFill="1" applyBorder="1" applyAlignment="1">
      <x:alignment vertical="top" wrapText="1"/>
    </x:xf>
    <x:xf numFmtId="0" fontId="6" fillId="26" borderId="1" xfId="0" applyNumberFormat="1" applyFont="1" applyFill="1" applyBorder="1" applyAlignment="1">
      <x:alignment vertical="top" wrapText="1"/>
    </x:xf>
    <x:xf numFmtId="0" fontId="0" fillId="28" borderId="1" xfId="0" applyNumberFormat="1" applyFont="1" applyFill="1" applyBorder="1" applyAlignment="1">
      <x:alignment vertical="top" wrapText="1"/>
    </x:xf>
    <x:xf numFmtId="0" fontId="6" fillId="28" borderId="1" xfId="0" applyNumberFormat="1" applyFont="1" applyFill="1" applyBorder="1" applyAlignment="1">
      <x:alignment vertical="top" wrapText="1"/>
    </x:xf>
    <x:xf numFmtId="0" fontId="0" fillId="29" borderId="0" xfId="0" applyNumberFormat="1" applyFont="1" applyFill="1" applyBorder="1"/>
    <x:xf numFmtId="0" fontId="8" fillId="29" borderId="0" xfId="0" applyNumberFormat="1" applyFont="1" applyFill="1" applyBorder="1"/>
    <x:xf numFmtId="0" fontId="8" fillId="29" borderId="0" xfId="0" applyNumberFormat="1" applyFont="1" applyFill="1" applyBorder="1" applyAlignment="1">
      <x:alignment horizontal="center"/>
    </x:xf>
    <x:xf numFmtId="0" fontId="8" fillId="29" borderId="0" xfId="0" applyNumberFormat="1" applyFont="1" applyFill="1" applyBorder="1" applyAlignment="1">
      <x:alignment horizontal="center" vertical="center"/>
    </x:xf>
    <x:xf numFmtId="0" fontId="0" fillId="30" borderId="0" xfId="0" applyNumberFormat="1" applyFont="1" applyFill="1" applyBorder="1"/>
    <x:xf numFmtId="0" fontId="10" fillId="30" borderId="0" xfId="0" applyNumberFormat="1" applyFont="1" applyFill="1" applyBorder="1"/>
    <x:xf numFmtId="0" fontId="10" fillId="30" borderId="0" xfId="0" applyNumberFormat="1" applyFont="1" applyFill="1" applyBorder="1" applyAlignment="1">
      <x:alignment wrapText="1"/>
    </x:xf>
    <x:xf numFmtId="0" fontId="10" fillId="30" borderId="0" xfId="0" applyNumberFormat="1" applyFont="1" applyFill="1" applyBorder="1" applyAlignment="1">
      <x:alignment vertical="center" wrapText="1"/>
    </x:xf>
    <x:xf numFmtId="0" fontId="11" fillId="30" borderId="0" xfId="0" applyNumberFormat="1" applyFont="1" applyFill="1" applyBorder="1" applyAlignment="1">
      <x:alignment vertical="center" wrapText="1"/>
    </x:xf>
    <x:xf numFmtId="0" fontId="10" fillId="30" borderId="8" xfId="0" applyNumberFormat="1" applyFont="1" applyFill="1" applyBorder="1" applyAlignment="1">
      <x:alignment vertical="center" wrapText="1"/>
    </x:xf>
    <x:xf numFmtId="0" fontId="11" fillId="30" borderId="9" xfId="0" applyNumberFormat="1" applyFont="1" applyFill="1" applyBorder="1" applyAlignment="1">
      <x:alignment vertical="center" wrapText="1"/>
    </x:xf>
    <x:xf numFmtId="0" fontId="10" fillId="30" borderId="10" xfId="0" applyNumberFormat="1" applyFont="1" applyFill="1" applyBorder="1" applyAlignment="1">
      <x:alignment vertical="center" wrapText="1"/>
    </x:xf>
    <x:xf numFmtId="0" fontId="10" fillId="30" borderId="11" xfId="0" applyNumberFormat="1" applyFont="1" applyFill="1" applyBorder="1" applyAlignment="1">
      <x:alignment vertical="center" wrapText="1"/>
    </x:xf>
    <x:xf numFmtId="0" fontId="11" fillId="30" xfId="0" applyNumberFormat="1" applyFont="1" applyFill="1" applyBorder="0" applyAlignment="1">
      <x:alignment vertical="center" wrapText="1"/>
    </x:xf>
    <x:xf numFmtId="0" fontId="10" fillId="30" borderId="12" xfId="0" applyNumberFormat="1" applyFont="1" applyFill="1" applyBorder="1" applyAlignment="1">
      <x:alignment vertical="center" wrapText="1"/>
    </x:xf>
    <x:xf numFmtId="0" fontId="10" fillId="30" borderId="13" xfId="0" applyNumberFormat="1" applyFont="1" applyFill="1" applyBorder="1" applyAlignment="1">
      <x:alignment vertical="center" wrapText="1"/>
    </x:xf>
    <x:xf numFmtId="0" fontId="11" fillId="30" borderId="14" xfId="0" applyNumberFormat="1" applyFont="1" applyFill="1" applyBorder="1" applyAlignment="1">
      <x:alignment vertical="center" wrapText="1"/>
    </x:xf>
    <x:xf numFmtId="0" fontId="10" fillId="30" borderId="15" xfId="0" applyNumberFormat="1" applyFont="1" applyFill="1" applyBorder="1" applyAlignment="1">
      <x:alignment vertical="center" wrapText="1"/>
    </x:xf>
    <x:xf numFmtId="0" fontId="8" fillId="29" borderId="0" xfId="0" applyNumberFormat="1" applyFont="1" applyFill="1" applyBorder="1" applyAlignment="1">
      <x:alignment wrapText="1"/>
    </x:xf>
    <x:xf numFmtId="0" fontId="9" fillId="31" borderId="0" xfId="0" applyNumberFormat="1" applyFont="1" applyFill="1" applyBorder="1" applyAlignment="1">
      <x:alignment vertical="top" wrapText="1"/>
    </x:xf>
    <x:xf numFmtId="0" fontId="0" fillId="32" borderId="1" xfId="0" applyNumberFormat="1" applyFont="1" applyFill="1" applyBorder="1" applyAlignment="1">
      <x:alignment vertical="top" wrapText="1"/>
    </x:xf>
    <x:xf numFmtId="0" fontId="6" fillId="32" borderId="1" xfId="0" applyNumberFormat="1" applyFont="1" applyFill="1" applyBorder="1" applyAlignment="1">
      <x:alignment vertical="top" wrapText="1"/>
    </x:xf>
    <x:xf numFmtId="0" fontId="0" fillId="31" borderId="1" xfId="0" applyNumberFormat="1" applyFont="1" applyFill="1" applyBorder="1" applyAlignment="1">
      <x:alignment vertical="top" wrapText="1"/>
    </x:xf>
    <x:xf numFmtId="0" fontId="6" fillId="31" borderId="1" xfId="0" applyNumberFormat="1" applyFont="1" applyFill="1" applyBorder="1" applyAlignment="1">
      <x:alignment vertical="top" wrapText="1"/>
    </x:xf>
    <x:xf numFmtId="0" fontId="0" fillId="33" borderId="1" xfId="0" applyNumberFormat="1" applyFont="1" applyFill="1" applyBorder="1" applyAlignment="1">
      <x:alignment vertical="top" wrapText="1"/>
    </x:xf>
    <x:xf numFmtId="0" fontId="6" fillId="33" borderId="1" xfId="0" applyNumberFormat="1" applyFont="1" applyFill="1" applyBorder="1" applyAlignment="1">
      <x:alignment vertical="top" wrapText="1"/>
    </x:xf>
    <x:xf numFmtId="0" fontId="0" fillId="34" borderId="0" xfId="0" applyNumberFormat="1" applyFont="1" applyFill="1" applyBorder="1"/>
    <x:xf numFmtId="0" fontId="8" fillId="34" borderId="0" xfId="0" applyNumberFormat="1" applyFont="1" applyFill="1" applyBorder="1"/>
    <x:xf numFmtId="0" fontId="8" fillId="34" borderId="0" xfId="0" applyNumberFormat="1" applyFont="1" applyFill="1" applyBorder="1" applyAlignment="1">
      <x:alignment horizontal="center"/>
    </x:xf>
    <x:xf numFmtId="0" fontId="8" fillId="34" borderId="0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/>
    <x:xf numFmtId="0" fontId="10" fillId="35" borderId="0" xfId="0" applyNumberFormat="1" applyFont="1" applyFill="1" applyBorder="1"/>
    <x:xf numFmtId="0" fontId="10" fillId="35" borderId="0" xfId="0" applyNumberFormat="1" applyFont="1" applyFill="1" applyBorder="1" applyAlignment="1">
      <x:alignment wrapText="1"/>
    </x:xf>
    <x:xf numFmtId="0" fontId="10" fillId="35" borderId="0" xfId="0" applyNumberFormat="1" applyFont="1" applyFill="1" applyBorder="1" applyAlignment="1">
      <x:alignment vertical="center" wrapText="1"/>
    </x:xf>
    <x:xf numFmtId="0" fontId="11" fillId="35" borderId="0" xfId="0" applyNumberFormat="1" applyFont="1" applyFill="1" applyBorder="1" applyAlignment="1">
      <x:alignment vertical="center" wrapText="1"/>
    </x:xf>
    <x:xf numFmtId="0" fontId="10" fillId="35" borderId="8" xfId="0" applyNumberFormat="1" applyFont="1" applyFill="1" applyBorder="1" applyAlignment="1">
      <x:alignment vertical="center" wrapText="1"/>
    </x:xf>
    <x:xf numFmtId="0" fontId="11" fillId="35" borderId="9" xfId="0" applyNumberFormat="1" applyFont="1" applyFill="1" applyBorder="1" applyAlignment="1">
      <x:alignment vertical="center" wrapText="1"/>
    </x:xf>
    <x:xf numFmtId="0" fontId="10" fillId="35" borderId="10" xfId="0" applyNumberFormat="1" applyFont="1" applyFill="1" applyBorder="1" applyAlignment="1">
      <x:alignment vertical="center" wrapText="1"/>
    </x:xf>
    <x:xf numFmtId="0" fontId="10" fillId="35" borderId="11" xfId="0" applyNumberFormat="1" applyFont="1" applyFill="1" applyBorder="1" applyAlignment="1">
      <x:alignment vertical="center" wrapText="1"/>
    </x:xf>
    <x:xf numFmtId="0" fontId="11" fillId="35" xfId="0" applyNumberFormat="1" applyFont="1" applyFill="1" applyBorder="0" applyAlignment="1">
      <x:alignment vertical="center" wrapText="1"/>
    </x:xf>
    <x:xf numFmtId="0" fontId="10" fillId="35" borderId="12" xfId="0" applyNumberFormat="1" applyFont="1" applyFill="1" applyBorder="1" applyAlignment="1">
      <x:alignment vertical="center" wrapText="1"/>
    </x:xf>
    <x:xf numFmtId="0" fontId="10" fillId="35" borderId="13" xfId="0" applyNumberFormat="1" applyFont="1" applyFill="1" applyBorder="1" applyAlignment="1">
      <x:alignment vertical="center" wrapText="1"/>
    </x:xf>
    <x:xf numFmtId="0" fontId="11" fillId="35" borderId="14" xfId="0" applyNumberFormat="1" applyFont="1" applyFill="1" applyBorder="1" applyAlignment="1">
      <x:alignment vertical="center" wrapText="1"/>
    </x:xf>
    <x:xf numFmtId="0" fontId="10" fillId="35" borderId="15" xfId="0" applyNumberFormat="1" applyFont="1" applyFill="1" applyBorder="1" applyAlignment="1">
      <x:alignment vertical="center" wrapText="1"/>
    </x:xf>
    <x:xf numFmtId="0" fontId="8" fillId="34" borderId="0" xfId="0" applyNumberFormat="1" applyFont="1" applyFill="1" applyBorder="1" applyAlignment="1">
      <x:alignment wrapText="1"/>
    </x:xf>
    <x:xf numFmtId="0" fontId="9" fillId="36" borderId="0" xfId="0" applyNumberFormat="1" applyFont="1" applyFill="1" applyBorder="1" applyAlignment="1">
      <x:alignment vertical="top" wrapText="1"/>
    </x:xf>
    <x:xf numFmtId="0" fontId="0" fillId="37" borderId="1" xfId="0" applyNumberFormat="1" applyFont="1" applyFill="1" applyBorder="1" applyAlignment="1">
      <x:alignment vertical="top" wrapText="1"/>
    </x:xf>
    <x:xf numFmtId="0" fontId="6" fillId="37" borderId="1" xfId="0" applyNumberFormat="1" applyFont="1" applyFill="1" applyBorder="1" applyAlignment="1">
      <x:alignment vertical="top" wrapText="1"/>
    </x:xf>
    <x:xf numFmtId="0" fontId="0" fillId="36" borderId="1" xfId="0" applyNumberFormat="1" applyFont="1" applyFill="1" applyBorder="1" applyAlignment="1">
      <x:alignment vertical="top" wrapText="1"/>
    </x:xf>
    <x:xf numFmtId="0" fontId="6" fillId="36" borderId="1" xfId="0" applyNumberFormat="1" applyFont="1" applyFill="1" applyBorder="1" applyAlignment="1">
      <x:alignment vertical="top" wrapText="1"/>
    </x:xf>
    <x:xf numFmtId="0" fontId="0" fillId="38" borderId="1" xfId="0" applyNumberFormat="1" applyFont="1" applyFill="1" applyBorder="1" applyAlignment="1">
      <x:alignment vertical="top" wrapText="1"/>
    </x:xf>
    <x:xf numFmtId="0" fontId="6" fillId="38" borderId="1" xfId="0" applyNumberFormat="1" applyFont="1" applyFill="1" applyBorder="1" applyAlignment="1">
      <x:alignment vertical="top" wrapText="1"/>
    </x:xf>
    <x:xf numFmtId="0" fontId="0" fillId="39" borderId="0" xfId="0" applyNumberFormat="1" applyFont="1" applyFill="1" applyBorder="1"/>
    <x:xf numFmtId="0" fontId="8" fillId="39" borderId="0" xfId="0" applyNumberFormat="1" applyFont="1" applyFill="1" applyBorder="1"/>
    <x:xf numFmtId="0" fontId="8" fillId="39" borderId="0" xfId="0" applyNumberFormat="1" applyFont="1" applyFill="1" applyBorder="1" applyAlignment="1">
      <x:alignment horizontal="center"/>
    </x:xf>
    <x:xf numFmtId="0" fontId="8" fillId="39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/>
    <x:xf numFmtId="0" fontId="10" fillId="40" borderId="0" xfId="0" applyNumberFormat="1" applyFont="1" applyFill="1" applyBorder="1"/>
    <x:xf numFmtId="0" fontId="10" fillId="40" borderId="0" xfId="0" applyNumberFormat="1" applyFont="1" applyFill="1" applyBorder="1" applyAlignment="1">
      <x:alignment wrapText="1"/>
    </x:xf>
    <x:xf numFmtId="0" fontId="10" fillId="40" borderId="0" xfId="0" applyNumberFormat="1" applyFont="1" applyFill="1" applyBorder="1" applyAlignment="1">
      <x:alignment vertical="center" wrapText="1"/>
    </x:xf>
    <x:xf numFmtId="0" fontId="11" fillId="40" borderId="0" xfId="0" applyNumberFormat="1" applyFont="1" applyFill="1" applyBorder="1" applyAlignment="1">
      <x:alignment vertical="center" wrapText="1"/>
    </x:xf>
    <x:xf numFmtId="0" fontId="10" fillId="40" borderId="8" xfId="0" applyNumberFormat="1" applyFont="1" applyFill="1" applyBorder="1" applyAlignment="1">
      <x:alignment vertical="center" wrapText="1"/>
    </x:xf>
    <x:xf numFmtId="0" fontId="11" fillId="40" borderId="9" xfId="0" applyNumberFormat="1" applyFont="1" applyFill="1" applyBorder="1" applyAlignment="1">
      <x:alignment vertical="center" wrapText="1"/>
    </x:xf>
    <x:xf numFmtId="0" fontId="10" fillId="40" borderId="10" xfId="0" applyNumberFormat="1" applyFont="1" applyFill="1" applyBorder="1" applyAlignment="1">
      <x:alignment vertical="center" wrapText="1"/>
    </x:xf>
    <x:xf numFmtId="0" fontId="10" fillId="40" borderId="11" xfId="0" applyNumberFormat="1" applyFont="1" applyFill="1" applyBorder="1" applyAlignment="1">
      <x:alignment vertical="center" wrapText="1"/>
    </x:xf>
    <x:xf numFmtId="0" fontId="11" fillId="40" xfId="0" applyNumberFormat="1" applyFont="1" applyFill="1" applyBorder="0" applyAlignment="1">
      <x:alignment vertical="center" wrapText="1"/>
    </x:xf>
    <x:xf numFmtId="0" fontId="10" fillId="40" borderId="12" xfId="0" applyNumberFormat="1" applyFont="1" applyFill="1" applyBorder="1" applyAlignment="1">
      <x:alignment vertical="center" wrapText="1"/>
    </x:xf>
    <x:xf numFmtId="0" fontId="10" fillId="40" borderId="13" xfId="0" applyNumberFormat="1" applyFont="1" applyFill="1" applyBorder="1" applyAlignment="1">
      <x:alignment vertical="center" wrapText="1"/>
    </x:xf>
    <x:xf numFmtId="0" fontId="11" fillId="40" borderId="14" xfId="0" applyNumberFormat="1" applyFont="1" applyFill="1" applyBorder="1" applyAlignment="1">
      <x:alignment vertical="center" wrapText="1"/>
    </x:xf>
    <x:xf numFmtId="0" fontId="10" fillId="40" borderId="15" xfId="0" applyNumberFormat="1" applyFont="1" applyFill="1" applyBorder="1" applyAlignment="1">
      <x:alignment vertical="center" wrapText="1"/>
    </x:xf>
    <x:xf numFmtId="0" fontId="8" fillId="39" borderId="0" xfId="0" applyNumberFormat="1" applyFont="1" applyFill="1" applyBorder="1" applyAlignment="1">
      <x:alignment wrapText="1"/>
    </x:xf>
    <x:xf numFmtId="0" fontId="9" fillId="41" borderId="0" xfId="0" applyNumberFormat="1" applyFont="1" applyFill="1" applyBorder="1" applyAlignment="1">
      <x:alignment vertical="top" wrapText="1"/>
    </x:xf>
    <x:xf numFmtId="0" fontId="0" fillId="42" borderId="1" xfId="0" applyNumberFormat="1" applyFont="1" applyFill="1" applyBorder="1" applyAlignment="1">
      <x:alignment vertical="top" wrapText="1"/>
    </x:xf>
    <x:xf numFmtId="0" fontId="6" fillId="42" borderId="1" xfId="0" applyNumberFormat="1" applyFont="1" applyFill="1" applyBorder="1" applyAlignment="1">
      <x:alignment vertical="top" wrapText="1"/>
    </x:xf>
    <x:xf numFmtId="0" fontId="0" fillId="41" borderId="1" xfId="0" applyNumberFormat="1" applyFont="1" applyFill="1" applyBorder="1" applyAlignment="1">
      <x:alignment vertical="top" wrapText="1"/>
    </x:xf>
    <x:xf numFmtId="0" fontId="6" fillId="41" borderId="1" xfId="0" applyNumberFormat="1" applyFont="1" applyFill="1" applyBorder="1" applyAlignment="1">
      <x:alignment vertical="top" wrapText="1"/>
    </x:xf>
    <x:xf numFmtId="0" fontId="0" fillId="43" borderId="1" xfId="0" applyNumberFormat="1" applyFont="1" applyFill="1" applyBorder="1" applyAlignment="1">
      <x:alignment vertical="top" wrapText="1"/>
    </x:xf>
    <x:xf numFmtId="0" fontId="6" fillId="43" borderId="1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8" fillId="44" borderId="0" xfId="0" applyNumberFormat="1" applyFont="1" applyFill="1" applyBorder="1"/>
    <x:xf numFmtId="0" fontId="8" fillId="44" borderId="0" xfId="0" applyNumberFormat="1" applyFont="1" applyFill="1" applyBorder="1" applyAlignment="1">
      <x:alignment horizontal="center"/>
    </x:xf>
    <x:xf numFmtId="0" fontId="8" fillId="44" borderId="0" xfId="0" applyNumberFormat="1" applyFont="1" applyFill="1" applyBorder="1" applyAlignment="1">
      <x:alignment horizontal="center" vertical="center"/>
    </x:xf>
    <x:xf numFmtId="0" fontId="0" fillId="45" borderId="0" xfId="0" applyNumberFormat="1" applyFont="1" applyFill="1" applyBorder="1"/>
    <x:xf numFmtId="0" fontId="10" fillId="45" borderId="0" xfId="0" applyNumberFormat="1" applyFont="1" applyFill="1" applyBorder="1"/>
    <x:xf numFmtId="0" fontId="10" fillId="45" borderId="0" xfId="0" applyNumberFormat="1" applyFont="1" applyFill="1" applyBorder="1" applyAlignment="1">
      <x:alignment wrapText="1"/>
    </x:xf>
    <x:xf numFmtId="0" fontId="10" fillId="45" borderId="0" xfId="0" applyNumberFormat="1" applyFont="1" applyFill="1" applyBorder="1" applyAlignment="1">
      <x:alignment vertical="center" wrapText="1"/>
    </x:xf>
    <x:xf numFmtId="0" fontId="11" fillId="45" borderId="0" xfId="0" applyNumberFormat="1" applyFont="1" applyFill="1" applyBorder="1" applyAlignment="1">
      <x:alignment vertical="center" wrapText="1"/>
    </x:xf>
    <x:xf numFmtId="0" fontId="10" fillId="45" borderId="8" xfId="0" applyNumberFormat="1" applyFont="1" applyFill="1" applyBorder="1" applyAlignment="1">
      <x:alignment vertical="center" wrapText="1"/>
    </x:xf>
    <x:xf numFmtId="0" fontId="11" fillId="45" borderId="9" xfId="0" applyNumberFormat="1" applyFont="1" applyFill="1" applyBorder="1" applyAlignment="1">
      <x:alignment vertical="center" wrapText="1"/>
    </x:xf>
    <x:xf numFmtId="0" fontId="10" fillId="45" borderId="10" xfId="0" applyNumberFormat="1" applyFont="1" applyFill="1" applyBorder="1" applyAlignment="1">
      <x:alignment vertical="center" wrapText="1"/>
    </x:xf>
    <x:xf numFmtId="0" fontId="10" fillId="45" borderId="11" xfId="0" applyNumberFormat="1" applyFont="1" applyFill="1" applyBorder="1" applyAlignment="1">
      <x:alignment vertical="center" wrapText="1"/>
    </x:xf>
    <x:xf numFmtId="0" fontId="11" fillId="45" xfId="0" applyNumberFormat="1" applyFont="1" applyFill="1" applyBorder="0" applyAlignment="1">
      <x:alignment vertical="center" wrapText="1"/>
    </x:xf>
    <x:xf numFmtId="0" fontId="10" fillId="45" borderId="12" xfId="0" applyNumberFormat="1" applyFont="1" applyFill="1" applyBorder="1" applyAlignment="1">
      <x:alignment vertical="center" wrapText="1"/>
    </x:xf>
    <x:xf numFmtId="0" fontId="10" fillId="45" borderId="13" xfId="0" applyNumberFormat="1" applyFont="1" applyFill="1" applyBorder="1" applyAlignment="1">
      <x:alignment vertical="center" wrapText="1"/>
    </x:xf>
    <x:xf numFmtId="0" fontId="11" fillId="45" borderId="14" xfId="0" applyNumberFormat="1" applyFont="1" applyFill="1" applyBorder="1" applyAlignment="1">
      <x:alignment vertical="center" wrapText="1"/>
    </x:xf>
    <x:xf numFmtId="0" fontId="10" fillId="45" borderId="15" xfId="0" applyNumberFormat="1" applyFont="1" applyFill="1" applyBorder="1" applyAlignment="1">
      <x:alignment vertical="center" wrapText="1"/>
    </x:xf>
    <x:xf numFmtId="0" fontId="8" fillId="44" borderId="0" xfId="0" applyNumberFormat="1" applyFont="1" applyFill="1" applyBorder="1" applyAlignment="1">
      <x:alignment wrapText="1"/>
    </x:xf>
    <x:xf numFmtId="0" fontId="9" fillId="46" borderId="0" xfId="0" applyNumberFormat="1" applyFont="1" applyFill="1" applyBorder="1" applyAlignment="1">
      <x:alignment vertical="top" wrapText="1"/>
    </x:xf>
    <x:xf numFmtId="0" fontId="0" fillId="47" borderId="1" xfId="0" applyNumberFormat="1" applyFont="1" applyFill="1" applyBorder="1" applyAlignment="1">
      <x:alignment vertical="top" wrapText="1"/>
    </x:xf>
    <x:xf numFmtId="0" fontId="6" fillId="47" borderId="1" xfId="0" applyNumberFormat="1" applyFont="1" applyFill="1" applyBorder="1" applyAlignment="1">
      <x:alignment vertical="top" wrapText="1"/>
    </x:xf>
    <x:xf numFmtId="0" fontId="0" fillId="46" borderId="1" xfId="0" applyNumberFormat="1" applyFont="1" applyFill="1" applyBorder="1" applyAlignment="1">
      <x:alignment vertical="top" wrapText="1"/>
    </x:xf>
    <x:xf numFmtId="0" fontId="6" fillId="46" borderId="1" xfId="0" applyNumberFormat="1" applyFont="1" applyFill="1" applyBorder="1" applyAlignment="1">
      <x:alignment vertical="top" wrapText="1"/>
    </x:xf>
    <x:xf numFmtId="0" fontId="0" fillId="48" borderId="1" xfId="0" applyNumberFormat="1" applyFont="1" applyFill="1" applyBorder="1" applyAlignment="1">
      <x:alignment vertical="top" wrapText="1"/>
    </x:xf>
    <x:xf numFmtId="0" fontId="6" fillId="48" borderId="1" xfId="0" applyNumberFormat="1" applyFont="1" applyFill="1" applyBorder="1" applyAlignment="1">
      <x:alignment vertical="top" wrapText="1"/>
    </x:xf>
    <x:xf numFmtId="0" fontId="0" fillId="49" borderId="0" xfId="0" applyNumberFormat="1" applyFont="1" applyFill="1" applyBorder="1"/>
    <x:xf numFmtId="0" fontId="8" fillId="49" borderId="0" xfId="0" applyNumberFormat="1" applyFont="1" applyFill="1" applyBorder="1"/>
    <x:xf numFmtId="0" fontId="8" fillId="49" borderId="0" xfId="0" applyNumberFormat="1" applyFont="1" applyFill="1" applyBorder="1" applyAlignment="1">
      <x:alignment horizontal="center"/>
    </x:xf>
    <x:xf numFmtId="0" fontId="8" fillId="49" borderId="0" xfId="0" applyNumberFormat="1" applyFont="1" applyFill="1" applyBorder="1" applyAlignment="1">
      <x:alignment horizontal="center" vertical="center"/>
    </x:xf>
    <x:xf numFmtId="0" fontId="0" fillId="50" borderId="0" xfId="0" applyNumberFormat="1" applyFont="1" applyFill="1" applyBorder="1"/>
    <x:xf numFmtId="0" fontId="10" fillId="50" borderId="0" xfId="0" applyNumberFormat="1" applyFont="1" applyFill="1" applyBorder="1"/>
    <x:xf numFmtId="0" fontId="10" fillId="50" borderId="0" xfId="0" applyNumberFormat="1" applyFont="1" applyFill="1" applyBorder="1" applyAlignment="1">
      <x:alignment wrapText="1"/>
    </x:xf>
    <x:xf numFmtId="0" fontId="10" fillId="50" borderId="0" xfId="0" applyNumberFormat="1" applyFont="1" applyFill="1" applyBorder="1" applyAlignment="1">
      <x:alignment vertical="center" wrapText="1"/>
    </x:xf>
    <x:xf numFmtId="0" fontId="11" fillId="50" borderId="0" xfId="0" applyNumberFormat="1" applyFont="1" applyFill="1" applyBorder="1" applyAlignment="1">
      <x:alignment vertical="center" wrapText="1"/>
    </x:xf>
    <x:xf numFmtId="0" fontId="10" fillId="50" borderId="8" xfId="0" applyNumberFormat="1" applyFont="1" applyFill="1" applyBorder="1" applyAlignment="1">
      <x:alignment vertical="center" wrapText="1"/>
    </x:xf>
    <x:xf numFmtId="0" fontId="11" fillId="50" borderId="9" xfId="0" applyNumberFormat="1" applyFont="1" applyFill="1" applyBorder="1" applyAlignment="1">
      <x:alignment vertical="center" wrapText="1"/>
    </x:xf>
    <x:xf numFmtId="0" fontId="10" fillId="50" borderId="10" xfId="0" applyNumberFormat="1" applyFont="1" applyFill="1" applyBorder="1" applyAlignment="1">
      <x:alignment vertical="center" wrapText="1"/>
    </x:xf>
    <x:xf numFmtId="0" fontId="10" fillId="50" borderId="11" xfId="0" applyNumberFormat="1" applyFont="1" applyFill="1" applyBorder="1" applyAlignment="1">
      <x:alignment vertical="center" wrapText="1"/>
    </x:xf>
    <x:xf numFmtId="0" fontId="11" fillId="50" xfId="0" applyNumberFormat="1" applyFont="1" applyFill="1" applyBorder="0" applyAlignment="1">
      <x:alignment vertical="center" wrapText="1"/>
    </x:xf>
    <x:xf numFmtId="0" fontId="10" fillId="50" borderId="12" xfId="0" applyNumberFormat="1" applyFont="1" applyFill="1" applyBorder="1" applyAlignment="1">
      <x:alignment vertical="center" wrapText="1"/>
    </x:xf>
    <x:xf numFmtId="0" fontId="10" fillId="50" borderId="13" xfId="0" applyNumberFormat="1" applyFont="1" applyFill="1" applyBorder="1" applyAlignment="1">
      <x:alignment vertical="center" wrapText="1"/>
    </x:xf>
    <x:xf numFmtId="0" fontId="11" fillId="50" borderId="14" xfId="0" applyNumberFormat="1" applyFont="1" applyFill="1" applyBorder="1" applyAlignment="1">
      <x:alignment vertical="center" wrapText="1"/>
    </x:xf>
    <x:xf numFmtId="0" fontId="10" fillId="50" borderId="15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wrapText="1"/>
    </x:xf>
    <x:xf numFmtId="0" fontId="9" fillId="51" borderId="0" xfId="0" applyNumberFormat="1" applyFont="1" applyFill="1" applyBorder="1" applyAlignment="1">
      <x:alignment vertical="top" wrapText="1"/>
    </x:xf>
    <x:xf numFmtId="0" fontId="0" fillId="52" borderId="1" xfId="0" applyNumberFormat="1" applyFont="1" applyFill="1" applyBorder="1" applyAlignment="1">
      <x:alignment vertical="top" wrapText="1"/>
    </x:xf>
    <x:xf numFmtId="0" fontId="6" fillId="52" borderId="1" xfId="0" applyNumberFormat="1" applyFont="1" applyFill="1" applyBorder="1" applyAlignment="1">
      <x:alignment vertical="top" wrapText="1"/>
    </x:xf>
    <x:xf numFmtId="0" fontId="0" fillId="51" borderId="1" xfId="0" applyNumberFormat="1" applyFont="1" applyFill="1" applyBorder="1" applyAlignment="1">
      <x:alignment vertical="top" wrapText="1"/>
    </x:xf>
    <x:xf numFmtId="0" fontId="6" fillId="51" borderId="1" xfId="0" applyNumberFormat="1" applyFont="1" applyFill="1" applyBorder="1" applyAlignment="1">
      <x:alignment vertical="top" wrapText="1"/>
    </x:xf>
    <x:xf numFmtId="0" fontId="0" fillId="53" borderId="1" xfId="0" applyNumberFormat="1" applyFont="1" applyFill="1" applyBorder="1" applyAlignment="1">
      <x:alignment vertical="top" wrapText="1"/>
    </x:xf>
    <x:xf numFmtId="0" fontId="6" fillId="53" borderId="1" xfId="0" applyNumberFormat="1" applyFont="1" applyFill="1" applyBorder="1" applyAlignment="1">
      <x:alignment vertical="top" wrapText="1"/>
    </x:xf>
    <x:xf numFmtId="0" fontId="0" fillId="54" borderId="0" xfId="0" applyNumberFormat="1" applyFont="1" applyFill="1" applyBorder="1"/>
    <x:xf numFmtId="0" fontId="8" fillId="54" borderId="0" xfId="0" applyNumberFormat="1" applyFont="1" applyFill="1" applyBorder="1"/>
    <x:xf numFmtId="0" fontId="8" fillId="54" borderId="0" xfId="0" applyNumberFormat="1" applyFont="1" applyFill="1" applyBorder="1" applyAlignment="1">
      <x:alignment horizontal="center"/>
    </x:xf>
    <x:xf numFmtId="0" fontId="8" fillId="54" borderId="0" xfId="0" applyNumberFormat="1" applyFont="1" applyFill="1" applyBorder="1" applyAlignment="1">
      <x:alignment horizontal="center" vertical="center"/>
    </x:xf>
    <x:xf numFmtId="0" fontId="0" fillId="55" borderId="0" xfId="0" applyNumberFormat="1" applyFont="1" applyFill="1" applyBorder="1"/>
    <x:xf numFmtId="0" fontId="10" fillId="55" borderId="0" xfId="0" applyNumberFormat="1" applyFont="1" applyFill="1" applyBorder="1"/>
    <x:xf numFmtId="0" fontId="10" fillId="55" borderId="0" xfId="0" applyNumberFormat="1" applyFont="1" applyFill="1" applyBorder="1" applyAlignment="1">
      <x:alignment wrapText="1"/>
    </x:xf>
    <x:xf numFmtId="0" fontId="10" fillId="55" borderId="0" xfId="0" applyNumberFormat="1" applyFont="1" applyFill="1" applyBorder="1" applyAlignment="1">
      <x:alignment vertical="center" wrapText="1"/>
    </x:xf>
    <x:xf numFmtId="0" fontId="11" fillId="55" borderId="0" xfId="0" applyNumberFormat="1" applyFont="1" applyFill="1" applyBorder="1" applyAlignment="1">
      <x:alignment vertical="center" wrapText="1"/>
    </x:xf>
    <x:xf numFmtId="0" fontId="10" fillId="55" borderId="8" xfId="0" applyNumberFormat="1" applyFont="1" applyFill="1" applyBorder="1" applyAlignment="1">
      <x:alignment vertical="center" wrapText="1"/>
    </x:xf>
    <x:xf numFmtId="0" fontId="11" fillId="55" borderId="9" xfId="0" applyNumberFormat="1" applyFont="1" applyFill="1" applyBorder="1" applyAlignment="1">
      <x:alignment vertical="center" wrapText="1"/>
    </x:xf>
    <x:xf numFmtId="0" fontId="10" fillId="55" borderId="10" xfId="0" applyNumberFormat="1" applyFont="1" applyFill="1" applyBorder="1" applyAlignment="1">
      <x:alignment vertical="center" wrapText="1"/>
    </x:xf>
    <x:xf numFmtId="0" fontId="10" fillId="55" borderId="11" xfId="0" applyNumberFormat="1" applyFont="1" applyFill="1" applyBorder="1" applyAlignment="1">
      <x:alignment vertical="center" wrapText="1"/>
    </x:xf>
    <x:xf numFmtId="0" fontId="11" fillId="55" xfId="0" applyNumberFormat="1" applyFont="1" applyFill="1" applyBorder="0" applyAlignment="1">
      <x:alignment vertical="center" wrapText="1"/>
    </x:xf>
    <x:xf numFmtId="0" fontId="10" fillId="55" borderId="12" xfId="0" applyNumberFormat="1" applyFont="1" applyFill="1" applyBorder="1" applyAlignment="1">
      <x:alignment vertical="center" wrapText="1"/>
    </x:xf>
    <x:xf numFmtId="0" fontId="10" fillId="55" borderId="13" xfId="0" applyNumberFormat="1" applyFont="1" applyFill="1" applyBorder="1" applyAlignment="1">
      <x:alignment vertical="center" wrapText="1"/>
    </x:xf>
    <x:xf numFmtId="0" fontId="11" fillId="55" borderId="14" xfId="0" applyNumberFormat="1" applyFont="1" applyFill="1" applyBorder="1" applyAlignment="1">
      <x:alignment vertical="center" wrapText="1"/>
    </x:xf>
    <x:xf numFmtId="0" fontId="10" fillId="55" borderId="15" xfId="0" applyNumberFormat="1" applyFont="1" applyFill="1" applyBorder="1" applyAlignment="1">
      <x:alignment vertical="center" wrapText="1"/>
    </x:xf>
    <x:xf numFmtId="0" fontId="8" fillId="54" borderId="0" xfId="0" applyNumberFormat="1" applyFont="1" applyFill="1" applyBorder="1" applyAlignment="1">
      <x:alignment wrapText="1"/>
    </x:xf>
    <x:xf numFmtId="0" fontId="9" fillId="56" borderId="0" xfId="0" applyNumberFormat="1" applyFont="1" applyFill="1" applyBorder="1" applyAlignment="1">
      <x:alignment vertical="top" wrapText="1"/>
    </x:xf>
    <x:xf numFmtId="0" fontId="0" fillId="57" borderId="1" xfId="0" applyNumberFormat="1" applyFont="1" applyFill="1" applyBorder="1" applyAlignment="1">
      <x:alignment vertical="top" wrapText="1"/>
    </x:xf>
    <x:xf numFmtId="0" fontId="6" fillId="57" borderId="1" xfId="0" applyNumberFormat="1" applyFont="1" applyFill="1" applyBorder="1" applyAlignment="1">
      <x:alignment vertical="top" wrapText="1"/>
    </x:xf>
    <x:xf numFmtId="0" fontId="0" fillId="56" borderId="1" xfId="0" applyNumberFormat="1" applyFont="1" applyFill="1" applyBorder="1" applyAlignment="1">
      <x:alignment vertical="top" wrapText="1"/>
    </x:xf>
    <x:xf numFmtId="0" fontId="6" fillId="56" borderId="1" xfId="0" applyNumberFormat="1" applyFont="1" applyFill="1" applyBorder="1" applyAlignment="1">
      <x:alignment vertical="top" wrapText="1"/>
    </x:xf>
    <x:xf numFmtId="0" fontId="0" fillId="58" borderId="1" xfId="0" applyNumberFormat="1" applyFont="1" applyFill="1" applyBorder="1" applyAlignment="1">
      <x:alignment vertical="top" wrapText="1"/>
    </x:xf>
    <x:xf numFmtId="0" fontId="6" fillId="58" borderId="1" xfId="0" applyNumberFormat="1" applyFont="1" applyFill="1" applyBorder="1" applyAlignment="1">
      <x:alignment vertical="top" wrapText="1"/>
    </x:xf>
    <x:xf numFmtId="0" fontId="0" fillId="59" borderId="0" xfId="0" applyNumberFormat="1" applyFont="1" applyFill="1" applyBorder="1"/>
    <x:xf numFmtId="0" fontId="8" fillId="59" borderId="0" xfId="0" applyNumberFormat="1" applyFont="1" applyFill="1" applyBorder="1"/>
    <x:xf numFmtId="0" fontId="8" fillId="59" borderId="0" xfId="0" applyNumberFormat="1" applyFont="1" applyFill="1" applyBorder="1" applyAlignment="1">
      <x:alignment horizontal="center"/>
    </x:xf>
    <x:xf numFmtId="0" fontId="8" fillId="59" borderId="0" xfId="0" applyNumberFormat="1" applyFont="1" applyFill="1" applyBorder="1" applyAlignment="1">
      <x:alignment horizontal="center" vertical="center"/>
    </x:xf>
    <x:xf numFmtId="0" fontId="0" fillId="60" borderId="0" xfId="0" applyNumberFormat="1" applyFont="1" applyFill="1" applyBorder="1"/>
    <x:xf numFmtId="0" fontId="10" fillId="60" borderId="0" xfId="0" applyNumberFormat="1" applyFont="1" applyFill="1" applyBorder="1"/>
    <x:xf numFmtId="0" fontId="10" fillId="60" borderId="0" xfId="0" applyNumberFormat="1" applyFont="1" applyFill="1" applyBorder="1" applyAlignment="1">
      <x:alignment wrapText="1"/>
    </x:xf>
    <x:xf numFmtId="0" fontId="10" fillId="60" borderId="0" xfId="0" applyNumberFormat="1" applyFont="1" applyFill="1" applyBorder="1" applyAlignment="1">
      <x:alignment vertical="center" wrapText="1"/>
    </x:xf>
    <x:xf numFmtId="0" fontId="11" fillId="60" borderId="0" xfId="0" applyNumberFormat="1" applyFont="1" applyFill="1" applyBorder="1" applyAlignment="1">
      <x:alignment vertical="center" wrapText="1"/>
    </x:xf>
    <x:xf numFmtId="0" fontId="10" fillId="60" borderId="8" xfId="0" applyNumberFormat="1" applyFont="1" applyFill="1" applyBorder="1" applyAlignment="1">
      <x:alignment vertical="center" wrapText="1"/>
    </x:xf>
    <x:xf numFmtId="0" fontId="11" fillId="60" borderId="9" xfId="0" applyNumberFormat="1" applyFont="1" applyFill="1" applyBorder="1" applyAlignment="1">
      <x:alignment vertical="center" wrapText="1"/>
    </x:xf>
    <x:xf numFmtId="0" fontId="10" fillId="60" borderId="10" xfId="0" applyNumberFormat="1" applyFont="1" applyFill="1" applyBorder="1" applyAlignment="1">
      <x:alignment vertical="center" wrapText="1"/>
    </x:xf>
    <x:xf numFmtId="0" fontId="10" fillId="60" borderId="11" xfId="0" applyNumberFormat="1" applyFont="1" applyFill="1" applyBorder="1" applyAlignment="1">
      <x:alignment vertical="center" wrapText="1"/>
    </x:xf>
    <x:xf numFmtId="0" fontId="11" fillId="60" xfId="0" applyNumberFormat="1" applyFont="1" applyFill="1" applyBorder="0" applyAlignment="1">
      <x:alignment vertical="center" wrapText="1"/>
    </x:xf>
    <x:xf numFmtId="0" fontId="10" fillId="60" borderId="12" xfId="0" applyNumberFormat="1" applyFont="1" applyFill="1" applyBorder="1" applyAlignment="1">
      <x:alignment vertical="center" wrapText="1"/>
    </x:xf>
    <x:xf numFmtId="0" fontId="10" fillId="60" borderId="13" xfId="0" applyNumberFormat="1" applyFont="1" applyFill="1" applyBorder="1" applyAlignment="1">
      <x:alignment vertical="center" wrapText="1"/>
    </x:xf>
    <x:xf numFmtId="0" fontId="11" fillId="60" borderId="14" xfId="0" applyNumberFormat="1" applyFont="1" applyFill="1" applyBorder="1" applyAlignment="1">
      <x:alignment vertical="center" wrapText="1"/>
    </x:xf>
    <x:xf numFmtId="0" fontId="10" fillId="60" borderId="15" xfId="0" applyNumberFormat="1" applyFont="1" applyFill="1" applyBorder="1" applyAlignment="1">
      <x:alignment vertical="center" wrapText="1"/>
    </x:xf>
    <x:xf numFmtId="0" fontId="8" fillId="59" borderId="0" xfId="0" applyNumberFormat="1" applyFont="1" applyFill="1" applyBorder="1" applyAlignment="1">
      <x:alignment wrapText="1"/>
    </x:xf>
    <x:xf numFmtId="0" fontId="9" fillId="61" borderId="0" xfId="0" applyNumberFormat="1" applyFont="1" applyFill="1" applyBorder="1" applyAlignment="1">
      <x:alignment vertical="top" wrapText="1"/>
    </x:xf>
    <x:xf numFmtId="0" fontId="0" fillId="62" borderId="1" xfId="0" applyNumberFormat="1" applyFont="1" applyFill="1" applyBorder="1" applyAlignment="1">
      <x:alignment vertical="top" wrapText="1"/>
    </x:xf>
    <x:xf numFmtId="0" fontId="6" fillId="62" borderId="1" xfId="0" applyNumberFormat="1" applyFont="1" applyFill="1" applyBorder="1" applyAlignment="1">
      <x:alignment vertical="top" wrapText="1"/>
    </x:xf>
    <x:xf numFmtId="0" fontId="0" fillId="61" borderId="1" xfId="0" applyNumberFormat="1" applyFont="1" applyFill="1" applyBorder="1" applyAlignment="1">
      <x:alignment vertical="top" wrapText="1"/>
    </x:xf>
    <x:xf numFmtId="0" fontId="6" fillId="61" borderId="1" xfId="0" applyNumberFormat="1" applyFont="1" applyFill="1" applyBorder="1" applyAlignment="1">
      <x:alignment vertical="top" wrapText="1"/>
    </x:xf>
    <x:xf numFmtId="0" fontId="0" fillId="63" borderId="1" xfId="0" applyNumberFormat="1" applyFont="1" applyFill="1" applyBorder="1" applyAlignment="1">
      <x:alignment vertical="top" wrapText="1"/>
    </x:xf>
    <x:xf numFmtId="0" fontId="6" fillId="63" borderId="1" xfId="0" applyNumberFormat="1" applyFont="1" applyFill="1" applyBorder="1" applyAlignment="1">
      <x:alignment vertical="top" wrapText="1"/>
    </x:xf>
    <x:xf numFmtId="0" fontId="0" fillId="64" borderId="0" xfId="0" applyNumberFormat="1" applyFont="1" applyFill="1" applyBorder="1"/>
    <x:xf numFmtId="0" fontId="8" fillId="64" borderId="0" xfId="0" applyNumberFormat="1" applyFont="1" applyFill="1" applyBorder="1"/>
    <x:xf numFmtId="0" fontId="8" fillId="64" borderId="0" xfId="0" applyNumberFormat="1" applyFont="1" applyFill="1" applyBorder="1" applyAlignment="1">
      <x:alignment horizontal="center"/>
    </x:xf>
    <x:xf numFmtId="0" fontId="8" fillId="64" borderId="0" xfId="0" applyNumberFormat="1" applyFont="1" applyFill="1" applyBorder="1" applyAlignment="1">
      <x:alignment horizontal="center" vertical="center"/>
    </x:xf>
    <x:xf numFmtId="0" fontId="0" fillId="65" borderId="0" xfId="0" applyNumberFormat="1" applyFont="1" applyFill="1" applyBorder="1"/>
    <x:xf numFmtId="0" fontId="10" fillId="65" borderId="0" xfId="0" applyNumberFormat="1" applyFont="1" applyFill="1" applyBorder="1"/>
    <x:xf numFmtId="0" fontId="10" fillId="65" borderId="0" xfId="0" applyNumberFormat="1" applyFont="1" applyFill="1" applyBorder="1" applyAlignment="1">
      <x:alignment wrapText="1"/>
    </x:xf>
    <x:xf numFmtId="0" fontId="10" fillId="65" borderId="0" xfId="0" applyNumberFormat="1" applyFont="1" applyFill="1" applyBorder="1" applyAlignment="1">
      <x:alignment vertical="center" wrapText="1"/>
    </x:xf>
    <x:xf numFmtId="0" fontId="11" fillId="65" borderId="0" xfId="0" applyNumberFormat="1" applyFont="1" applyFill="1" applyBorder="1" applyAlignment="1">
      <x:alignment vertical="center" wrapText="1"/>
    </x:xf>
    <x:xf numFmtId="0" fontId="10" fillId="65" borderId="8" xfId="0" applyNumberFormat="1" applyFont="1" applyFill="1" applyBorder="1" applyAlignment="1">
      <x:alignment vertical="center" wrapText="1"/>
    </x:xf>
    <x:xf numFmtId="0" fontId="11" fillId="65" borderId="9" xfId="0" applyNumberFormat="1" applyFont="1" applyFill="1" applyBorder="1" applyAlignment="1">
      <x:alignment vertical="center" wrapText="1"/>
    </x:xf>
    <x:xf numFmtId="0" fontId="10" fillId="65" borderId="10" xfId="0" applyNumberFormat="1" applyFont="1" applyFill="1" applyBorder="1" applyAlignment="1">
      <x:alignment vertical="center" wrapText="1"/>
    </x:xf>
    <x:xf numFmtId="0" fontId="10" fillId="65" borderId="11" xfId="0" applyNumberFormat="1" applyFont="1" applyFill="1" applyBorder="1" applyAlignment="1">
      <x:alignment vertical="center" wrapText="1"/>
    </x:xf>
    <x:xf numFmtId="0" fontId="11" fillId="65" xfId="0" applyNumberFormat="1" applyFont="1" applyFill="1" applyBorder="0" applyAlignment="1">
      <x:alignment vertical="center" wrapText="1"/>
    </x:xf>
    <x:xf numFmtId="0" fontId="10" fillId="65" borderId="12" xfId="0" applyNumberFormat="1" applyFont="1" applyFill="1" applyBorder="1" applyAlignment="1">
      <x:alignment vertical="center" wrapText="1"/>
    </x:xf>
    <x:xf numFmtId="0" fontId="10" fillId="65" borderId="13" xfId="0" applyNumberFormat="1" applyFont="1" applyFill="1" applyBorder="1" applyAlignment="1">
      <x:alignment vertical="center" wrapText="1"/>
    </x:xf>
    <x:xf numFmtId="0" fontId="11" fillId="65" borderId="14" xfId="0" applyNumberFormat="1" applyFont="1" applyFill="1" applyBorder="1" applyAlignment="1">
      <x:alignment vertical="center" wrapText="1"/>
    </x:xf>
    <x:xf numFmtId="0" fontId="10" fillId="65" borderId="15" xfId="0" applyNumberFormat="1" applyFont="1" applyFill="1" applyBorder="1" applyAlignment="1">
      <x:alignment vertical="center" wrapText="1"/>
    </x:xf>
    <x:xf numFmtId="0" fontId="8" fillId="64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b/>
        <x:color rgb="FF1B5E20"/>
      </x:font>
      <x:fill>
        <x:patternFill>
          <x:bgColor rgb="FFC6EFCE"/>
        </x:patternFill>
      </x:fill>
    </x:dxf>
    <x:dxf>
      <x:font>
        <x:b/>
        <x:color rgb="FFC62828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c6a27d40a74bbc" /><Relationship Type="http://schemas.openxmlformats.org/officeDocument/2006/relationships/theme" Target="/xl/theme/theme1.xml" Id="R48b9e95d8e70429f" /><Relationship Type="http://schemas.openxmlformats.org/officeDocument/2006/relationships/sharedStrings" Target="/xl/sharedStrings.xml" Id="R7669023335754c85" /><Relationship Type="http://schemas.openxmlformats.org/officeDocument/2006/relationships/worksheet" Target="/xl/worksheets/sheet1.xml" Id="R65e99fdbbbd447ad" /><Relationship Type="http://schemas.openxmlformats.org/officeDocument/2006/relationships/worksheet" Target="/xl/worksheets/sheet2.xml" Id="R9465090ac55c42f8" /><Relationship Type="http://schemas.openxmlformats.org/officeDocument/2006/relationships/worksheet" Target="/xl/worksheets/sheet3.xml" Id="Ree1b56f1657e4909" /><Relationship Type="http://schemas.openxmlformats.org/officeDocument/2006/relationships/worksheet" Target="/xl/worksheets/sheet4.xml" Id="R0e1518ce15dd493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0" hidden="0" customWidth="1"/>
  </x:cols>
  <x:sheetData>
    <x:row r="1" s="1" customFormat="1">
      <x:c r="A1" s="1" t="s">
        <x:v>0</x:v>
      </x:c>
    </x:row>
    <x:row r="3" s="2" customFormat="1">
      <x:c r="A3" s="3" t="s">
        <x:v>1</x:v>
      </x:c>
    </x:row>
    <x:row r="4">
      <x:c r="A4" t="s">
        <x:v>2</x:v>
      </x:c>
      <x:c r="B4" t="str">
        <x:v>Se completan automáticamente opcion_a=Verdadero y opcion_b=Falso. Deje opcion_c, opcion_d y opcion_e vacías.</x:v>
      </x:c>
    </x:row>
    <x:row r="5">
      <x:c r="A5" t="s">
        <x:v>3</x:v>
      </x:c>
      <x:c r="B5" t="str">
        <x:v>Escriba las premisas 1-4 en opcion_a a opcion_d. opcion_e se completa vacía; respuesta_correcta puede ser A, B, C, D o E según la combinación de premisas.</x:v>
      </x:c>
    </x:row>
    <x:row r="6">
      <x:c r="A6" t="s">
        <x:v>4</x:v>
      </x:c>
      <x:c r="B6" t="str">
        <x:v>Complete las cinco alternativas en opcion_a a opcion_e y marque una sola letra en respuesta_correcta.</x:v>
      </x:c>
    </x:row>
    <x:row r="7">
      <x:c r="A7" t="s">
        <x:v>5</x:v>
      </x:c>
      <x:c r="B7" s="4" t="str">
        <x:v>Se completan automáticamente las opciones A-D. opcion_e debe permanecer vacía y respuesta_correcta debe ser A, B, C o D.</x:v>
      </x:c>
    </x:row>
    <x:row r="8">
      <x:c r="A8" t="s">
        <x:v>6</x:v>
      </x:c>
      <x:c r="B8" s="4" t="str">
        <x:v>Solo complete grupo y enunciado. Este tronco no lleva opciones, dificultad ni respuesta_correcta.</x:v>
      </x:c>
    </x:row>
    <x:row r="9">
      <x:c r="A9" t="s">
        <x:v>7</x:v>
      </x:c>
      <x:c r="B9" t="str">
        <x:v>Complete grupo, enunciado, las cinco alternativas y respuesta_correcta. El subítem sí lleva dificultad.</x:v>
      </x:c>
    </x:row>
    <x:row r="10">
      <x:c r="A10" t="s">
        <x:v>8</x:v>
      </x:c>
      <x:c r="B10" s="4" t="str">
        <x:v>Complete grupo y enunciado con las claves de emparejamiento. Este tronco no lleva dificultad ni respuesta_correcta.</x:v>
      </x:c>
    </x:row>
    <x:row r="11">
      <x:c r="A11" t="s">
        <x:v>9</x:v>
      </x:c>
      <x:c r="B11" t="str">
        <x:v>Complete grupo, enunciado y respuesta_correcta. No lleva opciones en columnas ni dificultad.</x:v>
      </x:c>
    </x:row>
    <x:row r="13" s="2" customFormat="1">
      <x:c r="A13" s="3" t="s">
        <x:v>10</x:v>
      </x:c>
    </x:row>
    <x:row r="14">
      <x:c r="A14" t="s">
        <x:v>3</x:v>
      </x:c>
      <x:c r="B14" t="s">
        <x:v>11</x:v>
      </x:c>
    </x:row>
    <x:row r="15">
      <x:c r="A15" t="s">
        <x:v>12</x:v>
      </x:c>
      <x:c r="B15" t="s">
        <x:v>13</x:v>
      </x:c>
    </x:row>
    <x:row r="16">
      <x:c r="A16" t="s">
        <x:v>14</x:v>
      </x:c>
      <x:c r="B16" t="s">
        <x:v>15</x:v>
      </x:c>
    </x:row>
    <x:row r="17">
      <x:c r="A17" t="s">
        <x:v>5</x:v>
      </x:c>
      <x:c r="B17" s="4" t="s">
        <x:v>16</x:v>
      </x:c>
    </x:row>
    <x:row r="18">
      <x:c r="A18" t="s">
        <x:v>2</x:v>
      </x:c>
      <x:c r="B18" t="s">
        <x:v>17</x:v>
      </x:c>
    </x:row>
    <x:row r="19">
      <x:c r="A19" t="s">
        <x:v>9</x:v>
      </x:c>
      <x:c r="B19" t="s">
        <x:v>18</x:v>
      </x:c>
    </x:row>
    <x:row r="20">
      <x:c r="A20" t="s">
        <x:v>6</x:v>
      </x:c>
      <x:c r="B20" s="4" t="s">
        <x:v>19</x:v>
      </x:c>
    </x:row>
    <x:row r="22" s="2" customFormat="1">
      <x:c r="A22" s="3" t="s">
        <x:v>20</x:v>
      </x:c>
    </x:row>
    <x:row r="23">
      <x:c r="A23" s="4" t="s">
        <x:v>21</x:v>
      </x:c>
      <x:c r="B23" s="4" t="s">
        <x:v>22</x:v>
      </x:c>
    </x:row>
    <x:row r="24">
      <x:c r="A24" t="s">
        <x:v>23</x:v>
      </x:c>
      <x:c r="B24" t="str">
        <x:v>1P (1er Parcial)</x:v>
      </x:c>
    </x:row>
    <x:row r="25">
      <x:c r="A25" t="s">
        <x:v>24</x:v>
      </x:c>
      <x:c r="B25" t="str">
        <x:v>En el 1er Parcial el banco se organiza y se valida individualmente por grupo teorico.</x:v>
      </x:c>
    </x:row>
    <x:row r="26">
      <x:c r="A26" t="s">
        <x:v>25</x:v>
      </x:c>
      <x:c r="B26" t="str">
        <x:v>La columna L se completa automaticamente y te dira si la fila esta OK o que campos faltan/revisar.</x:v>
      </x:c>
    </x:row>
    <x:row r="27">
      <x:c r="A27" t="str">
        <x:v>M (imagen_base64)</x:v>
      </x:c>
      <x:c r="B27" t="str">
        <x:v>Imagen opcional. Puede incluir #sea-size=GRANDE, MEDIANA, PEQUENA o MUY_PEQUENA; MEDIANA es el tamaño predeterminado.</x:v>
      </x:c>
    </x:row>
    <x:row r="28" s="2" customFormat="1">
      <x:c r="A28" s="3" t="s">
        <x:v>26</x:v>
      </x:c>
    </x:row>
    <x:row r="29" s="5" customFormat="1">
      <x:c r="A29" s="5" t="s">
        <x:v>27</x:v>
      </x:c>
    </x:row>
    <x:row r="30" s="4" customFormat="1">
      <x:c r="A30" s="4" t="s">
        <x:v>28</x:v>
      </x:c>
    </x:row>
    <x:row r="31" s="4" customFormat="1">
      <x:c r="A31" s="4" t="str">
        <x:v>- IMPORTANTE: Verdadero o Falso Complejas usa los incisos 1, 2, 3 y 4 en opcion_a a opcion_d. opcion_e debe quedar vacia; respuesta_correcta puede ser A, B, C, D o E, porque E representa una combinacion.</x:v>
      </x:c>
    </x:row>
    <x:row r="32" s="4" customFormat="1">
      <x:c r="A32" s="4" t="s">
        <x:v>29</x:v>
      </x:c>
    </x:row>
    <x:row r="33" s="4" customFormat="1">
      <x:c r="A33" s="4" t="s">
        <x:v>30</x:v>
      </x:c>
    </x:row>
    <x:row r="34">
      <x:c r="A34" t="s">
        <x:v>31</x:v>
      </x:c>
    </x:row>
    <x:row r="35">
      <x:c r="A35" s="314" t="str">
        <x:v>AYUDA RÁPIDA PARA INCISOS</x:v>
      </x:c>
      <x:c r="B35" s="314" t="str"/>
    </x:row>
    <x:row r="36">
      <x:c r="A36" s="106" t="str">
        <x:v>Verdadero o Falso Simple</x:v>
      </x:c>
      <x:c r="B36" s="106" t="str">
        <x:v>A=Verdadero y B=Falso se completan automáticamente; deje C-E vacíos.</x:v>
      </x:c>
    </x:row>
    <x:row r="37">
      <x:c r="A37" s="106" t="str">
        <x:v>Respuesta A/B/Ambas/Ninguna</x:v>
      </x:c>
      <x:c r="B37" s="106" t="str">
        <x:v>A-D se completan automáticamente; deje E vacío.</x:v>
      </x:c>
    </x:row>
    <x:row r="38">
      <x:c r="A38" s="106" t="str">
        <x:v>Verdadero o Falso Complejas</x:v>
      </x:c>
      <x:c r="B38" s="106" t="str">
        <x:v>Escriba las premisas 1-4 en A-D; E vacío. La respuesta correcta puede ser A-E por las combinaciones.</x:v>
      </x:c>
    </x:row>
    <x:row r="39">
      <x:c r="A39" s="106" t="str">
        <x:v>Selección de la mejor respuesta</x:v>
      </x:c>
      <x:c r="B39" s="106" t="str">
        <x:v>Complete las cinco alternativas A-E y luego indique una sola letra como respuesta correcta.</x:v>
      </x:c>
    </x:row>
    <x:row r="40">
      <x:c r="A40" s="106" t="str">
        <x:v>Subítem de caso o problema</x:v>
      </x:c>
      <x:c r="B40" s="106" t="str">
        <x:v>Complete las cinco alternativas A-E, respuesta_correcta y dificultad.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3" ySplit="1" topLeftCell="D2" activePane="bottomRight" state="frozen"/>
    </x:sheetView>
  </x:sheetViews>
  <x:sheetFormatPr defaultRowHeight="15"/>
  <x:cols>
    <x:col min="14" max="40" width="0" hidden="1" customWidth="1"/>
    <x:col min="1" max="1" width="31" hidden="0" customWidth="1"/>
    <x:col min="2" max="2" width="18" hidden="0" customWidth="1"/>
    <x:col min="3" max="3" width="72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  <x:col min="9" max="9" width="24" hidden="0" customWidth="1"/>
    <x:col min="10" max="10" width="13" hidden="0" customWidth="1"/>
    <x:col min="11" max="11" width="12" hidden="0" customWidth="1"/>
    <x:col min="12" max="12" width="52" hidden="0" customWidth="1"/>
    <x:col min="13" max="13" width="30" hidden="0" customWidth="1"/>
    <x:col min="41" max="41" width="24" hidden="0" customWidth="1"/>
    <x:col min="42" max="42" width="14" hidden="0" customWidth="1"/>
    <x:col min="43" max="43" width="14" hidden="0" customWidth="1"/>
  </x:cols>
  <x:sheetData>
    <x:row r="1" ht="30" customHeight="1">
      <x:c r="A1" s="68" t="s">
        <x:v>32</x:v>
      </x:c>
      <x:c r="B1" s="68" t="s">
        <x:v>33</x:v>
      </x:c>
      <x:c r="C1" s="68" t="s">
        <x:v>34</x:v>
      </x:c>
      <x:c r="D1" s="68" t="s">
        <x:v>35</x:v>
      </x:c>
      <x:c r="E1" s="68" t="s">
        <x:v>36</x:v>
      </x:c>
      <x:c r="F1" s="68" t="s">
        <x:v>37</x:v>
      </x:c>
      <x:c r="G1" s="68" t="s">
        <x:v>38</x:v>
      </x:c>
      <x:c r="H1" s="68" t="s">
        <x:v>39</x:v>
      </x:c>
      <x:c r="I1" s="68" t="s">
        <x:v>40</x:v>
      </x:c>
      <x:c r="J1" s="68" t="s">
        <x:v>41</x:v>
      </x:c>
      <x:c r="K1" s="68" t="s">
        <x:v>42</x:v>
      </x:c>
      <x:c r="L1" s="68" t="str">
        <x:v>observaciones</x:v>
      </x:c>
      <x:c r="M1" s="69" t="str">
        <x:v>imagen_base64</x:v>
      </x:c>
      <x:c r="N1"/>
      <x:c r="O1"/>
      <x:c r="P1"/>
      <x:c r="Q1" t="s">
        <x:v>43</x:v>
      </x:c>
      <x:c r="R1" t="s">
        <x:v>44</x:v>
      </x:c>
      <x:c r="S1" t="s">
        <x:v>45</x:v>
      </x:c>
      <x:c r="T1" t="s">
        <x:v>46</x:v>
      </x:c>
      <x:c r="U1" t="s">
        <x:v>43</x:v>
      </x:c>
      <x:c r="V1" t="s">
        <x:v>44</x:v>
      </x:c>
      <x:c r="W1" t="s">
        <x:v>45</x:v>
      </x:c>
      <x:c r="X1" t="s">
        <x:v>46</x:v>
      </x:c>
      <x:c r="Y1" t="s">
        <x:v>43</x:v>
      </x:c>
      <x:c r="Z1" t="s">
        <x:v>44</x:v>
      </x:c>
      <x:c r="AA1" t="s">
        <x:v>45</x:v>
      </x:c>
      <x:c r="AB1" t="s">
        <x:v>46</x:v>
      </x:c>
      <x:c r="AC1" t="s">
        <x:v>43</x:v>
      </x:c>
      <x:c r="AD1" t="s">
        <x:v>44</x:v>
      </x:c>
      <x:c r="AE1" t="s">
        <x:v>45</x:v>
      </x:c>
      <x:c r="AF1" t="s">
        <x:v>46</x:v>
      </x:c>
      <x:c r="AG1" t="s">
        <x:v>43</x:v>
      </x:c>
      <x:c r="AH1" t="s">
        <x:v>44</x:v>
      </x:c>
      <x:c r="AI1" t="s">
        <x:v>45</x:v>
      </x:c>
      <x:c r="AJ1" t="s">
        <x:v>46</x:v>
      </x:c>
      <x:c r="AK1" t="s">
        <x:v>43</x:v>
      </x:c>
      <x:c r="AL1" t="s">
        <x:v>44</x:v>
      </x:c>
      <x:c r="AM1" t="s">
        <x:v>45</x:v>
      </x:c>
      <x:c r="AN1" t="s">
        <x:v>46</x:v>
      </x:c>
      <x:c r="AO1" s="299" t="str">
        <x:v>CONTROL DE DISTRIBUCIÓN · 1P</x:v>
      </x:c>
      <x:c r="AP1" s="299"/>
      <x:c r="AQ1" s="299"/>
    </x:row>
    <x:row r="2" ht="24" customHeight="1">
      <x:c r="A2" s="290"/>
      <x:c r="B2" s="290"/>
      <x:c r="C2" s="290"/>
      <x:c r="D2" s="290" t="str">
        <x:f>IF($A2="Verdadero o Falso Simple","Verdadero",IF($A2="Respuesta A/B/Ambas/Ninguna","A. Si la primera es verdadera",IF($A2="Verdadero o Falso Complejas","1. ","")))</x:f>
      </x:c>
      <x:c r="E2" s="290" t="str">
        <x:f>IF($A2="Verdadero o Falso Simple","Falso",IF($A2="Respuesta A/B/Ambas/Ninguna","B. Si la segunda es verdadera",IF($A2="Verdadero o Falso Complejas","2. ","")))</x:f>
      </x:c>
      <x:c r="F2" s="290" t="str">
        <x:f>IF($A2="Respuesta A/B/Ambas/Ninguna","C. Si ambas son verdaderas",IF($A2="Verdadero o Falso Complejas","3. ",""))</x:f>
      </x:c>
      <x:c r="G2" s="290" t="str">
        <x:f>IF($A2="Respuesta A/B/Ambas/Ninguna","D. Si ninguna es verdadera",IF($A2="Verdadero o Falso Complejas","4. ",""))</x:f>
      </x:c>
      <x:c r="H2" s="290" t="str">
        <x:f>IF($A2="Verdadero o Falso Simple","",IF($A2="Respuesta A/B/Ambas/Ninguna","",IF($A2="Verdadero o Falso Complejas","","")))</x:f>
      </x:c>
      <x:c r="I2" s="290"/>
      <x:c r="J2" s="290" t="n">
        <x:v>1</x:v>
      </x:c>
      <x:c r="K2" s="290" t="str">
        <x:v>1P</x:v>
      </x:c>
      <x:c r="L2" s="291"/>
      <x:c r="M2" s="289"/>
      <x:c r="N2"/>
      <x:c r="O2"/>
      <x:c r="P2"/>
      <x:c r="Q2" t="str">
        <x:f>IF(TRIM($C2)="","enunciado","")</x:f>
        <x:v>enunciado</x:v>
      </x:c>
      <x:c r="R2" t="str">
        <x:f>IF(TRIM($K2)="",IF(COUNTIF($Q2:$Q2,"?*")&gt;0,", ","")&amp;"parcial","")</x:f>
      </x:c>
      <x:c r="S2" t="str">
        <x:f>IF(AND(TRIM($K2)&lt;&gt;"",TRIM($K2)&lt;&gt;"1P"),IF(COUNTIF($Q2:$R2,"?*")&gt;0,", ","")&amp;"parcial distinto a 1P","")</x:f>
      </x:c>
      <x:c r="T2" t="str">
        <x:f>IF(AND(OR($A2="Ítems agrupados por caso clínico o problema",$A2="Subítem de caso o problema",$A2="Emparejamiento Ampliado",$A2="Opción de Emparejamiento Ampliado"),TRIM($B2)=""),IF(COUNTIF($Q2:$S2,"?*")&gt;0,", ","")&amp;"grupo","")</x:f>
      </x:c>
      <x:c r="U2" t="str">
        <x:f>IF(AND(OR($A2="Verdadero o Falso Simple",$A2="Respuesta A/B/Ambas/Ninguna",$A2="Verdadero o Falso Complejas",$A2="Selección de la mejor respuesta",$A2="Subítem de caso o problema",$A2="Opción de Emparejamiento Ampliado"),TRIM($I2)=""),IF(COUNTIF($Q2:$T2,"?*")&gt;0,", ","")&amp;"respuesta_correcta","")</x:f>
      </x:c>
      <x:c r="V2" t="str">
        <x:f>IF(AND(OR($A2="Verdadero o Falso Simple",$A2="Respuesta A/B/Ambas/Ninguna",$A2="Verdadero o Falso Complejas",$A2="Selección de la mejor respuesta",$A2="Subítem de caso o problema",$A2="Opción de Emparejamiento Ampliado"),TRIM($J2)=""),IF(COUNTIF($Q2:$U2,"?*")&gt;0,", ","")&amp;"dificultad","")</x:f>
      </x:c>
      <x:c r="W2" t="str">
        <x:f>IF(AND(OR($A2="Ítems agrupados por caso clínico o problema",$A2="Emparejamiento Ampliado"),TRIM($I2)&lt;&gt;""),IF(COUNTIF($Q2:$V2,"?*")&gt;0,", ","")&amp;"respuesta debe ir vacia","")</x:f>
      </x:c>
      <x:c r="X2" t="str">
        <x:f>IF(AND(OR($A2="Ítems agrupados por caso clínico o problema",$A2="Emparejamiento Ampliado"),TRIM($J2)&lt;&gt;""),IF(COUNTIF($Q2:$W2,"?*")&gt;0,", ","")&amp;"dificultad debe ir vacia","")</x:f>
      </x:c>
      <x:c r="Y2" t="str">
        <x:f>IF(AND($A2="Verdadero o Falso Simple",OR(COUNTIF($D2:$E2,"?*")&lt;2,COUNTIF($F2:$H2,"?*")&gt;0)),IF(COUNTIF($Q2:$X2,"?*")&gt;0,", ","")&amp;"incisos A-B","")</x:f>
      </x:c>
      <x:c r="Z2" t="str">
        <x:f>IF(AND($A2="Verdadero o Falso Simple",TRIM($I2)&lt;&gt;"",NOT(OR(LEFT(TRIM($I2),1)="A",LEFT(TRIM($I2),1)="B"))),IF(COUNTIF($Q2:$Y2,"?*")&gt;0,", ","")&amp;"respuesta A-B","")</x:f>
      </x:c>
      <x:c r="AA2" t="str">
        <x:f>IF(AND($A2="Respuesta A/B/Ambas/Ninguna",COUNTIF($D2:$G2,"?*")&lt;4),IF(COUNTIF($Q2:$Z2,"?*")&gt;0,", ","")&amp;"opciones A-D","")</x:f>
      </x:c>
      <x:c r="AB2" t="str">
        <x:f>IF(AND($A2="Respuesta A/B/Ambas/Ninguna",COUNTIF($H2:$H2,"?*")&gt;0),IF(COUNTIF($Q2:$AA2,"?*")&gt;0,", ","")&amp;"opcion E deshabilitada","")</x:f>
      </x:c>
      <x:c r="AC2" t="str">
        <x:f>IF(AND($A2="Respuesta A/B/Ambas/Ninguna",TRIM($I2)&lt;&gt;"",NOT(OR(LEFT(TRIM($I2),1)="A",LEFT(TRIM($I2),1)="B",LEFT(TRIM($I2),1)="C",LEFT(TRIM($I2),1)="D"))),IF(COUNTIF($Q2:$AB2,"?*")&gt;0,", ","")&amp;"respuesta A-D","")</x:f>
      </x:c>
      <x:c r="AD2" t="str">
        <x:f>IF(AND($A2="Verdadero o Falso Complejas",OR(LEN(TRIM(SUBSTITUTE($D2,"1.","")))=0,LEN(TRIM(SUBSTITUTE($E2,"2.","")))=0,LEN(TRIM(SUBSTITUTE($F2,"3.","")))=0,LEN(TRIM(SUBSTITUTE($G2,"4.","")))=0)),IF(COUNTIF($Q2:$AC2,"?*")&gt;0,", ","")&amp;"incisos 1-4","")</x:f>
      </x:c>
      <x:c r="AE2" t="str">
        <x:f>IF(AND($A2="Verdadero o Falso Complejas",COUNTIF($H2:$H2,"?*")&gt;0),IF(COUNTIF($Q2:$AD2,"?*")&gt;0,", ","")&amp;"opcion E deshabilitada","")</x:f>
      </x:c>
      <x:c r="AF2" t="str">
        <x:f>IF(AND($A2="Verdadero o Falso Complejas",TRIM($I2)&lt;&gt;"",NOT(OR(LEFT(TRIM($I2),1)="A",LEFT(TRIM($I2),1)="B",LEFT(TRIM($I2),1)="C",LEFT(TRIM($I2),1)="D",LEFT(TRIM($I2),1)="E"))),IF(COUNTIF($Q2:$AE2,"?*")&gt;0,", ","")&amp;"respuesta A-E","")</x:f>
      </x:c>
      <x:c r="AG2" t="str">
        <x:f>IF(AND(OR($A2="Selección de la mejor respuesta",$A2="Subítem de caso o problema"),COUNTIF($D2:$H2,"?*")&lt;5),IF(COUNTIF($Q2:$AF2,"?*")&gt;0,", ","")&amp;"incisos A-E","")</x:f>
      </x:c>
      <x:c r="AH2" t="str">
        <x:f>IF(AND(OR($A2="Selección de la mejor respuesta",$A2="Subítem de caso o problema"),TRIM($I2)&lt;&gt;"",NOT(OR(LEFT(TRIM($I2),1)="A",LEFT(TRIM($I2),1)="B",LEFT(TRIM($I2),1)="C",LEFT(TRIM($I2),1)="D",LEFT(TRIM($I2),1)="E"))),IF(COUNTIF($Q2:$AG2,"?*")&gt;0,", ","")&amp;"respuesta A-E","")</x:f>
      </x:c>
      <x:c r="AI2" t="str">
        <x:f>IF(AND(OR($A2="Ítems agrupados por caso clínico o problema",$A2="Opción de Emparejamiento Ampliado"),COUNTIF($D2:$H2,"?*")&gt;0),IF(COUNTIF($Q2:$AH2,"?*")&gt;0,", ","")&amp;"sin incisos","")</x:f>
      </x:c>
      <x:c r="AJ2" t="str">
        <x:f>IF(AND($A2="Emparejamiento Ampliado",COUNTIF($D2:$H2,"?*")&lt;2),IF(COUNTIF($Q2:$AI2,"?*")&gt;0,", ","")&amp;"minimo 2 claves","")</x:f>
      </x:c>
      <x:c r="AK2" t="str">
        <x:f>IF(AND($A2="Opción de Emparejamiento Ampliado",NOT(OR(LEFT(TRIM($I2),1)="A",LEFT(TRIM($I2),1)="B",LEFT(TRIM($I2),1)="C",LEFT(TRIM($I2),1)="D",LEFT(TRIM($I2),1)="E"))),IF(COUNTIF($Q2:$AJ2,"?*")&gt;0,", ","")&amp;"respuesta A-E","")</x:f>
      </x:c>
      <x:c r="AL2" t="str">
        <x:f>IF(TRIM($K2)="",IF(COUNTIF($M2:$M2,"?*")&gt;0,", ","")&amp;"parcial","")</x:f>
      </x:c>
      <x:c r="AM2" t="str">
        <x:f>IF(AND(TRIM($K2)&lt;&gt;"",TRIM($K2)&lt;&gt;"1P"),IF(COUNTIF($M2:$N2,"?*")&gt;0,", ","")&amp;"parcial distinto a 1P","")</x:f>
      </x:c>
      <x:c r="AN2" t="str">
        <x:f>IF(AND(OR($A2="Ítems agrupados por caso clínico o problema",$A2="Subítem de caso o problema",$A2="Emparejamiento Ampliado",$A2="Opción de Emparejamiento Ampliado"),TRIM($B2)=""),IF(COUNTIF($M2:$O2,"?*")&gt;0,", ","")&amp;"grupo","")</x:f>
      </x:c>
      <x:c r="AO2" s="305" t="str">
        <x:v>Fáciles (1)</x:v>
      </x:c>
      <x:c r="AP2" s="306" t="n">
        <x:f>COUNTIF($J$2:$J$61,1)</x:f>
        <x:v>15</x:v>
      </x:c>
      <x:c r="AQ2" s="307" t="str">
        <x:v>Meta: 15</x:v>
      </x:c>
    </x:row>
    <x:row r="3" ht="24" customHeight="1">
      <x:c r="A3" s="290"/>
      <x:c r="B3" s="290"/>
      <x:c r="C3" s="290"/>
      <x:c r="D3" s="290" t="str">
        <x:f>IF($A3="Verdadero o Falso Simple","Verdadero",IF($A3="Respuesta A/B/Ambas/Ninguna","A. Si la primera es verdadera",IF($A3="Verdadero o Falso Complejas","1. ","")))</x:f>
      </x:c>
      <x:c r="E3" s="290" t="str">
        <x:f>IF($A3="Verdadero o Falso Simple","Falso",IF($A3="Respuesta A/B/Ambas/Ninguna","B. Si la segunda es verdadera",IF($A3="Verdadero o Falso Complejas","2. ","")))</x:f>
      </x:c>
      <x:c r="F3" s="290" t="str">
        <x:f>IF($A3="Respuesta A/B/Ambas/Ninguna","C. Si ambas son verdaderas",IF($A3="Verdadero o Falso Complejas","3. ",""))</x:f>
      </x:c>
      <x:c r="G3" s="290" t="str">
        <x:f>IF($A3="Respuesta A/B/Ambas/Ninguna","D. Si ninguna es verdadera",IF($A3="Verdadero o Falso Complejas","4. ",""))</x:f>
      </x:c>
      <x:c r="H3" s="290" t="str">
        <x:f>IF($A3="Verdadero o Falso Simple","",IF($A3="Respuesta A/B/Ambas/Ninguna","",IF($A3="Verdadero o Falso Complejas","","")))</x:f>
      </x:c>
      <x:c r="I3" s="290"/>
      <x:c r="J3" s="290" t="n">
        <x:v>1</x:v>
      </x:c>
      <x:c r="K3" s="290" t="str">
        <x:v>1P</x:v>
      </x:c>
      <x:c r="L3" s="291"/>
      <x:c r="M3" s="289"/>
      <x:c r="N3"/>
      <x:c r="O3"/>
      <x:c r="P3"/>
      <x:c r="Q3" t="str">
        <x:f>IF(TRIM($C3)="","enunciado","")</x:f>
        <x:v>enunciado</x:v>
      </x:c>
      <x:c r="R3" t="str">
        <x:f>IF(TRIM($K3)="",IF(COUNTIF($Q3:$Q3,"?*")&gt;0,", ","")&amp;"parcial","")</x:f>
      </x:c>
      <x:c r="S3" t="str">
        <x:f>IF(AND(TRIM($K3)&lt;&gt;"",TRIM($K3)&lt;&gt;"1P"),IF(COUNTIF($Q3:$R3,"?*")&gt;0,", ","")&amp;"parcial distinto a 1P","")</x:f>
      </x:c>
      <x:c r="T3" t="str">
        <x:f>IF(AND(OR($A3="Ítems agrupados por caso clínico o problema",$A3="Subítem de caso o problema",$A3="Emparejamiento Ampliado",$A3="Opción de Emparejamiento Ampliado"),TRIM($B3)=""),IF(COUNTIF($Q3:$S3,"?*")&gt;0,", ","")&amp;"grupo","")</x:f>
      </x:c>
      <x:c r="U3" t="str">
        <x:f>IF(AND(OR($A3="Verdadero o Falso Simple",$A3="Respuesta A/B/Ambas/Ninguna",$A3="Verdadero o Falso Complejas",$A3="Selección de la mejor respuesta",$A3="Subítem de caso o problema",$A3="Opción de Emparejamiento Ampliado"),TRIM($I3)=""),IF(COUNTIF($Q3:$T3,"?*")&gt;0,", ","")&amp;"respuesta_correcta","")</x:f>
      </x:c>
      <x:c r="V3" t="str">
        <x:f>IF(AND(OR($A3="Verdadero o Falso Simple",$A3="Respuesta A/B/Ambas/Ninguna",$A3="Verdadero o Falso Complejas",$A3="Selección de la mejor respuesta",$A3="Subítem de caso o problema",$A3="Opción de Emparejamiento Ampliado"),TRIM($J3)=""),IF(COUNTIF($Q3:$U3,"?*")&gt;0,", ","")&amp;"dificultad","")</x:f>
      </x:c>
      <x:c r="W3" t="str">
        <x:f>IF(AND(OR($A3="Ítems agrupados por caso clínico o problema",$A3="Emparejamiento Ampliado"),TRIM($I3)&lt;&gt;""),IF(COUNTIF($Q3:$V3,"?*")&gt;0,", ","")&amp;"respuesta debe ir vacia","")</x:f>
      </x:c>
      <x:c r="X3" t="str">
        <x:f>IF(AND(OR($A3="Ítems agrupados por caso clínico o problema",$A3="Emparejamiento Ampliado"),TRIM($J3)&lt;&gt;""),IF(COUNTIF($Q3:$W3,"?*")&gt;0,", ","")&amp;"dificultad debe ir vacia","")</x:f>
      </x:c>
      <x:c r="Y3" t="str">
        <x:f>IF(AND($A3="Verdadero o Falso Simple",OR(COUNTIF($D3:$E3,"?*")&lt;2,COUNTIF($F3:$H3,"?*")&gt;0)),IF(COUNTIF($Q3:$X3,"?*")&gt;0,", ","")&amp;"incisos A-B","")</x:f>
      </x:c>
      <x:c r="Z3" t="str">
        <x:f>IF(AND($A3="Verdadero o Falso Simple",TRIM($I3)&lt;&gt;"",NOT(OR(LEFT(TRIM($I3),1)="A",LEFT(TRIM($I3),1)="B"))),IF(COUNTIF($Q3:$Y3,"?*")&gt;0,", ","")&amp;"respuesta A-B","")</x:f>
      </x:c>
      <x:c r="AA3" t="str">
        <x:f>IF(AND($A3="Respuesta A/B/Ambas/Ninguna",COUNTIF($D3:$G3,"?*")&lt;4),IF(COUNTIF($Q3:$Z3,"?*")&gt;0,", ","")&amp;"opciones A-D","")</x:f>
      </x:c>
      <x:c r="AB3" t="str">
        <x:f>IF(AND($A3="Respuesta A/B/Ambas/Ninguna",COUNTIF($H3:$H3,"?*")&gt;0),IF(COUNTIF($Q3:$AA3,"?*")&gt;0,", ","")&amp;"opcion E deshabilitada","")</x:f>
      </x:c>
      <x:c r="AC3" t="str">
        <x:f>IF(AND($A3="Respuesta A/B/Ambas/Ninguna",TRIM($I3)&lt;&gt;"",NOT(OR(LEFT(TRIM($I3),1)="A",LEFT(TRIM($I3),1)="B",LEFT(TRIM($I3),1)="C",LEFT(TRIM($I3),1)="D"))),IF(COUNTIF($Q3:$AB3,"?*")&gt;0,", ","")&amp;"respuesta A-D","")</x:f>
      </x:c>
      <x:c r="AD3" t="str">
        <x:f>IF(AND($A3="Verdadero o Falso Complejas",OR(LEN(TRIM(SUBSTITUTE($D3,"1.","")))=0,LEN(TRIM(SUBSTITUTE($E3,"2.","")))=0,LEN(TRIM(SUBSTITUTE($F3,"3.","")))=0,LEN(TRIM(SUBSTITUTE($G3,"4.","")))=0)),IF(COUNTIF($Q3:$AC3,"?*")&gt;0,", ","")&amp;"incisos 1-4","")</x:f>
      </x:c>
      <x:c r="AE3" t="str">
        <x:f>IF(AND($A3="Verdadero o Falso Complejas",COUNTIF($H3:$H3,"?*")&gt;0),IF(COUNTIF($Q3:$AD3,"?*")&gt;0,", ","")&amp;"opcion E deshabilitada","")</x:f>
      </x:c>
      <x:c r="AF3" t="str">
        <x:f>IF(AND($A3="Verdadero o Falso Complejas",TRIM($I3)&lt;&gt;"",NOT(OR(LEFT(TRIM($I3),1)="A",LEFT(TRIM($I3),1)="B",LEFT(TRIM($I3),1)="C",LEFT(TRIM($I3),1)="D",LEFT(TRIM($I3),1)="E"))),IF(COUNTIF($Q3:$AE3,"?*")&gt;0,", ","")&amp;"respuesta A-E","")</x:f>
      </x:c>
      <x:c r="AG3" t="str">
        <x:f>IF(AND(OR($A3="Selección de la mejor respuesta",$A3="Subítem de caso o problema"),COUNTIF($D3:$H3,"?*")&lt;5),IF(COUNTIF($Q3:$AF3,"?*")&gt;0,", ","")&amp;"incisos A-E","")</x:f>
      </x:c>
      <x:c r="AH3" t="str">
        <x:f>IF(AND(OR($A3="Selección de la mejor respuesta",$A3="Subítem de caso o problema"),TRIM($I3)&lt;&gt;"",NOT(OR(LEFT(TRIM($I3),1)="A",LEFT(TRIM($I3),1)="B",LEFT(TRIM($I3),1)="C",LEFT(TRIM($I3),1)="D",LEFT(TRIM($I3),1)="E"))),IF(COUNTIF($Q3:$AG3,"?*")&gt;0,", ","")&amp;"respuesta A-E","")</x:f>
      </x:c>
      <x:c r="AI3" t="str">
        <x:f>IF(AND(OR($A3="Ítems agrupados por caso clínico o problema",$A3="Opción de Emparejamiento Ampliado"),COUNTIF($D3:$H3,"?*")&gt;0),IF(COUNTIF($Q3:$AH3,"?*")&gt;0,", ","")&amp;"sin incisos","")</x:f>
      </x:c>
      <x:c r="AJ3" t="str">
        <x:f>IF(AND($A3="Emparejamiento Ampliado",COUNTIF($D3:$H3,"?*")&lt;2),IF(COUNTIF($Q3:$AI3,"?*")&gt;0,", ","")&amp;"minimo 2 claves","")</x:f>
      </x:c>
      <x:c r="AK3" t="str">
        <x:f>IF(AND($A3="Opción de Emparejamiento Ampliado",NOT(OR(LEFT(TRIM($I3),1)="A",LEFT(TRIM($I3),1)="B",LEFT(TRIM($I3),1)="C",LEFT(TRIM($I3),1)="D",LEFT(TRIM($I3),1)="E"))),IF(COUNTIF($Q3:$AJ3,"?*")&gt;0,", ","")&amp;"respuesta A-E","")</x:f>
      </x:c>
      <x:c r="AL3" t="str">
        <x:f>IF(TRIM($K3)="",IF(COUNTIF($M3:$M3,"?*")&gt;0,", ","")&amp;"parcial","")</x:f>
      </x:c>
      <x:c r="AM3" t="str">
        <x:f>IF(AND(TRIM($K3)&lt;&gt;"",TRIM($K3)&lt;&gt;"1P"),IF(COUNTIF($M3:$N3,"?*")&gt;0,", ","")&amp;"parcial distinto a 1P","")</x:f>
      </x:c>
      <x:c r="AN3" t="str">
        <x:f>IF(AND(OR($A3="Ítems agrupados por caso clínico o problema",$A3="Subítem de caso o problema",$A3="Emparejamiento Ampliado",$A3="Opción de Emparejamiento Ampliado"),TRIM($B3)=""),IF(COUNTIF($M3:$O3,"?*")&gt;0,", ","")&amp;"grupo","")</x:f>
      </x:c>
      <x:c r="AO3" s="308" t="str">
        <x:v>Medias (2)</x:v>
      </x:c>
      <x:c r="AP3" s="309" t="n">
        <x:f>COUNTIF($J$2:$J$61,2)</x:f>
        <x:v>30</x:v>
      </x:c>
      <x:c r="AQ3" s="310" t="str">
        <x:v>Meta: 30</x:v>
      </x:c>
    </x:row>
    <x:row r="4" ht="24" customHeight="1">
      <x:c r="A4" s="290"/>
      <x:c r="B4" s="290"/>
      <x:c r="C4" s="290"/>
      <x:c r="D4" s="290" t="str">
        <x:f>IF($A4="Verdadero o Falso Simple","Verdadero",IF($A4="Respuesta A/B/Ambas/Ninguna","A. Si la primera es verdadera",IF($A4="Verdadero o Falso Complejas","1. ","")))</x:f>
      </x:c>
      <x:c r="E4" s="290" t="str">
        <x:f>IF($A4="Verdadero o Falso Simple","Falso",IF($A4="Respuesta A/B/Ambas/Ninguna","B. Si la segunda es verdadera",IF($A4="Verdadero o Falso Complejas","2. ","")))</x:f>
      </x:c>
      <x:c r="F4" s="290" t="str">
        <x:f>IF($A4="Respuesta A/B/Ambas/Ninguna","C. Si ambas son verdaderas",IF($A4="Verdadero o Falso Complejas","3. ",""))</x:f>
      </x:c>
      <x:c r="G4" s="290" t="str">
        <x:f>IF($A4="Respuesta A/B/Ambas/Ninguna","D. Si ninguna es verdadera",IF($A4="Verdadero o Falso Complejas","4. ",""))</x:f>
      </x:c>
      <x:c r="H4" s="290" t="str">
        <x:f>IF($A4="Verdadero o Falso Simple","",IF($A4="Respuesta A/B/Ambas/Ninguna","",IF($A4="Verdadero o Falso Complejas","","")))</x:f>
      </x:c>
      <x:c r="I4" s="290"/>
      <x:c r="J4" s="290" t="n">
        <x:v>1</x:v>
      </x:c>
      <x:c r="K4" s="290" t="str">
        <x:v>1P</x:v>
      </x:c>
      <x:c r="L4" s="291"/>
      <x:c r="M4" s="289"/>
      <x:c r="N4"/>
      <x:c r="O4"/>
      <x:c r="P4"/>
      <x:c r="Q4" t="str">
        <x:f>IF(TRIM($C4)="","enunciado","")</x:f>
        <x:v>enunciado</x:v>
      </x:c>
      <x:c r="R4" t="str">
        <x:f>IF(TRIM($K4)="",IF(COUNTIF($Q4:$Q4,"?*")&gt;0,", ","")&amp;"parcial","")</x:f>
      </x:c>
      <x:c r="S4" t="str">
        <x:f>IF(AND(TRIM($K4)&lt;&gt;"",TRIM($K4)&lt;&gt;"1P"),IF(COUNTIF($Q4:$R4,"?*")&gt;0,", ","")&amp;"parcial distinto a 1P","")</x:f>
      </x:c>
      <x:c r="T4" t="str">
        <x:f>IF(AND(OR($A4="Ítems agrupados por caso clínico o problema",$A4="Subítem de caso o problema",$A4="Emparejamiento Ampliado",$A4="Opción de Emparejamiento Ampliado"),TRIM($B4)=""),IF(COUNTIF($Q4:$S4,"?*")&gt;0,", ","")&amp;"grupo","")</x:f>
      </x:c>
      <x:c r="U4" t="str">
        <x:f>IF(AND(OR($A4="Verdadero o Falso Simple",$A4="Respuesta A/B/Ambas/Ninguna",$A4="Verdadero o Falso Complejas",$A4="Selección de la mejor respuesta",$A4="Subítem de caso o problema",$A4="Opción de Emparejamiento Ampliado"),TRIM($I4)=""),IF(COUNTIF($Q4:$T4,"?*")&gt;0,", ","")&amp;"respuesta_correcta","")</x:f>
      </x:c>
      <x:c r="V4" t="str">
        <x:f>IF(AND(OR($A4="Verdadero o Falso Simple",$A4="Respuesta A/B/Ambas/Ninguna",$A4="Verdadero o Falso Complejas",$A4="Selección de la mejor respuesta",$A4="Subítem de caso o problema",$A4="Opción de Emparejamiento Ampliado"),TRIM($J4)=""),IF(COUNTIF($Q4:$U4,"?*")&gt;0,", ","")&amp;"dificultad","")</x:f>
      </x:c>
      <x:c r="W4" t="str">
        <x:f>IF(AND(OR($A4="Ítems agrupados por caso clínico o problema",$A4="Emparejamiento Ampliado"),TRIM($I4)&lt;&gt;""),IF(COUNTIF($Q4:$V4,"?*")&gt;0,", ","")&amp;"respuesta debe ir vacia","")</x:f>
      </x:c>
      <x:c r="X4" t="str">
        <x:f>IF(AND(OR($A4="Ítems agrupados por caso clínico o problema",$A4="Emparejamiento Ampliado"),TRIM($J4)&lt;&gt;""),IF(COUNTIF($Q4:$W4,"?*")&gt;0,", ","")&amp;"dificultad debe ir vacia","")</x:f>
      </x:c>
      <x:c r="Y4" t="str">
        <x:f>IF(AND($A4="Verdadero o Falso Simple",OR(COUNTIF($D4:$E4,"?*")&lt;2,COUNTIF($F4:$H4,"?*")&gt;0)),IF(COUNTIF($Q4:$X4,"?*")&gt;0,", ","")&amp;"incisos A-B","")</x:f>
      </x:c>
      <x:c r="Z4" t="str">
        <x:f>IF(AND($A4="Verdadero o Falso Simple",TRIM($I4)&lt;&gt;"",NOT(OR(LEFT(TRIM($I4),1)="A",LEFT(TRIM($I4),1)="B"))),IF(COUNTIF($Q4:$Y4,"?*")&gt;0,", ","")&amp;"respuesta A-B","")</x:f>
      </x:c>
      <x:c r="AA4" t="str">
        <x:f>IF(AND($A4="Respuesta A/B/Ambas/Ninguna",COUNTIF($D4:$G4,"?*")&lt;4),IF(COUNTIF($Q4:$Z4,"?*")&gt;0,", ","")&amp;"opciones A-D","")</x:f>
      </x:c>
      <x:c r="AB4" t="str">
        <x:f>IF(AND($A4="Respuesta A/B/Ambas/Ninguna",COUNTIF($H4:$H4,"?*")&gt;0),IF(COUNTIF($Q4:$AA4,"?*")&gt;0,", ","")&amp;"opcion E deshabilitada","")</x:f>
      </x:c>
      <x:c r="AC4" t="str">
        <x:f>IF(AND($A4="Respuesta A/B/Ambas/Ninguna",TRIM($I4)&lt;&gt;"",NOT(OR(LEFT(TRIM($I4),1)="A",LEFT(TRIM($I4),1)="B",LEFT(TRIM($I4),1)="C",LEFT(TRIM($I4),1)="D"))),IF(COUNTIF($Q4:$AB4,"?*")&gt;0,", ","")&amp;"respuesta A-D","")</x:f>
      </x:c>
      <x:c r="AD4" t="str">
        <x:f>IF(AND($A4="Verdadero o Falso Complejas",OR(LEN(TRIM(SUBSTITUTE($D4,"1.","")))=0,LEN(TRIM(SUBSTITUTE($E4,"2.","")))=0,LEN(TRIM(SUBSTITUTE($F4,"3.","")))=0,LEN(TRIM(SUBSTITUTE($G4,"4.","")))=0)),IF(COUNTIF($Q4:$AC4,"?*")&gt;0,", ","")&amp;"incisos 1-4","")</x:f>
      </x:c>
      <x:c r="AE4" t="str">
        <x:f>IF(AND($A4="Verdadero o Falso Complejas",COUNTIF($H4:$H4,"?*")&gt;0),IF(COUNTIF($Q4:$AD4,"?*")&gt;0,", ","")&amp;"opcion E deshabilitada","")</x:f>
      </x:c>
      <x:c r="AF4" t="str">
        <x:f>IF(AND($A4="Verdadero o Falso Complejas",TRIM($I4)&lt;&gt;"",NOT(OR(LEFT(TRIM($I4),1)="A",LEFT(TRIM($I4),1)="B",LEFT(TRIM($I4),1)="C",LEFT(TRIM($I4),1)="D",LEFT(TRIM($I4),1)="E"))),IF(COUNTIF($Q4:$AE4,"?*")&gt;0,", ","")&amp;"respuesta A-E","")</x:f>
      </x:c>
      <x:c r="AG4" t="str">
        <x:f>IF(AND(OR($A4="Selección de la mejor respuesta",$A4="Subítem de caso o problema"),COUNTIF($D4:$H4,"?*")&lt;5),IF(COUNTIF($Q4:$AF4,"?*")&gt;0,", ","")&amp;"incisos A-E","")</x:f>
      </x:c>
      <x:c r="AH4" t="str">
        <x:f>IF(AND(OR($A4="Selección de la mejor respuesta",$A4="Subítem de caso o problema"),TRIM($I4)&lt;&gt;"",NOT(OR(LEFT(TRIM($I4),1)="A",LEFT(TRIM($I4),1)="B",LEFT(TRIM($I4),1)="C",LEFT(TRIM($I4),1)="D",LEFT(TRIM($I4),1)="E"))),IF(COUNTIF($Q4:$AG4,"?*")&gt;0,", ","")&amp;"respuesta A-E","")</x:f>
      </x:c>
      <x:c r="AI4" t="str">
        <x:f>IF(AND(OR($A4="Ítems agrupados por caso clínico o problema",$A4="Opción de Emparejamiento Ampliado"),COUNTIF($D4:$H4,"?*")&gt;0),IF(COUNTIF($Q4:$AH4,"?*")&gt;0,", ","")&amp;"sin incisos","")</x:f>
      </x:c>
      <x:c r="AJ4" t="str">
        <x:f>IF(AND($A4="Emparejamiento Ampliado",COUNTIF($D4:$H4,"?*")&lt;2),IF(COUNTIF($Q4:$AI4,"?*")&gt;0,", ","")&amp;"minimo 2 claves","")</x:f>
      </x:c>
      <x:c r="AK4" t="str">
        <x:f>IF(AND($A4="Opción de Emparejamiento Ampliado",NOT(OR(LEFT(TRIM($I4),1)="A",LEFT(TRIM($I4),1)="B",LEFT(TRIM($I4),1)="C",LEFT(TRIM($I4),1)="D",LEFT(TRIM($I4),1)="E"))),IF(COUNTIF($Q4:$AJ4,"?*")&gt;0,", ","")&amp;"respuesta A-E","")</x:f>
      </x:c>
      <x:c r="AL4" t="str">
        <x:f>IF(TRIM($K4)="",IF(COUNTIF($M4:$M4,"?*")&gt;0,", ","")&amp;"parcial","")</x:f>
      </x:c>
      <x:c r="AM4" t="str">
        <x:f>IF(AND(TRIM($K4)&lt;&gt;"",TRIM($K4)&lt;&gt;"1P"),IF(COUNTIF($M4:$N4,"?*")&gt;0,", ","")&amp;"parcial distinto a 1P","")</x:f>
      </x:c>
      <x:c r="AN4" t="str">
        <x:f>IF(AND(OR($A4="Ítems agrupados por caso clínico o problema",$A4="Subítem de caso o problema",$A4="Emparejamiento Ampliado",$A4="Opción de Emparejamiento Ampliado"),TRIM($B4)=""),IF(COUNTIF($M4:$O4,"?*")&gt;0,", ","")&amp;"grupo","")</x:f>
      </x:c>
      <x:c r="AO4" s="308" t="str">
        <x:v>Difíciles (3)</x:v>
      </x:c>
      <x:c r="AP4" s="309" t="n">
        <x:f>COUNTIF($J$2:$J$61,3)</x:f>
        <x:v>15</x:v>
      </x:c>
      <x:c r="AQ4" s="310" t="str">
        <x:v>Meta: 15</x:v>
      </x:c>
    </x:row>
    <x:row r="5" ht="24" customHeight="1">
      <x:c r="A5" s="290"/>
      <x:c r="B5" s="290"/>
      <x:c r="C5" s="290"/>
      <x:c r="D5" s="290" t="str">
        <x:f>IF($A5="Verdadero o Falso Simple","Verdadero",IF($A5="Respuesta A/B/Ambas/Ninguna","A. Si la primera es verdadera",IF($A5="Verdadero o Falso Complejas","1. ","")))</x:f>
      </x:c>
      <x:c r="E5" s="290" t="str">
        <x:f>IF($A5="Verdadero o Falso Simple","Falso",IF($A5="Respuesta A/B/Ambas/Ninguna","B. Si la segunda es verdadera",IF($A5="Verdadero o Falso Complejas","2. ","")))</x:f>
      </x:c>
      <x:c r="F5" s="290" t="str">
        <x:f>IF($A5="Respuesta A/B/Ambas/Ninguna","C. Si ambas son verdaderas",IF($A5="Verdadero o Falso Complejas","3. ",""))</x:f>
      </x:c>
      <x:c r="G5" s="290" t="str">
        <x:f>IF($A5="Respuesta A/B/Ambas/Ninguna","D. Si ninguna es verdadera",IF($A5="Verdadero o Falso Complejas","4. ",""))</x:f>
      </x:c>
      <x:c r="H5" s="290" t="str">
        <x:f>IF($A5="Verdadero o Falso Simple","",IF($A5="Respuesta A/B/Ambas/Ninguna","",IF($A5="Verdadero o Falso Complejas","","")))</x:f>
      </x:c>
      <x:c r="I5" s="290"/>
      <x:c r="J5" s="290" t="n">
        <x:v>1</x:v>
      </x:c>
      <x:c r="K5" s="290" t="str">
        <x:v>1P</x:v>
      </x:c>
      <x:c r="L5" s="291"/>
      <x:c r="M5" s="289"/>
      <x:c r="N5"/>
      <x:c r="O5"/>
      <x:c r="P5"/>
      <x:c r="Q5" t="str">
        <x:f>IF(TRIM($C5)="","enunciado","")</x:f>
        <x:v>enunciado</x:v>
      </x:c>
      <x:c r="R5" t="str">
        <x:f>IF(TRIM($K5)="",IF(COUNTIF($Q5:$Q5,"?*")&gt;0,", ","")&amp;"parcial","")</x:f>
      </x:c>
      <x:c r="S5" t="str">
        <x:f>IF(AND(TRIM($K5)&lt;&gt;"",TRIM($K5)&lt;&gt;"1P"),IF(COUNTIF($Q5:$R5,"?*")&gt;0,", ","")&amp;"parcial distinto a 1P","")</x:f>
      </x:c>
      <x:c r="T5" t="str">
        <x:f>IF(AND(OR($A5="Ítems agrupados por caso clínico o problema",$A5="Subítem de caso o problema",$A5="Emparejamiento Ampliado",$A5="Opción de Emparejamiento Ampliado"),TRIM($B5)=""),IF(COUNTIF($Q5:$S5,"?*")&gt;0,", ","")&amp;"grupo","")</x:f>
      </x:c>
      <x:c r="U5" t="str">
        <x:f>IF(AND(OR($A5="Verdadero o Falso Simple",$A5="Respuesta A/B/Ambas/Ninguna",$A5="Verdadero o Falso Complejas",$A5="Selección de la mejor respuesta",$A5="Subítem de caso o problema",$A5="Opción de Emparejamiento Ampliado"),TRIM($I5)=""),IF(COUNTIF($Q5:$T5,"?*")&gt;0,", ","")&amp;"respuesta_correcta","")</x:f>
      </x:c>
      <x:c r="V5" t="str">
        <x:f>IF(AND(OR($A5="Verdadero o Falso Simple",$A5="Respuesta A/B/Ambas/Ninguna",$A5="Verdadero o Falso Complejas",$A5="Selección de la mejor respuesta",$A5="Subítem de caso o problema",$A5="Opción de Emparejamiento Ampliado"),TRIM($J5)=""),IF(COUNTIF($Q5:$U5,"?*")&gt;0,", ","")&amp;"dificultad","")</x:f>
      </x:c>
      <x:c r="W5" t="str">
        <x:f>IF(AND(OR($A5="Ítems agrupados por caso clínico o problema",$A5="Emparejamiento Ampliado"),TRIM($I5)&lt;&gt;""),IF(COUNTIF($Q5:$V5,"?*")&gt;0,", ","")&amp;"respuesta debe ir vacia","")</x:f>
      </x:c>
      <x:c r="X5" t="str">
        <x:f>IF(AND(OR($A5="Ítems agrupados por caso clínico o problema",$A5="Emparejamiento Ampliado"),TRIM($J5)&lt;&gt;""),IF(COUNTIF($Q5:$W5,"?*")&gt;0,", ","")&amp;"dificultad debe ir vacia","")</x:f>
      </x:c>
      <x:c r="Y5" t="str">
        <x:f>IF(AND($A5="Verdadero o Falso Simple",OR(COUNTIF($D5:$E5,"?*")&lt;2,COUNTIF($F5:$H5,"?*")&gt;0)),IF(COUNTIF($Q5:$X5,"?*")&gt;0,", ","")&amp;"incisos A-B","")</x:f>
      </x:c>
      <x:c r="Z5" t="str">
        <x:f>IF(AND($A5="Verdadero o Falso Simple",TRIM($I5)&lt;&gt;"",NOT(OR(LEFT(TRIM($I5),1)="A",LEFT(TRIM($I5),1)="B"))),IF(COUNTIF($Q5:$Y5,"?*")&gt;0,", ","")&amp;"respuesta A-B","")</x:f>
      </x:c>
      <x:c r="AA5" t="str">
        <x:f>IF(AND($A5="Respuesta A/B/Ambas/Ninguna",COUNTIF($D5:$G5,"?*")&lt;4),IF(COUNTIF($Q5:$Z5,"?*")&gt;0,", ","")&amp;"opciones A-D","")</x:f>
      </x:c>
      <x:c r="AB5" t="str">
        <x:f>IF(AND($A5="Respuesta A/B/Ambas/Ninguna",COUNTIF($H5:$H5,"?*")&gt;0),IF(COUNTIF($Q5:$AA5,"?*")&gt;0,", ","")&amp;"opcion E deshabilitada","")</x:f>
      </x:c>
      <x:c r="AC5" t="str">
        <x:f>IF(AND($A5="Respuesta A/B/Ambas/Ninguna",TRIM($I5)&lt;&gt;"",NOT(OR(LEFT(TRIM($I5),1)="A",LEFT(TRIM($I5),1)="B",LEFT(TRIM($I5),1)="C",LEFT(TRIM($I5),1)="D"))),IF(COUNTIF($Q5:$AB5,"?*")&gt;0,", ","")&amp;"respuesta A-D","")</x:f>
      </x:c>
      <x:c r="AD5" t="str">
        <x:f>IF(AND($A5="Verdadero o Falso Complejas",OR(LEN(TRIM(SUBSTITUTE($D5,"1.","")))=0,LEN(TRIM(SUBSTITUTE($E5,"2.","")))=0,LEN(TRIM(SUBSTITUTE($F5,"3.","")))=0,LEN(TRIM(SUBSTITUTE($G5,"4.","")))=0)),IF(COUNTIF($Q5:$AC5,"?*")&gt;0,", ","")&amp;"incisos 1-4","")</x:f>
      </x:c>
      <x:c r="AE5" t="str">
        <x:f>IF(AND($A5="Verdadero o Falso Complejas",COUNTIF($H5:$H5,"?*")&gt;0),IF(COUNTIF($Q5:$AD5,"?*")&gt;0,", ","")&amp;"opcion E deshabilitada","")</x:f>
      </x:c>
      <x:c r="AF5" t="str">
        <x:f>IF(AND($A5="Verdadero o Falso Complejas",TRIM($I5)&lt;&gt;"",NOT(OR(LEFT(TRIM($I5),1)="A",LEFT(TRIM($I5),1)="B",LEFT(TRIM($I5),1)="C",LEFT(TRIM($I5),1)="D",LEFT(TRIM($I5),1)="E"))),IF(COUNTIF($Q5:$AE5,"?*")&gt;0,", ","")&amp;"respuesta A-E","")</x:f>
      </x:c>
      <x:c r="AG5" t="str">
        <x:f>IF(AND(OR($A5="Selección de la mejor respuesta",$A5="Subítem de caso o problema"),COUNTIF($D5:$H5,"?*")&lt;5),IF(COUNTIF($Q5:$AF5,"?*")&gt;0,", ","")&amp;"incisos A-E","")</x:f>
      </x:c>
      <x:c r="AH5" t="str">
        <x:f>IF(AND(OR($A5="Selección de la mejor respuesta",$A5="Subítem de caso o problema"),TRIM($I5)&lt;&gt;"",NOT(OR(LEFT(TRIM($I5),1)="A",LEFT(TRIM($I5),1)="B",LEFT(TRIM($I5),1)="C",LEFT(TRIM($I5),1)="D",LEFT(TRIM($I5),1)="E"))),IF(COUNTIF($Q5:$AG5,"?*")&gt;0,", ","")&amp;"respuesta A-E","")</x:f>
      </x:c>
      <x:c r="AI5" t="str">
        <x:f>IF(AND(OR($A5="Ítems agrupados por caso clínico o problema",$A5="Opción de Emparejamiento Ampliado"),COUNTIF($D5:$H5,"?*")&gt;0),IF(COUNTIF($Q5:$AH5,"?*")&gt;0,", ","")&amp;"sin incisos","")</x:f>
      </x:c>
      <x:c r="AJ5" t="str">
        <x:f>IF(AND($A5="Emparejamiento Ampliado",COUNTIF($D5:$H5,"?*")&lt;2),IF(COUNTIF($Q5:$AI5,"?*")&gt;0,", ","")&amp;"minimo 2 claves","")</x:f>
      </x:c>
      <x:c r="AK5" t="str">
        <x:f>IF(AND($A5="Opción de Emparejamiento Ampliado",NOT(OR(LEFT(TRIM($I5),1)="A",LEFT(TRIM($I5),1)="B",LEFT(TRIM($I5),1)="C",LEFT(TRIM($I5),1)="D",LEFT(TRIM($I5),1)="E"))),IF(COUNTIF($Q5:$AJ5,"?*")&gt;0,", ","")&amp;"respuesta A-E","")</x:f>
      </x:c>
      <x:c r="AL5" t="str">
        <x:f>IF(TRIM($K5)="",IF(COUNTIF($M5:$M5,"?*")&gt;0,", ","")&amp;"parcial","")</x:f>
      </x:c>
      <x:c r="AM5" t="str">
        <x:f>IF(AND(TRIM($K5)&lt;&gt;"",TRIM($K5)&lt;&gt;"1P"),IF(COUNTIF($M5:$N5,"?*")&gt;0,", ","")&amp;"parcial distinto a 1P","")</x:f>
      </x:c>
      <x:c r="AN5" t="str">
        <x:f>IF(AND(OR($A5="Ítems agrupados por caso clínico o problema",$A5="Subítem de caso o problema",$A5="Emparejamiento Ampliado",$A5="Opción de Emparejamiento Ampliado"),TRIM($B5)=""),IF(COUNTIF($M5:$O5,"?*")&gt;0,", ","")&amp;"grupo","")</x:f>
      </x:c>
      <x:c r="AO5" s="308" t="str">
        <x:v>Total de ítems</x:v>
      </x:c>
      <x:c r="AP5" s="309" t="n">
        <x:f>SUM(AP2:AP4)</x:f>
        <x:v>60</x:v>
      </x:c>
      <x:c r="AQ5" s="310" t="str">
        <x:v>Meta: 60</x:v>
      </x:c>
    </x:row>
    <x:row r="6" ht="24" customHeight="1">
      <x:c r="A6" s="290"/>
      <x:c r="B6" s="290"/>
      <x:c r="C6" s="290"/>
      <x:c r="D6" s="290" t="str">
        <x:f>IF($A6="Verdadero o Falso Simple","Verdadero",IF($A6="Respuesta A/B/Ambas/Ninguna","A. Si la primera es verdadera",IF($A6="Verdadero o Falso Complejas","1. ","")))</x:f>
      </x:c>
      <x:c r="E6" s="290" t="str">
        <x:f>IF($A6="Verdadero o Falso Simple","Falso",IF($A6="Respuesta A/B/Ambas/Ninguna","B. Si la segunda es verdadera",IF($A6="Verdadero o Falso Complejas","2. ","")))</x:f>
      </x:c>
      <x:c r="F6" s="290" t="str">
        <x:f>IF($A6="Respuesta A/B/Ambas/Ninguna","C. Si ambas son verdaderas",IF($A6="Verdadero o Falso Complejas","3. ",""))</x:f>
      </x:c>
      <x:c r="G6" s="290" t="str">
        <x:f>IF($A6="Respuesta A/B/Ambas/Ninguna","D. Si ninguna es verdadera",IF($A6="Verdadero o Falso Complejas","4. ",""))</x:f>
      </x:c>
      <x:c r="H6" s="290" t="str">
        <x:f>IF($A6="Verdadero o Falso Simple","",IF($A6="Respuesta A/B/Ambas/Ninguna","",IF($A6="Verdadero o Falso Complejas","","")))</x:f>
      </x:c>
      <x:c r="I6" s="290"/>
      <x:c r="J6" s="290" t="n">
        <x:v>1</x:v>
      </x:c>
      <x:c r="K6" s="290" t="str">
        <x:v>1P</x:v>
      </x:c>
      <x:c r="L6" s="291"/>
      <x:c r="M6" s="289"/>
      <x:c r="N6"/>
      <x:c r="O6"/>
      <x:c r="P6"/>
      <x:c r="Q6" t="str">
        <x:f>IF(TRIM($C6)="","enunciado","")</x:f>
        <x:v>enunciado</x:v>
      </x:c>
      <x:c r="R6" t="str">
        <x:f>IF(TRIM($K6)="",IF(COUNTIF($Q6:$Q6,"?*")&gt;0,", ","")&amp;"parcial","")</x:f>
      </x:c>
      <x:c r="S6" t="str">
        <x:f>IF(AND(TRIM($K6)&lt;&gt;"",TRIM($K6)&lt;&gt;"1P"),IF(COUNTIF($Q6:$R6,"?*")&gt;0,", ","")&amp;"parcial distinto a 1P","")</x:f>
      </x:c>
      <x:c r="T6" t="str">
        <x:f>IF(AND(OR($A6="Ítems agrupados por caso clínico o problema",$A6="Subítem de caso o problema",$A6="Emparejamiento Ampliado",$A6="Opción de Emparejamiento Ampliado"),TRIM($B6)=""),IF(COUNTIF($Q6:$S6,"?*")&gt;0,", ","")&amp;"grupo","")</x:f>
      </x:c>
      <x:c r="U6" t="str">
        <x:f>IF(AND(OR($A6="Verdadero o Falso Simple",$A6="Respuesta A/B/Ambas/Ninguna",$A6="Verdadero o Falso Complejas",$A6="Selección de la mejor respuesta",$A6="Subítem de caso o problema",$A6="Opción de Emparejamiento Ampliado"),TRIM($I6)=""),IF(COUNTIF($Q6:$T6,"?*")&gt;0,", ","")&amp;"respuesta_correcta","")</x:f>
      </x:c>
      <x:c r="V6" t="str">
        <x:f>IF(AND(OR($A6="Verdadero o Falso Simple",$A6="Respuesta A/B/Ambas/Ninguna",$A6="Verdadero o Falso Complejas",$A6="Selección de la mejor respuesta",$A6="Subítem de caso o problema",$A6="Opción de Emparejamiento Ampliado"),TRIM($J6)=""),IF(COUNTIF($Q6:$U6,"?*")&gt;0,", ","")&amp;"dificultad","")</x:f>
      </x:c>
      <x:c r="W6" t="str">
        <x:f>IF(AND(OR($A6="Ítems agrupados por caso clínico o problema",$A6="Emparejamiento Ampliado"),TRIM($I6)&lt;&gt;""),IF(COUNTIF($Q6:$V6,"?*")&gt;0,", ","")&amp;"respuesta debe ir vacia","")</x:f>
      </x:c>
      <x:c r="X6" t="str">
        <x:f>IF(AND(OR($A6="Ítems agrupados por caso clínico o problema",$A6="Emparejamiento Ampliado"),TRIM($J6)&lt;&gt;""),IF(COUNTIF($Q6:$W6,"?*")&gt;0,", ","")&amp;"dificultad debe ir vacia","")</x:f>
      </x:c>
      <x:c r="Y6" t="str">
        <x:f>IF(AND($A6="Verdadero o Falso Simple",OR(COUNTIF($D6:$E6,"?*")&lt;2,COUNTIF($F6:$H6,"?*")&gt;0)),IF(COUNTIF($Q6:$X6,"?*")&gt;0,", ","")&amp;"incisos A-B","")</x:f>
      </x:c>
      <x:c r="Z6" t="str">
        <x:f>IF(AND($A6="Verdadero o Falso Simple",TRIM($I6)&lt;&gt;"",NOT(OR(LEFT(TRIM($I6),1)="A",LEFT(TRIM($I6),1)="B"))),IF(COUNTIF($Q6:$Y6,"?*")&gt;0,", ","")&amp;"respuesta A-B","")</x:f>
      </x:c>
      <x:c r="AA6" t="str">
        <x:f>IF(AND($A6="Respuesta A/B/Ambas/Ninguna",COUNTIF($D6:$G6,"?*")&lt;4),IF(COUNTIF($Q6:$Z6,"?*")&gt;0,", ","")&amp;"opciones A-D","")</x:f>
      </x:c>
      <x:c r="AB6" t="str">
        <x:f>IF(AND($A6="Respuesta A/B/Ambas/Ninguna",COUNTIF($H6:$H6,"?*")&gt;0),IF(COUNTIF($Q6:$AA6,"?*")&gt;0,", ","")&amp;"opcion E deshabilitada","")</x:f>
      </x:c>
      <x:c r="AC6" t="str">
        <x:f>IF(AND($A6="Respuesta A/B/Ambas/Ninguna",TRIM($I6)&lt;&gt;"",NOT(OR(LEFT(TRIM($I6),1)="A",LEFT(TRIM($I6),1)="B",LEFT(TRIM($I6),1)="C",LEFT(TRIM($I6),1)="D"))),IF(COUNTIF($Q6:$AB6,"?*")&gt;0,", ","")&amp;"respuesta A-D","")</x:f>
      </x:c>
      <x:c r="AD6" t="str">
        <x:f>IF(AND($A6="Verdadero o Falso Complejas",OR(LEN(TRIM(SUBSTITUTE($D6,"1.","")))=0,LEN(TRIM(SUBSTITUTE($E6,"2.","")))=0,LEN(TRIM(SUBSTITUTE($F6,"3.","")))=0,LEN(TRIM(SUBSTITUTE($G6,"4.","")))=0)),IF(COUNTIF($Q6:$AC6,"?*")&gt;0,", ","")&amp;"incisos 1-4","")</x:f>
      </x:c>
      <x:c r="AE6" t="str">
        <x:f>IF(AND($A6="Verdadero o Falso Complejas",COUNTIF($H6:$H6,"?*")&gt;0),IF(COUNTIF($Q6:$AD6,"?*")&gt;0,", ","")&amp;"opcion E deshabilitada","")</x:f>
      </x:c>
      <x:c r="AF6" t="str">
        <x:f>IF(AND($A6="Verdadero o Falso Complejas",TRIM($I6)&lt;&gt;"",NOT(OR(LEFT(TRIM($I6),1)="A",LEFT(TRIM($I6),1)="B",LEFT(TRIM($I6),1)="C",LEFT(TRIM($I6),1)="D",LEFT(TRIM($I6),1)="E"))),IF(COUNTIF($Q6:$AE6,"?*")&gt;0,", ","")&amp;"respuesta A-E","")</x:f>
      </x:c>
      <x:c r="AG6" t="str">
        <x:f>IF(AND(OR($A6="Selección de la mejor respuesta",$A6="Subítem de caso o problema"),COUNTIF($D6:$H6,"?*")&lt;5),IF(COUNTIF($Q6:$AF6,"?*")&gt;0,", ","")&amp;"incisos A-E","")</x:f>
      </x:c>
      <x:c r="AH6" t="str">
        <x:f>IF(AND(OR($A6="Selección de la mejor respuesta",$A6="Subítem de caso o problema"),TRIM($I6)&lt;&gt;"",NOT(OR(LEFT(TRIM($I6),1)="A",LEFT(TRIM($I6),1)="B",LEFT(TRIM($I6),1)="C",LEFT(TRIM($I6),1)="D",LEFT(TRIM($I6),1)="E"))),IF(COUNTIF($Q6:$AG6,"?*")&gt;0,", ","")&amp;"respuesta A-E","")</x:f>
      </x:c>
      <x:c r="AI6" t="str">
        <x:f>IF(AND(OR($A6="Ítems agrupados por caso clínico o problema",$A6="Opción de Emparejamiento Ampliado"),COUNTIF($D6:$H6,"?*")&gt;0),IF(COUNTIF($Q6:$AH6,"?*")&gt;0,", ","")&amp;"sin incisos","")</x:f>
      </x:c>
      <x:c r="AJ6" t="str">
        <x:f>IF(AND($A6="Emparejamiento Ampliado",COUNTIF($D6:$H6,"?*")&lt;2),IF(COUNTIF($Q6:$AI6,"?*")&gt;0,", ","")&amp;"minimo 2 claves","")</x:f>
      </x:c>
      <x:c r="AK6" t="str">
        <x:f>IF(AND($A6="Opción de Emparejamiento Ampliado",NOT(OR(LEFT(TRIM($I6),1)="A",LEFT(TRIM($I6),1)="B",LEFT(TRIM($I6),1)="C",LEFT(TRIM($I6),1)="D",LEFT(TRIM($I6),1)="E"))),IF(COUNTIF($Q6:$AJ6,"?*")&gt;0,", ","")&amp;"respuesta A-E","")</x:f>
      </x:c>
      <x:c r="AL6" t="str">
        <x:f>IF(TRIM($K6)="",IF(COUNTIF($M6:$M6,"?*")&gt;0,", ","")&amp;"parcial","")</x:f>
      </x:c>
      <x:c r="AM6" t="str">
        <x:f>IF(AND(TRIM($K6)&lt;&gt;"",TRIM($K6)&lt;&gt;"1P"),IF(COUNTIF($M6:$N6,"?*")&gt;0,", ","")&amp;"parcial distinto a 1P","")</x:f>
      </x:c>
      <x:c r="AN6" t="str">
        <x:f>IF(AND(OR($A6="Ítems agrupados por caso clínico o problema",$A6="Subítem de caso o problema",$A6="Emparejamiento Ampliado",$A6="Opción de Emparejamiento Ampliado"),TRIM($B6)=""),IF(COUNTIF($M6:$O6,"?*")&gt;0,", ","")&amp;"grupo","")</x:f>
      </x:c>
      <x:c r="AO6" s="311" t="str">
        <x:v>Estado</x:v>
      </x:c>
      <x:c r="AP6" s="312" t="str">
        <x:f>IF(AND(AP2=15,AP3=30,AP4=15,AP5=60),"COMPLETA","REVISAR")</x:f>
        <x:v>COMPLETA</x:v>
      </x:c>
      <x:c r="AQ6" s="313" t="str"/>
    </x:row>
    <x:row r="7" ht="24" customHeight="1">
      <x:c r="A7" s="290"/>
      <x:c r="B7" s="290"/>
      <x:c r="C7" s="290"/>
      <x:c r="D7" s="290" t="str">
        <x:f>IF($A7="Verdadero o Falso Simple","Verdadero",IF($A7="Respuesta A/B/Ambas/Ninguna","A. Si la primera es verdadera",IF($A7="Verdadero o Falso Complejas","1. ","")))</x:f>
      </x:c>
      <x:c r="E7" s="290" t="str">
        <x:f>IF($A7="Verdadero o Falso Simple","Falso",IF($A7="Respuesta A/B/Ambas/Ninguna","B. Si la segunda es verdadera",IF($A7="Verdadero o Falso Complejas","2. ","")))</x:f>
      </x:c>
      <x:c r="F7" s="290" t="str">
        <x:f>IF($A7="Respuesta A/B/Ambas/Ninguna","C. Si ambas son verdaderas",IF($A7="Verdadero o Falso Complejas","3. ",""))</x:f>
      </x:c>
      <x:c r="G7" s="290" t="str">
        <x:f>IF($A7="Respuesta A/B/Ambas/Ninguna","D. Si ninguna es verdadera",IF($A7="Verdadero o Falso Complejas","4. ",""))</x:f>
      </x:c>
      <x:c r="H7" s="290" t="str">
        <x:f>IF($A7="Verdadero o Falso Simple","",IF($A7="Respuesta A/B/Ambas/Ninguna","",IF($A7="Verdadero o Falso Complejas","","")))</x:f>
      </x:c>
      <x:c r="I7" s="290"/>
      <x:c r="J7" s="290" t="n">
        <x:v>1</x:v>
      </x:c>
      <x:c r="K7" s="290" t="str">
        <x:v>1P</x:v>
      </x:c>
      <x:c r="L7" s="291"/>
      <x:c r="M7" s="289"/>
      <x:c r="N7"/>
      <x:c r="O7"/>
      <x:c r="P7"/>
      <x:c r="Q7" t="str">
        <x:f>IF(TRIM($C7)="","enunciado","")</x:f>
        <x:v>enunciado</x:v>
      </x:c>
      <x:c r="R7" t="str">
        <x:f>IF(TRIM($K7)="",IF(COUNTIF($Q7:$Q7,"?*")&gt;0,", ","")&amp;"parcial","")</x:f>
      </x:c>
      <x:c r="S7" t="str">
        <x:f>IF(AND(TRIM($K7)&lt;&gt;"",TRIM($K7)&lt;&gt;"1P"),IF(COUNTIF($Q7:$R7,"?*")&gt;0,", ","")&amp;"parcial distinto a 1P","")</x:f>
      </x:c>
      <x:c r="T7" t="str">
        <x:f>IF(AND(OR($A7="Ítems agrupados por caso clínico o problema",$A7="Subítem de caso o problema",$A7="Emparejamiento Ampliado",$A7="Opción de Emparejamiento Ampliado"),TRIM($B7)=""),IF(COUNTIF($Q7:$S7,"?*")&gt;0,", ","")&amp;"grupo","")</x:f>
      </x:c>
      <x:c r="U7" t="str">
        <x:f>IF(AND(OR($A7="Verdadero o Falso Simple",$A7="Respuesta A/B/Ambas/Ninguna",$A7="Verdadero o Falso Complejas",$A7="Selección de la mejor respuesta",$A7="Subítem de caso o problema",$A7="Opción de Emparejamiento Ampliado"),TRIM($I7)=""),IF(COUNTIF($Q7:$T7,"?*")&gt;0,", ","")&amp;"respuesta_correcta","")</x:f>
      </x:c>
      <x:c r="V7" t="str">
        <x:f>IF(AND(OR($A7="Verdadero o Falso Simple",$A7="Respuesta A/B/Ambas/Ninguna",$A7="Verdadero o Falso Complejas",$A7="Selección de la mejor respuesta",$A7="Subítem de caso o problema",$A7="Opción de Emparejamiento Ampliado"),TRIM($J7)=""),IF(COUNTIF($Q7:$U7,"?*")&gt;0,", ","")&amp;"dificultad","")</x:f>
      </x:c>
      <x:c r="W7" t="str">
        <x:f>IF(AND(OR($A7="Ítems agrupados por caso clínico o problema",$A7="Emparejamiento Ampliado"),TRIM($I7)&lt;&gt;""),IF(COUNTIF($Q7:$V7,"?*")&gt;0,", ","")&amp;"respuesta debe ir vacia","")</x:f>
      </x:c>
      <x:c r="X7" t="str">
        <x:f>IF(AND(OR($A7="Ítems agrupados por caso clínico o problema",$A7="Emparejamiento Ampliado"),TRIM($J7)&lt;&gt;""),IF(COUNTIF($Q7:$W7,"?*")&gt;0,", ","")&amp;"dificultad debe ir vacia","")</x:f>
      </x:c>
      <x:c r="Y7" t="str">
        <x:f>IF(AND($A7="Verdadero o Falso Simple",OR(COUNTIF($D7:$E7,"?*")&lt;2,COUNTIF($F7:$H7,"?*")&gt;0)),IF(COUNTIF($Q7:$X7,"?*")&gt;0,", ","")&amp;"incisos A-B","")</x:f>
      </x:c>
      <x:c r="Z7" t="str">
        <x:f>IF(AND($A7="Verdadero o Falso Simple",TRIM($I7)&lt;&gt;"",NOT(OR(LEFT(TRIM($I7),1)="A",LEFT(TRIM($I7),1)="B"))),IF(COUNTIF($Q7:$Y7,"?*")&gt;0,", ","")&amp;"respuesta A-B","")</x:f>
      </x:c>
      <x:c r="AA7" t="str">
        <x:f>IF(AND($A7="Respuesta A/B/Ambas/Ninguna",COUNTIF($D7:$G7,"?*")&lt;4),IF(COUNTIF($Q7:$Z7,"?*")&gt;0,", ","")&amp;"opciones A-D","")</x:f>
      </x:c>
      <x:c r="AB7" t="str">
        <x:f>IF(AND($A7="Respuesta A/B/Ambas/Ninguna",COUNTIF($H7:$H7,"?*")&gt;0),IF(COUNTIF($Q7:$AA7,"?*")&gt;0,", ","")&amp;"opcion E deshabilitada","")</x:f>
      </x:c>
      <x:c r="AC7" t="str">
        <x:f>IF(AND($A7="Respuesta A/B/Ambas/Ninguna",TRIM($I7)&lt;&gt;"",NOT(OR(LEFT(TRIM($I7),1)="A",LEFT(TRIM($I7),1)="B",LEFT(TRIM($I7),1)="C",LEFT(TRIM($I7),1)="D"))),IF(COUNTIF($Q7:$AB7,"?*")&gt;0,", ","")&amp;"respuesta A-D","")</x:f>
      </x:c>
      <x:c r="AD7" t="str">
        <x:f>IF(AND($A7="Verdadero o Falso Complejas",OR(LEN(TRIM(SUBSTITUTE($D7,"1.","")))=0,LEN(TRIM(SUBSTITUTE($E7,"2.","")))=0,LEN(TRIM(SUBSTITUTE($F7,"3.","")))=0,LEN(TRIM(SUBSTITUTE($G7,"4.","")))=0)),IF(COUNTIF($Q7:$AC7,"?*")&gt;0,", ","")&amp;"incisos 1-4","")</x:f>
      </x:c>
      <x:c r="AE7" t="str">
        <x:f>IF(AND($A7="Verdadero o Falso Complejas",COUNTIF($H7:$H7,"?*")&gt;0),IF(COUNTIF($Q7:$AD7,"?*")&gt;0,", ","")&amp;"opcion E deshabilitada","")</x:f>
      </x:c>
      <x:c r="AF7" t="str">
        <x:f>IF(AND($A7="Verdadero o Falso Complejas",TRIM($I7)&lt;&gt;"",NOT(OR(LEFT(TRIM($I7),1)="A",LEFT(TRIM($I7),1)="B",LEFT(TRIM($I7),1)="C",LEFT(TRIM($I7),1)="D",LEFT(TRIM($I7),1)="E"))),IF(COUNTIF($Q7:$AE7,"?*")&gt;0,", ","")&amp;"respuesta A-E","")</x:f>
      </x:c>
      <x:c r="AG7" t="str">
        <x:f>IF(AND(OR($A7="Selección de la mejor respuesta",$A7="Subítem de caso o problema"),COUNTIF($D7:$H7,"?*")&lt;5),IF(COUNTIF($Q7:$AF7,"?*")&gt;0,", ","")&amp;"incisos A-E","")</x:f>
      </x:c>
      <x:c r="AH7" t="str">
        <x:f>IF(AND(OR($A7="Selección de la mejor respuesta",$A7="Subítem de caso o problema"),TRIM($I7)&lt;&gt;"",NOT(OR(LEFT(TRIM($I7),1)="A",LEFT(TRIM($I7),1)="B",LEFT(TRIM($I7),1)="C",LEFT(TRIM($I7),1)="D",LEFT(TRIM($I7),1)="E"))),IF(COUNTIF($Q7:$AG7,"?*")&gt;0,", ","")&amp;"respuesta A-E","")</x:f>
      </x:c>
      <x:c r="AI7" t="str">
        <x:f>IF(AND(OR($A7="Ítems agrupados por caso clínico o problema",$A7="Opción de Emparejamiento Ampliado"),COUNTIF($D7:$H7,"?*")&gt;0),IF(COUNTIF($Q7:$AH7,"?*")&gt;0,", ","")&amp;"sin incisos","")</x:f>
      </x:c>
      <x:c r="AJ7" t="str">
        <x:f>IF(AND($A7="Emparejamiento Ampliado",COUNTIF($D7:$H7,"?*")&lt;2),IF(COUNTIF($Q7:$AI7,"?*")&gt;0,", ","")&amp;"minimo 2 claves","")</x:f>
      </x:c>
      <x:c r="AK7" t="str">
        <x:f>IF(AND($A7="Opción de Emparejamiento Ampliado",NOT(OR(LEFT(TRIM($I7),1)="A",LEFT(TRIM($I7),1)="B",LEFT(TRIM($I7),1)="C",LEFT(TRIM($I7),1)="D",LEFT(TRIM($I7),1)="E"))),IF(COUNTIF($Q7:$AJ7,"?*")&gt;0,", ","")&amp;"respuesta A-E","")</x:f>
      </x:c>
      <x:c r="AL7" t="str">
        <x:f>IF(TRIM($K7)="",IF(COUNTIF($M7:$M7,"?*")&gt;0,", ","")&amp;"parcial","")</x:f>
      </x:c>
      <x:c r="AM7" t="str">
        <x:f>IF(AND(TRIM($K7)&lt;&gt;"",TRIM($K7)&lt;&gt;"1P"),IF(COUNTIF($M7:$N7,"?*")&gt;0,", ","")&amp;"parcial distinto a 1P","")</x:f>
      </x:c>
      <x:c r="AN7" t="str">
        <x:f>IF(AND(OR($A7="Ítems agrupados por caso clínico o problema",$A7="Subítem de caso o problema",$A7="Emparejamiento Ampliado",$A7="Opción de Emparejamiento Ampliado"),TRIM($B7)=""),IF(COUNTIF($M7:$O7,"?*")&gt;0,", ","")&amp;"grupo","")</x:f>
      </x:c>
    </x:row>
    <x:row r="8" ht="24" customHeight="1">
      <x:c r="A8" s="290"/>
      <x:c r="B8" s="290"/>
      <x:c r="C8" s="290"/>
      <x:c r="D8" s="290" t="str">
        <x:f>IF($A8="Verdadero o Falso Simple","Verdadero",IF($A8="Respuesta A/B/Ambas/Ninguna","A. Si la primera es verdadera",IF($A8="Verdadero o Falso Complejas","1. ","")))</x:f>
      </x:c>
      <x:c r="E8" s="290" t="str">
        <x:f>IF($A8="Verdadero o Falso Simple","Falso",IF($A8="Respuesta A/B/Ambas/Ninguna","B. Si la segunda es verdadera",IF($A8="Verdadero o Falso Complejas","2. ","")))</x:f>
      </x:c>
      <x:c r="F8" s="290" t="str">
        <x:f>IF($A8="Respuesta A/B/Ambas/Ninguna","C. Si ambas son verdaderas",IF($A8="Verdadero o Falso Complejas","3. ",""))</x:f>
      </x:c>
      <x:c r="G8" s="290" t="str">
        <x:f>IF($A8="Respuesta A/B/Ambas/Ninguna","D. Si ninguna es verdadera",IF($A8="Verdadero o Falso Complejas","4. ",""))</x:f>
      </x:c>
      <x:c r="H8" s="290" t="str">
        <x:f>IF($A8="Verdadero o Falso Simple","",IF($A8="Respuesta A/B/Ambas/Ninguna","",IF($A8="Verdadero o Falso Complejas","","")))</x:f>
      </x:c>
      <x:c r="I8" s="290"/>
      <x:c r="J8" s="290" t="n">
        <x:v>1</x:v>
      </x:c>
      <x:c r="K8" s="290" t="str">
        <x:v>1P</x:v>
      </x:c>
      <x:c r="L8" s="291"/>
      <x:c r="M8" s="289"/>
      <x:c r="N8"/>
      <x:c r="O8"/>
      <x:c r="P8"/>
      <x:c r="Q8" t="str">
        <x:f>IF(TRIM($C8)="","enunciado","")</x:f>
        <x:v>enunciado</x:v>
      </x:c>
      <x:c r="R8" t="str">
        <x:f>IF(TRIM($K8)="",IF(COUNTIF($Q8:$Q8,"?*")&gt;0,", ","")&amp;"parcial","")</x:f>
      </x:c>
      <x:c r="S8" t="str">
        <x:f>IF(AND(TRIM($K8)&lt;&gt;"",TRIM($K8)&lt;&gt;"1P"),IF(COUNTIF($Q8:$R8,"?*")&gt;0,", ","")&amp;"parcial distinto a 1P","")</x:f>
      </x:c>
      <x:c r="T8" t="str">
        <x:f>IF(AND(OR($A8="Ítems agrupados por caso clínico o problema",$A8="Subítem de caso o problema",$A8="Emparejamiento Ampliado",$A8="Opción de Emparejamiento Ampliado"),TRIM($B8)=""),IF(COUNTIF($Q8:$S8,"?*")&gt;0,", ","")&amp;"grupo","")</x:f>
      </x:c>
      <x:c r="U8" t="str">
        <x:f>IF(AND(OR($A8="Verdadero o Falso Simple",$A8="Respuesta A/B/Ambas/Ninguna",$A8="Verdadero o Falso Complejas",$A8="Selección de la mejor respuesta",$A8="Subítem de caso o problema",$A8="Opción de Emparejamiento Ampliado"),TRIM($I8)=""),IF(COUNTIF($Q8:$T8,"?*")&gt;0,", ","")&amp;"respuesta_correcta","")</x:f>
      </x:c>
      <x:c r="V8" t="str">
        <x:f>IF(AND(OR($A8="Verdadero o Falso Simple",$A8="Respuesta A/B/Ambas/Ninguna",$A8="Verdadero o Falso Complejas",$A8="Selección de la mejor respuesta",$A8="Subítem de caso o problema",$A8="Opción de Emparejamiento Ampliado"),TRIM($J8)=""),IF(COUNTIF($Q8:$U8,"?*")&gt;0,", ","")&amp;"dificultad","")</x:f>
      </x:c>
      <x:c r="W8" t="str">
        <x:f>IF(AND(OR($A8="Ítems agrupados por caso clínico o problema",$A8="Emparejamiento Ampliado"),TRIM($I8)&lt;&gt;""),IF(COUNTIF($Q8:$V8,"?*")&gt;0,", ","")&amp;"respuesta debe ir vacia","")</x:f>
      </x:c>
      <x:c r="X8" t="str">
        <x:f>IF(AND(OR($A8="Ítems agrupados por caso clínico o problema",$A8="Emparejamiento Ampliado"),TRIM($J8)&lt;&gt;""),IF(COUNTIF($Q8:$W8,"?*")&gt;0,", ","")&amp;"dificultad debe ir vacia","")</x:f>
      </x:c>
      <x:c r="Y8" t="str">
        <x:f>IF(AND($A8="Verdadero o Falso Simple",OR(COUNTIF($D8:$E8,"?*")&lt;2,COUNTIF($F8:$H8,"?*")&gt;0)),IF(COUNTIF($Q8:$X8,"?*")&gt;0,", ","")&amp;"incisos A-B","")</x:f>
      </x:c>
      <x:c r="Z8" t="str">
        <x:f>IF(AND($A8="Verdadero o Falso Simple",TRIM($I8)&lt;&gt;"",NOT(OR(LEFT(TRIM($I8),1)="A",LEFT(TRIM($I8),1)="B"))),IF(COUNTIF($Q8:$Y8,"?*")&gt;0,", ","")&amp;"respuesta A-B","")</x:f>
      </x:c>
      <x:c r="AA8" t="str">
        <x:f>IF(AND($A8="Respuesta A/B/Ambas/Ninguna",COUNTIF($D8:$G8,"?*")&lt;4),IF(COUNTIF($Q8:$Z8,"?*")&gt;0,", ","")&amp;"opciones A-D","")</x:f>
      </x:c>
      <x:c r="AB8" t="str">
        <x:f>IF(AND($A8="Respuesta A/B/Ambas/Ninguna",COUNTIF($H8:$H8,"?*")&gt;0),IF(COUNTIF($Q8:$AA8,"?*")&gt;0,", ","")&amp;"opcion E deshabilitada","")</x:f>
      </x:c>
      <x:c r="AC8" t="str">
        <x:f>IF(AND($A8="Respuesta A/B/Ambas/Ninguna",TRIM($I8)&lt;&gt;"",NOT(OR(LEFT(TRIM($I8),1)="A",LEFT(TRIM($I8),1)="B",LEFT(TRIM($I8),1)="C",LEFT(TRIM($I8),1)="D"))),IF(COUNTIF($Q8:$AB8,"?*")&gt;0,", ","")&amp;"respuesta A-D","")</x:f>
      </x:c>
      <x:c r="AD8" t="str">
        <x:f>IF(AND($A8="Verdadero o Falso Complejas",OR(LEN(TRIM(SUBSTITUTE($D8,"1.","")))=0,LEN(TRIM(SUBSTITUTE($E8,"2.","")))=0,LEN(TRIM(SUBSTITUTE($F8,"3.","")))=0,LEN(TRIM(SUBSTITUTE($G8,"4.","")))=0)),IF(COUNTIF($Q8:$AC8,"?*")&gt;0,", ","")&amp;"incisos 1-4","")</x:f>
      </x:c>
      <x:c r="AE8" t="str">
        <x:f>IF(AND($A8="Verdadero o Falso Complejas",COUNTIF($H8:$H8,"?*")&gt;0),IF(COUNTIF($Q8:$AD8,"?*")&gt;0,", ","")&amp;"opcion E deshabilitada","")</x:f>
      </x:c>
      <x:c r="AF8" t="str">
        <x:f>IF(AND($A8="Verdadero o Falso Complejas",TRIM($I8)&lt;&gt;"",NOT(OR(LEFT(TRIM($I8),1)="A",LEFT(TRIM($I8),1)="B",LEFT(TRIM($I8),1)="C",LEFT(TRIM($I8),1)="D",LEFT(TRIM($I8),1)="E"))),IF(COUNTIF($Q8:$AE8,"?*")&gt;0,", ","")&amp;"respuesta A-E","")</x:f>
      </x:c>
      <x:c r="AG8" t="str">
        <x:f>IF(AND(OR($A8="Selección de la mejor respuesta",$A8="Subítem de caso o problema"),COUNTIF($D8:$H8,"?*")&lt;5),IF(COUNTIF($Q8:$AF8,"?*")&gt;0,", ","")&amp;"incisos A-E","")</x:f>
      </x:c>
      <x:c r="AH8" t="str">
        <x:f>IF(AND(OR($A8="Selección de la mejor respuesta",$A8="Subítem de caso o problema"),TRIM($I8)&lt;&gt;"",NOT(OR(LEFT(TRIM($I8),1)="A",LEFT(TRIM($I8),1)="B",LEFT(TRIM($I8),1)="C",LEFT(TRIM($I8),1)="D",LEFT(TRIM($I8),1)="E"))),IF(COUNTIF($Q8:$AG8,"?*")&gt;0,", ","")&amp;"respuesta A-E","")</x:f>
      </x:c>
      <x:c r="AI8" t="str">
        <x:f>IF(AND(OR($A8="Ítems agrupados por caso clínico o problema",$A8="Opción de Emparejamiento Ampliado"),COUNTIF($D8:$H8,"?*")&gt;0),IF(COUNTIF($Q8:$AH8,"?*")&gt;0,", ","")&amp;"sin incisos","")</x:f>
      </x:c>
      <x:c r="AJ8" t="str">
        <x:f>IF(AND($A8="Emparejamiento Ampliado",COUNTIF($D8:$H8,"?*")&lt;2),IF(COUNTIF($Q8:$AI8,"?*")&gt;0,", ","")&amp;"minimo 2 claves","")</x:f>
      </x:c>
      <x:c r="AK8" t="str">
        <x:f>IF(AND($A8="Opción de Emparejamiento Ampliado",NOT(OR(LEFT(TRIM($I8),1)="A",LEFT(TRIM($I8),1)="B",LEFT(TRIM($I8),1)="C",LEFT(TRIM($I8),1)="D",LEFT(TRIM($I8),1)="E"))),IF(COUNTIF($Q8:$AJ8,"?*")&gt;0,", ","")&amp;"respuesta A-E","")</x:f>
      </x:c>
      <x:c r="AL8" t="str">
        <x:f>IF(TRIM($K8)="",IF(COUNTIF($M8:$M8,"?*")&gt;0,", ","")&amp;"parcial","")</x:f>
      </x:c>
      <x:c r="AM8" t="str">
        <x:f>IF(AND(TRIM($K8)&lt;&gt;"",TRIM($K8)&lt;&gt;"1P"),IF(COUNTIF($M8:$N8,"?*")&gt;0,", ","")&amp;"parcial distinto a 1P","")</x:f>
      </x:c>
      <x:c r="AN8" t="str">
        <x:f>IF(AND(OR($A8="Ítems agrupados por caso clínico o problema",$A8="Subítem de caso o problema",$A8="Emparejamiento Ampliado",$A8="Opción de Emparejamiento Ampliado"),TRIM($B8)=""),IF(COUNTIF($M8:$O8,"?*")&gt;0,", ","")&amp;"grupo","")</x:f>
      </x:c>
    </x:row>
    <x:row r="9" ht="24" customHeight="1">
      <x:c r="A9" s="290"/>
      <x:c r="B9" s="290"/>
      <x:c r="C9" s="290"/>
      <x:c r="D9" s="290" t="str">
        <x:f>IF($A9="Verdadero o Falso Simple","Verdadero",IF($A9="Respuesta A/B/Ambas/Ninguna","A. Si la primera es verdadera",IF($A9="Verdadero o Falso Complejas","1. ","")))</x:f>
      </x:c>
      <x:c r="E9" s="290" t="str">
        <x:f>IF($A9="Verdadero o Falso Simple","Falso",IF($A9="Respuesta A/B/Ambas/Ninguna","B. Si la segunda es verdadera",IF($A9="Verdadero o Falso Complejas","2. ","")))</x:f>
      </x:c>
      <x:c r="F9" s="290" t="str">
        <x:f>IF($A9="Respuesta A/B/Ambas/Ninguna","C. Si ambas son verdaderas",IF($A9="Verdadero o Falso Complejas","3. ",""))</x:f>
      </x:c>
      <x:c r="G9" s="290" t="str">
        <x:f>IF($A9="Respuesta A/B/Ambas/Ninguna","D. Si ninguna es verdadera",IF($A9="Verdadero o Falso Complejas","4. ",""))</x:f>
      </x:c>
      <x:c r="H9" s="290" t="str">
        <x:f>IF($A9="Verdadero o Falso Simple","",IF($A9="Respuesta A/B/Ambas/Ninguna","",IF($A9="Verdadero o Falso Complejas","","")))</x:f>
      </x:c>
      <x:c r="I9" s="290"/>
      <x:c r="J9" s="290" t="n">
        <x:v>1</x:v>
      </x:c>
      <x:c r="K9" s="290" t="str">
        <x:v>1P</x:v>
      </x:c>
      <x:c r="L9" s="291"/>
      <x:c r="M9" s="289"/>
      <x:c r="N9"/>
      <x:c r="O9"/>
      <x:c r="P9"/>
      <x:c r="Q9" t="str">
        <x:f>IF(TRIM($C9)="","enunciado","")</x:f>
        <x:v>enunciado</x:v>
      </x:c>
      <x:c r="R9" t="str">
        <x:f>IF(TRIM($K9)="",IF(COUNTIF($Q9:$Q9,"?*")&gt;0,", ","")&amp;"parcial","")</x:f>
      </x:c>
      <x:c r="S9" t="str">
        <x:f>IF(AND(TRIM($K9)&lt;&gt;"",TRIM($K9)&lt;&gt;"1P"),IF(COUNTIF($Q9:$R9,"?*")&gt;0,", ","")&amp;"parcial distinto a 1P","")</x:f>
      </x:c>
      <x:c r="T9" t="str">
        <x:f>IF(AND(OR($A9="Ítems agrupados por caso clínico o problema",$A9="Subítem de caso o problema",$A9="Emparejamiento Ampliado",$A9="Opción de Emparejamiento Ampliado"),TRIM($B9)=""),IF(COUNTIF($Q9:$S9,"?*")&gt;0,", ","")&amp;"grupo","")</x:f>
      </x:c>
      <x:c r="U9" t="str">
        <x:f>IF(AND(OR($A9="Verdadero o Falso Simple",$A9="Respuesta A/B/Ambas/Ninguna",$A9="Verdadero o Falso Complejas",$A9="Selección de la mejor respuesta",$A9="Subítem de caso o problema",$A9="Opción de Emparejamiento Ampliado"),TRIM($I9)=""),IF(COUNTIF($Q9:$T9,"?*")&gt;0,", ","")&amp;"respuesta_correcta","")</x:f>
      </x:c>
      <x:c r="V9" t="str">
        <x:f>IF(AND(OR($A9="Verdadero o Falso Simple",$A9="Respuesta A/B/Ambas/Ninguna",$A9="Verdadero o Falso Complejas",$A9="Selección de la mejor respuesta",$A9="Subítem de caso o problema",$A9="Opción de Emparejamiento Ampliado"),TRIM($J9)=""),IF(COUNTIF($Q9:$U9,"?*")&gt;0,", ","")&amp;"dificultad","")</x:f>
      </x:c>
      <x:c r="W9" t="str">
        <x:f>IF(AND(OR($A9="Ítems agrupados por caso clínico o problema",$A9="Emparejamiento Ampliado"),TRIM($I9)&lt;&gt;""),IF(COUNTIF($Q9:$V9,"?*")&gt;0,", ","")&amp;"respuesta debe ir vacia","")</x:f>
      </x:c>
      <x:c r="X9" t="str">
        <x:f>IF(AND(OR($A9="Ítems agrupados por caso clínico o problema",$A9="Emparejamiento Ampliado"),TRIM($J9)&lt;&gt;""),IF(COUNTIF($Q9:$W9,"?*")&gt;0,", ","")&amp;"dificultad debe ir vacia","")</x:f>
      </x:c>
      <x:c r="Y9" t="str">
        <x:f>IF(AND($A9="Verdadero o Falso Simple",OR(COUNTIF($D9:$E9,"?*")&lt;2,COUNTIF($F9:$H9,"?*")&gt;0)),IF(COUNTIF($Q9:$X9,"?*")&gt;0,", ","")&amp;"incisos A-B","")</x:f>
      </x:c>
      <x:c r="Z9" t="str">
        <x:f>IF(AND($A9="Verdadero o Falso Simple",TRIM($I9)&lt;&gt;"",NOT(OR(LEFT(TRIM($I9),1)="A",LEFT(TRIM($I9),1)="B"))),IF(COUNTIF($Q9:$Y9,"?*")&gt;0,", ","")&amp;"respuesta A-B","")</x:f>
      </x:c>
      <x:c r="AA9" t="str">
        <x:f>IF(AND($A9="Respuesta A/B/Ambas/Ninguna",COUNTIF($D9:$G9,"?*")&lt;4),IF(COUNTIF($Q9:$Z9,"?*")&gt;0,", ","")&amp;"opciones A-D","")</x:f>
      </x:c>
      <x:c r="AB9" t="str">
        <x:f>IF(AND($A9="Respuesta A/B/Ambas/Ninguna",COUNTIF($H9:$H9,"?*")&gt;0),IF(COUNTIF($Q9:$AA9,"?*")&gt;0,", ","")&amp;"opcion E deshabilitada","")</x:f>
      </x:c>
      <x:c r="AC9" t="str">
        <x:f>IF(AND($A9="Respuesta A/B/Ambas/Ninguna",TRIM($I9)&lt;&gt;"",NOT(OR(LEFT(TRIM($I9),1)="A",LEFT(TRIM($I9),1)="B",LEFT(TRIM($I9),1)="C",LEFT(TRIM($I9),1)="D"))),IF(COUNTIF($Q9:$AB9,"?*")&gt;0,", ","")&amp;"respuesta A-D","")</x:f>
      </x:c>
      <x:c r="AD9" t="str">
        <x:f>IF(AND($A9="Verdadero o Falso Complejas",OR(LEN(TRIM(SUBSTITUTE($D9,"1.","")))=0,LEN(TRIM(SUBSTITUTE($E9,"2.","")))=0,LEN(TRIM(SUBSTITUTE($F9,"3.","")))=0,LEN(TRIM(SUBSTITUTE($G9,"4.","")))=0)),IF(COUNTIF($Q9:$AC9,"?*")&gt;0,", ","")&amp;"incisos 1-4","")</x:f>
      </x:c>
      <x:c r="AE9" t="str">
        <x:f>IF(AND($A9="Verdadero o Falso Complejas",COUNTIF($H9:$H9,"?*")&gt;0),IF(COUNTIF($Q9:$AD9,"?*")&gt;0,", ","")&amp;"opcion E deshabilitada","")</x:f>
      </x:c>
      <x:c r="AF9" t="str">
        <x:f>IF(AND($A9="Verdadero o Falso Complejas",TRIM($I9)&lt;&gt;"",NOT(OR(LEFT(TRIM($I9),1)="A",LEFT(TRIM($I9),1)="B",LEFT(TRIM($I9),1)="C",LEFT(TRIM($I9),1)="D",LEFT(TRIM($I9),1)="E"))),IF(COUNTIF($Q9:$AE9,"?*")&gt;0,", ","")&amp;"respuesta A-E","")</x:f>
      </x:c>
      <x:c r="AG9" t="str">
        <x:f>IF(AND(OR($A9="Selección de la mejor respuesta",$A9="Subítem de caso o problema"),COUNTIF($D9:$H9,"?*")&lt;5),IF(COUNTIF($Q9:$AF9,"?*")&gt;0,", ","")&amp;"incisos A-E","")</x:f>
      </x:c>
      <x:c r="AH9" t="str">
        <x:f>IF(AND(OR($A9="Selección de la mejor respuesta",$A9="Subítem de caso o problema"),TRIM($I9)&lt;&gt;"",NOT(OR(LEFT(TRIM($I9),1)="A",LEFT(TRIM($I9),1)="B",LEFT(TRIM($I9),1)="C",LEFT(TRIM($I9),1)="D",LEFT(TRIM($I9),1)="E"))),IF(COUNTIF($Q9:$AG9,"?*")&gt;0,", ","")&amp;"respuesta A-E","")</x:f>
      </x:c>
      <x:c r="AI9" t="str">
        <x:f>IF(AND(OR($A9="Ítems agrupados por caso clínico o problema",$A9="Opción de Emparejamiento Ampliado"),COUNTIF($D9:$H9,"?*")&gt;0),IF(COUNTIF($Q9:$AH9,"?*")&gt;0,", ","")&amp;"sin incisos","")</x:f>
      </x:c>
      <x:c r="AJ9" t="str">
        <x:f>IF(AND($A9="Emparejamiento Ampliado",COUNTIF($D9:$H9,"?*")&lt;2),IF(COUNTIF($Q9:$AI9,"?*")&gt;0,", ","")&amp;"minimo 2 claves","")</x:f>
      </x:c>
      <x:c r="AK9" t="str">
        <x:f>IF(AND($A9="Opción de Emparejamiento Ampliado",NOT(OR(LEFT(TRIM($I9),1)="A",LEFT(TRIM($I9),1)="B",LEFT(TRIM($I9),1)="C",LEFT(TRIM($I9),1)="D",LEFT(TRIM($I9),1)="E"))),IF(COUNTIF($Q9:$AJ9,"?*")&gt;0,", ","")&amp;"respuesta A-E","")</x:f>
      </x:c>
      <x:c r="AL9" t="str">
        <x:f>IF(TRIM($K9)="",IF(COUNTIF($M9:$M9,"?*")&gt;0,", ","")&amp;"parcial","")</x:f>
      </x:c>
      <x:c r="AM9" t="str">
        <x:f>IF(AND(TRIM($K9)&lt;&gt;"",TRIM($K9)&lt;&gt;"1P"),IF(COUNTIF($M9:$N9,"?*")&gt;0,", ","")&amp;"parcial distinto a 1P","")</x:f>
      </x:c>
      <x:c r="AN9" t="str">
        <x:f>IF(AND(OR($A9="Ítems agrupados por caso clínico o problema",$A9="Subítem de caso o problema",$A9="Emparejamiento Ampliado",$A9="Opción de Emparejamiento Ampliado"),TRIM($B9)=""),IF(COUNTIF($M9:$O9,"?*")&gt;0,", ","")&amp;"grupo","")</x:f>
      </x:c>
    </x:row>
    <x:row r="10" ht="24" customHeight="1">
      <x:c r="A10" s="290"/>
      <x:c r="B10" s="290"/>
      <x:c r="C10" s="290"/>
      <x:c r="D10" s="290" t="str">
        <x:f>IF($A10="Verdadero o Falso Simple","Verdadero",IF($A10="Respuesta A/B/Ambas/Ninguna","A. Si la primera es verdadera",IF($A10="Verdadero o Falso Complejas","1. ","")))</x:f>
      </x:c>
      <x:c r="E10" s="290" t="str">
        <x:f>IF($A10="Verdadero o Falso Simple","Falso",IF($A10="Respuesta A/B/Ambas/Ninguna","B. Si la segunda es verdadera",IF($A10="Verdadero o Falso Complejas","2. ","")))</x:f>
      </x:c>
      <x:c r="F10" s="290" t="str">
        <x:f>IF($A10="Respuesta A/B/Ambas/Ninguna","C. Si ambas son verdaderas",IF($A10="Verdadero o Falso Complejas","3. ",""))</x:f>
      </x:c>
      <x:c r="G10" s="290" t="str">
        <x:f>IF($A10="Respuesta A/B/Ambas/Ninguna","D. Si ninguna es verdadera",IF($A10="Verdadero o Falso Complejas","4. ",""))</x:f>
      </x:c>
      <x:c r="H10" s="290" t="str">
        <x:f>IF($A10="Verdadero o Falso Simple","",IF($A10="Respuesta A/B/Ambas/Ninguna","",IF($A10="Verdadero o Falso Complejas","","")))</x:f>
      </x:c>
      <x:c r="I10" s="290"/>
      <x:c r="J10" s="290" t="n">
        <x:v>1</x:v>
      </x:c>
      <x:c r="K10" s="290" t="str">
        <x:v>1P</x:v>
      </x:c>
      <x:c r="L10" s="291"/>
      <x:c r="M10" s="289"/>
      <x:c r="N10"/>
      <x:c r="O10"/>
      <x:c r="P10"/>
      <x:c r="Q10" t="str">
        <x:f>IF(TRIM($C10)="","enunciado","")</x:f>
        <x:v>enunciado</x:v>
      </x:c>
      <x:c r="R10" t="str">
        <x:f>IF(TRIM($K10)="",IF(COUNTIF($Q10:$Q10,"?*")&gt;0,", ","")&amp;"parcial","")</x:f>
      </x:c>
      <x:c r="S10" t="str">
        <x:f>IF(AND(TRIM($K10)&lt;&gt;"",TRIM($K10)&lt;&gt;"1P"),IF(COUNTIF($Q10:$R10,"?*")&gt;0,", ","")&amp;"parcial distinto a 1P","")</x:f>
      </x:c>
      <x:c r="T10" t="str">
        <x:f>IF(AND(OR($A10="Ítems agrupados por caso clínico o problema",$A10="Subítem de caso o problema",$A10="Emparejamiento Ampliado",$A10="Opción de Emparejamiento Ampliado"),TRIM($B10)=""),IF(COUNTIF($Q10:$S10,"?*")&gt;0,", ","")&amp;"grupo","")</x:f>
      </x:c>
      <x:c r="U10" t="str">
        <x:f>IF(AND(OR($A10="Verdadero o Falso Simple",$A10="Respuesta A/B/Ambas/Ninguna",$A10="Verdadero o Falso Complejas",$A10="Selección de la mejor respuesta",$A10="Subítem de caso o problema",$A10="Opción de Emparejamiento Ampliado"),TRIM($I10)=""),IF(COUNTIF($Q10:$T10,"?*")&gt;0,", ","")&amp;"respuesta_correcta","")</x:f>
      </x:c>
      <x:c r="V10" t="str">
        <x:f>IF(AND(OR($A10="Verdadero o Falso Simple",$A10="Respuesta A/B/Ambas/Ninguna",$A10="Verdadero o Falso Complejas",$A10="Selección de la mejor respuesta",$A10="Subítem de caso o problema",$A10="Opción de Emparejamiento Ampliado"),TRIM($J10)=""),IF(COUNTIF($Q10:$U10,"?*")&gt;0,", ","")&amp;"dificultad","")</x:f>
      </x:c>
      <x:c r="W10" t="str">
        <x:f>IF(AND(OR($A10="Ítems agrupados por caso clínico o problema",$A10="Emparejamiento Ampliado"),TRIM($I10)&lt;&gt;""),IF(COUNTIF($Q10:$V10,"?*")&gt;0,", ","")&amp;"respuesta debe ir vacia","")</x:f>
      </x:c>
      <x:c r="X10" t="str">
        <x:f>IF(AND(OR($A10="Ítems agrupados por caso clínico o problema",$A10="Emparejamiento Ampliado"),TRIM($J10)&lt;&gt;""),IF(COUNTIF($Q10:$W10,"?*")&gt;0,", ","")&amp;"dificultad debe ir vacia","")</x:f>
      </x:c>
      <x:c r="Y10" t="str">
        <x:f>IF(AND($A10="Verdadero o Falso Simple",OR(COUNTIF($D10:$E10,"?*")&lt;2,COUNTIF($F10:$H10,"?*")&gt;0)),IF(COUNTIF($Q10:$X10,"?*")&gt;0,", ","")&amp;"incisos A-B","")</x:f>
      </x:c>
      <x:c r="Z10" t="str">
        <x:f>IF(AND($A10="Verdadero o Falso Simple",TRIM($I10)&lt;&gt;"",NOT(OR(LEFT(TRIM($I10),1)="A",LEFT(TRIM($I10),1)="B"))),IF(COUNTIF($Q10:$Y10,"?*")&gt;0,", ","")&amp;"respuesta A-B","")</x:f>
      </x:c>
      <x:c r="AA10" t="str">
        <x:f>IF(AND($A10="Respuesta A/B/Ambas/Ninguna",COUNTIF($D10:$G10,"?*")&lt;4),IF(COUNTIF($Q10:$Z10,"?*")&gt;0,", ","")&amp;"opciones A-D","")</x:f>
      </x:c>
      <x:c r="AB10" t="str">
        <x:f>IF(AND($A10="Respuesta A/B/Ambas/Ninguna",COUNTIF($H10:$H10,"?*")&gt;0),IF(COUNTIF($Q10:$AA10,"?*")&gt;0,", ","")&amp;"opcion E deshabilitada","")</x:f>
      </x:c>
      <x:c r="AC10" t="str">
        <x:f>IF(AND($A10="Respuesta A/B/Ambas/Ninguna",TRIM($I10)&lt;&gt;"",NOT(OR(LEFT(TRIM($I10),1)="A",LEFT(TRIM($I10),1)="B",LEFT(TRIM($I10),1)="C",LEFT(TRIM($I10),1)="D"))),IF(COUNTIF($Q10:$AB10,"?*")&gt;0,", ","")&amp;"respuesta A-D","")</x:f>
      </x:c>
      <x:c r="AD10" t="str">
        <x:f>IF(AND($A10="Verdadero o Falso Complejas",OR(LEN(TRIM(SUBSTITUTE($D10,"1.","")))=0,LEN(TRIM(SUBSTITUTE($E10,"2.","")))=0,LEN(TRIM(SUBSTITUTE($F10,"3.","")))=0,LEN(TRIM(SUBSTITUTE($G10,"4.","")))=0)),IF(COUNTIF($Q10:$AC10,"?*")&gt;0,", ","")&amp;"incisos 1-4","")</x:f>
      </x:c>
      <x:c r="AE10" t="str">
        <x:f>IF(AND($A10="Verdadero o Falso Complejas",COUNTIF($H10:$H10,"?*")&gt;0),IF(COUNTIF($Q10:$AD10,"?*")&gt;0,", ","")&amp;"opcion E deshabilitada","")</x:f>
      </x:c>
      <x:c r="AF10" t="str">
        <x:f>IF(AND($A10="Verdadero o Falso Complejas",TRIM($I10)&lt;&gt;"",NOT(OR(LEFT(TRIM($I10),1)="A",LEFT(TRIM($I10),1)="B",LEFT(TRIM($I10),1)="C",LEFT(TRIM($I10),1)="D",LEFT(TRIM($I10),1)="E"))),IF(COUNTIF($Q10:$AE10,"?*")&gt;0,", ","")&amp;"respuesta A-E","")</x:f>
      </x:c>
      <x:c r="AG10" t="str">
        <x:f>IF(AND(OR($A10="Selección de la mejor respuesta",$A10="Subítem de caso o problema"),COUNTIF($D10:$H10,"?*")&lt;5),IF(COUNTIF($Q10:$AF10,"?*")&gt;0,", ","")&amp;"incisos A-E","")</x:f>
      </x:c>
      <x:c r="AH10" t="str">
        <x:f>IF(AND(OR($A10="Selección de la mejor respuesta",$A10="Subítem de caso o problema"),TRIM($I10)&lt;&gt;"",NOT(OR(LEFT(TRIM($I10),1)="A",LEFT(TRIM($I10),1)="B",LEFT(TRIM($I10),1)="C",LEFT(TRIM($I10),1)="D",LEFT(TRIM($I10),1)="E"))),IF(COUNTIF($Q10:$AG10,"?*")&gt;0,", ","")&amp;"respuesta A-E","")</x:f>
      </x:c>
      <x:c r="AI10" t="str">
        <x:f>IF(AND(OR($A10="Ítems agrupados por caso clínico o problema",$A10="Opción de Emparejamiento Ampliado"),COUNTIF($D10:$H10,"?*")&gt;0),IF(COUNTIF($Q10:$AH10,"?*")&gt;0,", ","")&amp;"sin incisos","")</x:f>
      </x:c>
      <x:c r="AJ10" t="str">
        <x:f>IF(AND($A10="Emparejamiento Ampliado",COUNTIF($D10:$H10,"?*")&lt;2),IF(COUNTIF($Q10:$AI10,"?*")&gt;0,", ","")&amp;"minimo 2 claves","")</x:f>
      </x:c>
      <x:c r="AK10" t="str">
        <x:f>IF(AND($A10="Opción de Emparejamiento Ampliado",NOT(OR(LEFT(TRIM($I10),1)="A",LEFT(TRIM($I10),1)="B",LEFT(TRIM($I10),1)="C",LEFT(TRIM($I10),1)="D",LEFT(TRIM($I10),1)="E"))),IF(COUNTIF($Q10:$AJ10,"?*")&gt;0,", ","")&amp;"respuesta A-E","")</x:f>
      </x:c>
      <x:c r="AL10" t="str">
        <x:f>IF(TRIM($K10)="",IF(COUNTIF($M10:$M10,"?*")&gt;0,", ","")&amp;"parcial","")</x:f>
      </x:c>
      <x:c r="AM10" t="str">
        <x:f>IF(AND(TRIM($K10)&lt;&gt;"",TRIM($K10)&lt;&gt;"1P"),IF(COUNTIF($M10:$N10,"?*")&gt;0,", ","")&amp;"parcial distinto a 1P","")</x:f>
      </x:c>
      <x:c r="AN10" t="str">
        <x:f>IF(AND(OR($A10="Ítems agrupados por caso clínico o problema",$A10="Subítem de caso o problema",$A10="Emparejamiento Ampliado",$A10="Opción de Emparejamiento Ampliado"),TRIM($B10)=""),IF(COUNTIF($M10:$O10,"?*")&gt;0,", ","")&amp;"grupo","")</x:f>
      </x:c>
    </x:row>
    <x:row r="11" ht="24" customHeight="1">
      <x:c r="A11" s="290"/>
      <x:c r="B11" s="290"/>
      <x:c r="C11" s="290"/>
      <x:c r="D11" s="290" t="str">
        <x:f>IF($A11="Verdadero o Falso Simple","Verdadero",IF($A11="Respuesta A/B/Ambas/Ninguna","A. Si la primera es verdadera",IF($A11="Verdadero o Falso Complejas","1. ","")))</x:f>
      </x:c>
      <x:c r="E11" s="290" t="str">
        <x:f>IF($A11="Verdadero o Falso Simple","Falso",IF($A11="Respuesta A/B/Ambas/Ninguna","B. Si la segunda es verdadera",IF($A11="Verdadero o Falso Complejas","2. ","")))</x:f>
      </x:c>
      <x:c r="F11" s="290" t="str">
        <x:f>IF($A11="Respuesta A/B/Ambas/Ninguna","C. Si ambas son verdaderas",IF($A11="Verdadero o Falso Complejas","3. ",""))</x:f>
      </x:c>
      <x:c r="G11" s="290" t="str">
        <x:f>IF($A11="Respuesta A/B/Ambas/Ninguna","D. Si ninguna es verdadera",IF($A11="Verdadero o Falso Complejas","4. ",""))</x:f>
      </x:c>
      <x:c r="H11" s="290" t="str">
        <x:f>IF($A11="Verdadero o Falso Simple","",IF($A11="Respuesta A/B/Ambas/Ninguna","",IF($A11="Verdadero o Falso Complejas","","")))</x:f>
      </x:c>
      <x:c r="I11" s="290"/>
      <x:c r="J11" s="290" t="n">
        <x:v>1</x:v>
      </x:c>
      <x:c r="K11" s="290" t="str">
        <x:v>1P</x:v>
      </x:c>
      <x:c r="L11" s="291"/>
      <x:c r="M11" s="289"/>
      <x:c r="N11"/>
      <x:c r="O11"/>
      <x:c r="P11"/>
      <x:c r="Q11" t="str">
        <x:f>IF(TRIM($C11)="","enunciado","")</x:f>
        <x:v>enunciado</x:v>
      </x:c>
      <x:c r="R11" t="str">
        <x:f>IF(TRIM($K11)="",IF(COUNTIF($Q11:$Q11,"?*")&gt;0,", ","")&amp;"parcial","")</x:f>
      </x:c>
      <x:c r="S11" t="str">
        <x:f>IF(AND(TRIM($K11)&lt;&gt;"",TRIM($K11)&lt;&gt;"1P"),IF(COUNTIF($Q11:$R11,"?*")&gt;0,", ","")&amp;"parcial distinto a 1P","")</x:f>
      </x:c>
      <x:c r="T11" t="str">
        <x:f>IF(AND(OR($A11="Ítems agrupados por caso clínico o problema",$A11="Subítem de caso o problema",$A11="Emparejamiento Ampliado",$A11="Opción de Emparejamiento Ampliado"),TRIM($B11)=""),IF(COUNTIF($Q11:$S11,"?*")&gt;0,", ","")&amp;"grupo","")</x:f>
      </x:c>
      <x:c r="U11" t="str">
        <x:f>IF(AND(OR($A11="Verdadero o Falso Simple",$A11="Respuesta A/B/Ambas/Ninguna",$A11="Verdadero o Falso Complejas",$A11="Selección de la mejor respuesta",$A11="Subítem de caso o problema",$A11="Opción de Emparejamiento Ampliado"),TRIM($I11)=""),IF(COUNTIF($Q11:$T11,"?*")&gt;0,", ","")&amp;"respuesta_correcta","")</x:f>
      </x:c>
      <x:c r="V11" t="str">
        <x:f>IF(AND(OR($A11="Verdadero o Falso Simple",$A11="Respuesta A/B/Ambas/Ninguna",$A11="Verdadero o Falso Complejas",$A11="Selección de la mejor respuesta",$A11="Subítem de caso o problema",$A11="Opción de Emparejamiento Ampliado"),TRIM($J11)=""),IF(COUNTIF($Q11:$U11,"?*")&gt;0,", ","")&amp;"dificultad","")</x:f>
      </x:c>
      <x:c r="W11" t="str">
        <x:f>IF(AND(OR($A11="Ítems agrupados por caso clínico o problema",$A11="Emparejamiento Ampliado"),TRIM($I11)&lt;&gt;""),IF(COUNTIF($Q11:$V11,"?*")&gt;0,", ","")&amp;"respuesta debe ir vacia","")</x:f>
      </x:c>
      <x:c r="X11" t="str">
        <x:f>IF(AND(OR($A11="Ítems agrupados por caso clínico o problema",$A11="Emparejamiento Ampliado"),TRIM($J11)&lt;&gt;""),IF(COUNTIF($Q11:$W11,"?*")&gt;0,", ","")&amp;"dificultad debe ir vacia","")</x:f>
      </x:c>
      <x:c r="Y11" t="str">
        <x:f>IF(AND($A11="Verdadero o Falso Simple",OR(COUNTIF($D11:$E11,"?*")&lt;2,COUNTIF($F11:$H11,"?*")&gt;0)),IF(COUNTIF($Q11:$X11,"?*")&gt;0,", ","")&amp;"incisos A-B","")</x:f>
      </x:c>
      <x:c r="Z11" t="str">
        <x:f>IF(AND($A11="Verdadero o Falso Simple",TRIM($I11)&lt;&gt;"",NOT(OR(LEFT(TRIM($I11),1)="A",LEFT(TRIM($I11),1)="B"))),IF(COUNTIF($Q11:$Y11,"?*")&gt;0,", ","")&amp;"respuesta A-B","")</x:f>
      </x:c>
      <x:c r="AA11" t="str">
        <x:f>IF(AND($A11="Respuesta A/B/Ambas/Ninguna",COUNTIF($D11:$G11,"?*")&lt;4),IF(COUNTIF($Q11:$Z11,"?*")&gt;0,", ","")&amp;"opciones A-D","")</x:f>
      </x:c>
      <x:c r="AB11" t="str">
        <x:f>IF(AND($A11="Respuesta A/B/Ambas/Ninguna",COUNTIF($H11:$H11,"?*")&gt;0),IF(COUNTIF($Q11:$AA11,"?*")&gt;0,", ","")&amp;"opcion E deshabilitada","")</x:f>
      </x:c>
      <x:c r="AC11" t="str">
        <x:f>IF(AND($A11="Respuesta A/B/Ambas/Ninguna",TRIM($I11)&lt;&gt;"",NOT(OR(LEFT(TRIM($I11),1)="A",LEFT(TRIM($I11),1)="B",LEFT(TRIM($I11),1)="C",LEFT(TRIM($I11),1)="D"))),IF(COUNTIF($Q11:$AB11,"?*")&gt;0,", ","")&amp;"respuesta A-D","")</x:f>
      </x:c>
      <x:c r="AD11" t="str">
        <x:f>IF(AND($A11="Verdadero o Falso Complejas",OR(LEN(TRIM(SUBSTITUTE($D11,"1.","")))=0,LEN(TRIM(SUBSTITUTE($E11,"2.","")))=0,LEN(TRIM(SUBSTITUTE($F11,"3.","")))=0,LEN(TRIM(SUBSTITUTE($G11,"4.","")))=0)),IF(COUNTIF($Q11:$AC11,"?*")&gt;0,", ","")&amp;"incisos 1-4","")</x:f>
      </x:c>
      <x:c r="AE11" t="str">
        <x:f>IF(AND($A11="Verdadero o Falso Complejas",COUNTIF($H11:$H11,"?*")&gt;0),IF(COUNTIF($Q11:$AD11,"?*")&gt;0,", ","")&amp;"opcion E deshabilitada","")</x:f>
      </x:c>
      <x:c r="AF11" t="str">
        <x:f>IF(AND($A11="Verdadero o Falso Complejas",TRIM($I11)&lt;&gt;"",NOT(OR(LEFT(TRIM($I11),1)="A",LEFT(TRIM($I11),1)="B",LEFT(TRIM($I11),1)="C",LEFT(TRIM($I11),1)="D",LEFT(TRIM($I11),1)="E"))),IF(COUNTIF($Q11:$AE11,"?*")&gt;0,", ","")&amp;"respuesta A-E","")</x:f>
      </x:c>
      <x:c r="AG11" t="str">
        <x:f>IF(AND(OR($A11="Selección de la mejor respuesta",$A11="Subítem de caso o problema"),COUNTIF($D11:$H11,"?*")&lt;5),IF(COUNTIF($Q11:$AF11,"?*")&gt;0,", ","")&amp;"incisos A-E","")</x:f>
      </x:c>
      <x:c r="AH11" t="str">
        <x:f>IF(AND(OR($A11="Selección de la mejor respuesta",$A11="Subítem de caso o problema"),TRIM($I11)&lt;&gt;"",NOT(OR(LEFT(TRIM($I11),1)="A",LEFT(TRIM($I11),1)="B",LEFT(TRIM($I11),1)="C",LEFT(TRIM($I11),1)="D",LEFT(TRIM($I11),1)="E"))),IF(COUNTIF($Q11:$AG11,"?*")&gt;0,", ","")&amp;"respuesta A-E","")</x:f>
      </x:c>
      <x:c r="AI11" t="str">
        <x:f>IF(AND(OR($A11="Ítems agrupados por caso clínico o problema",$A11="Opción de Emparejamiento Ampliado"),COUNTIF($D11:$H11,"?*")&gt;0),IF(COUNTIF($Q11:$AH11,"?*")&gt;0,", ","")&amp;"sin incisos","")</x:f>
      </x:c>
      <x:c r="AJ11" t="str">
        <x:f>IF(AND($A11="Emparejamiento Ampliado",COUNTIF($D11:$H11,"?*")&lt;2),IF(COUNTIF($Q11:$AI11,"?*")&gt;0,", ","")&amp;"minimo 2 claves","")</x:f>
      </x:c>
      <x:c r="AK11" t="str">
        <x:f>IF(AND($A11="Opción de Emparejamiento Ampliado",NOT(OR(LEFT(TRIM($I11),1)="A",LEFT(TRIM($I11),1)="B",LEFT(TRIM($I11),1)="C",LEFT(TRIM($I11),1)="D",LEFT(TRIM($I11),1)="E"))),IF(COUNTIF($Q11:$AJ11,"?*")&gt;0,", ","")&amp;"respuesta A-E","")</x:f>
      </x:c>
      <x:c r="AL11" t="str">
        <x:f>IF(TRIM($K11)="",IF(COUNTIF($M11:$M11,"?*")&gt;0,", ","")&amp;"parcial","")</x:f>
      </x:c>
      <x:c r="AM11" t="str">
        <x:f>IF(AND(TRIM($K11)&lt;&gt;"",TRIM($K11)&lt;&gt;"1P"),IF(COUNTIF($M11:$N11,"?*")&gt;0,", ","")&amp;"parcial distinto a 1P","")</x:f>
      </x:c>
      <x:c r="AN11" t="str">
        <x:f>IF(AND(OR($A11="Ítems agrupados por caso clínico o problema",$A11="Subítem de caso o problema",$A11="Emparejamiento Ampliado",$A11="Opción de Emparejamiento Ampliado"),TRIM($B11)=""),IF(COUNTIF($M11:$O11,"?*")&gt;0,", ","")&amp;"grupo","")</x:f>
      </x:c>
    </x:row>
    <x:row r="12" ht="24" customHeight="1">
      <x:c r="A12" s="290"/>
      <x:c r="B12" s="290"/>
      <x:c r="C12" s="290"/>
      <x:c r="D12" s="290" t="str">
        <x:f>IF($A12="Verdadero o Falso Simple","Verdadero",IF($A12="Respuesta A/B/Ambas/Ninguna","A. Si la primera es verdadera",IF($A12="Verdadero o Falso Complejas","1. ","")))</x:f>
      </x:c>
      <x:c r="E12" s="290" t="str">
        <x:f>IF($A12="Verdadero o Falso Simple","Falso",IF($A12="Respuesta A/B/Ambas/Ninguna","B. Si la segunda es verdadera",IF($A12="Verdadero o Falso Complejas","2. ","")))</x:f>
      </x:c>
      <x:c r="F12" s="290" t="str">
        <x:f>IF($A12="Respuesta A/B/Ambas/Ninguna","C. Si ambas son verdaderas",IF($A12="Verdadero o Falso Complejas","3. ",""))</x:f>
      </x:c>
      <x:c r="G12" s="290" t="str">
        <x:f>IF($A12="Respuesta A/B/Ambas/Ninguna","D. Si ninguna es verdadera",IF($A12="Verdadero o Falso Complejas","4. ",""))</x:f>
      </x:c>
      <x:c r="H12" s="290" t="str">
        <x:f>IF($A12="Verdadero o Falso Simple","",IF($A12="Respuesta A/B/Ambas/Ninguna","",IF($A12="Verdadero o Falso Complejas","","")))</x:f>
      </x:c>
      <x:c r="I12" s="290"/>
      <x:c r="J12" s="290" t="n">
        <x:v>1</x:v>
      </x:c>
      <x:c r="K12" s="290" t="str">
        <x:v>1P</x:v>
      </x:c>
      <x:c r="L12" s="291"/>
      <x:c r="M12" s="289"/>
      <x:c r="N12"/>
      <x:c r="O12"/>
      <x:c r="P12"/>
      <x:c r="Q12" t="str">
        <x:f>IF(TRIM($C12)="","enunciado","")</x:f>
        <x:v>enunciado</x:v>
      </x:c>
      <x:c r="R12" t="str">
        <x:f>IF(TRIM($K12)="",IF(COUNTIF($Q12:$Q12,"?*")&gt;0,", ","")&amp;"parcial","")</x:f>
      </x:c>
      <x:c r="S12" t="str">
        <x:f>IF(AND(TRIM($K12)&lt;&gt;"",TRIM($K12)&lt;&gt;"1P"),IF(COUNTIF($Q12:$R12,"?*")&gt;0,", ","")&amp;"parcial distinto a 1P","")</x:f>
      </x:c>
      <x:c r="T12" t="str">
        <x:f>IF(AND(OR($A12="Ítems agrupados por caso clínico o problema",$A12="Subítem de caso o problema",$A12="Emparejamiento Ampliado",$A12="Opción de Emparejamiento Ampliado"),TRIM($B12)=""),IF(COUNTIF($Q12:$S12,"?*")&gt;0,", ","")&amp;"grupo","")</x:f>
      </x:c>
      <x:c r="U12" t="str">
        <x:f>IF(AND(OR($A12="Verdadero o Falso Simple",$A12="Respuesta A/B/Ambas/Ninguna",$A12="Verdadero o Falso Complejas",$A12="Selección de la mejor respuesta",$A12="Subítem de caso o problema",$A12="Opción de Emparejamiento Ampliado"),TRIM($I12)=""),IF(COUNTIF($Q12:$T12,"?*")&gt;0,", ","")&amp;"respuesta_correcta","")</x:f>
      </x:c>
      <x:c r="V12" t="str">
        <x:f>IF(AND(OR($A12="Verdadero o Falso Simple",$A12="Respuesta A/B/Ambas/Ninguna",$A12="Verdadero o Falso Complejas",$A12="Selección de la mejor respuesta",$A12="Subítem de caso o problema",$A12="Opción de Emparejamiento Ampliado"),TRIM($J12)=""),IF(COUNTIF($Q12:$U12,"?*")&gt;0,", ","")&amp;"dificultad","")</x:f>
      </x:c>
      <x:c r="W12" t="str">
        <x:f>IF(AND(OR($A12="Ítems agrupados por caso clínico o problema",$A12="Emparejamiento Ampliado"),TRIM($I12)&lt;&gt;""),IF(COUNTIF($Q12:$V12,"?*")&gt;0,", ","")&amp;"respuesta debe ir vacia","")</x:f>
      </x:c>
      <x:c r="X12" t="str">
        <x:f>IF(AND(OR($A12="Ítems agrupados por caso clínico o problema",$A12="Emparejamiento Ampliado"),TRIM($J12)&lt;&gt;""),IF(COUNTIF($Q12:$W12,"?*")&gt;0,", ","")&amp;"dificultad debe ir vacia","")</x:f>
      </x:c>
      <x:c r="Y12" t="str">
        <x:f>IF(AND($A12="Verdadero o Falso Simple",OR(COUNTIF($D12:$E12,"?*")&lt;2,COUNTIF($F12:$H12,"?*")&gt;0)),IF(COUNTIF($Q12:$X12,"?*")&gt;0,", ","")&amp;"incisos A-B","")</x:f>
      </x:c>
      <x:c r="Z12" t="str">
        <x:f>IF(AND($A12="Verdadero o Falso Simple",TRIM($I12)&lt;&gt;"",NOT(OR(LEFT(TRIM($I12),1)="A",LEFT(TRIM($I12),1)="B"))),IF(COUNTIF($Q12:$Y12,"?*")&gt;0,", ","")&amp;"respuesta A-B","")</x:f>
      </x:c>
      <x:c r="AA12" t="str">
        <x:f>IF(AND($A12="Respuesta A/B/Ambas/Ninguna",COUNTIF($D12:$G12,"?*")&lt;4),IF(COUNTIF($Q12:$Z12,"?*")&gt;0,", ","")&amp;"opciones A-D","")</x:f>
      </x:c>
      <x:c r="AB12" t="str">
        <x:f>IF(AND($A12="Respuesta A/B/Ambas/Ninguna",COUNTIF($H12:$H12,"?*")&gt;0),IF(COUNTIF($Q12:$AA12,"?*")&gt;0,", ","")&amp;"opcion E deshabilitada","")</x:f>
      </x:c>
      <x:c r="AC12" t="str">
        <x:f>IF(AND($A12="Respuesta A/B/Ambas/Ninguna",TRIM($I12)&lt;&gt;"",NOT(OR(LEFT(TRIM($I12),1)="A",LEFT(TRIM($I12),1)="B",LEFT(TRIM($I12),1)="C",LEFT(TRIM($I12),1)="D"))),IF(COUNTIF($Q12:$AB12,"?*")&gt;0,", ","")&amp;"respuesta A-D","")</x:f>
      </x:c>
      <x:c r="AD12" t="str">
        <x:f>IF(AND($A12="Verdadero o Falso Complejas",OR(LEN(TRIM(SUBSTITUTE($D12,"1.","")))=0,LEN(TRIM(SUBSTITUTE($E12,"2.","")))=0,LEN(TRIM(SUBSTITUTE($F12,"3.","")))=0,LEN(TRIM(SUBSTITUTE($G12,"4.","")))=0)),IF(COUNTIF($Q12:$AC12,"?*")&gt;0,", ","")&amp;"incisos 1-4","")</x:f>
      </x:c>
      <x:c r="AE12" t="str">
        <x:f>IF(AND($A12="Verdadero o Falso Complejas",COUNTIF($H12:$H12,"?*")&gt;0),IF(COUNTIF($Q12:$AD12,"?*")&gt;0,", ","")&amp;"opcion E deshabilitada","")</x:f>
      </x:c>
      <x:c r="AF12" t="str">
        <x:f>IF(AND($A12="Verdadero o Falso Complejas",TRIM($I12)&lt;&gt;"",NOT(OR(LEFT(TRIM($I12),1)="A",LEFT(TRIM($I12),1)="B",LEFT(TRIM($I12),1)="C",LEFT(TRIM($I12),1)="D",LEFT(TRIM($I12),1)="E"))),IF(COUNTIF($Q12:$AE12,"?*")&gt;0,", ","")&amp;"respuesta A-E","")</x:f>
      </x:c>
      <x:c r="AG12" t="str">
        <x:f>IF(AND(OR($A12="Selección de la mejor respuesta",$A12="Subítem de caso o problema"),COUNTIF($D12:$H12,"?*")&lt;5),IF(COUNTIF($Q12:$AF12,"?*")&gt;0,", ","")&amp;"incisos A-E","")</x:f>
      </x:c>
      <x:c r="AH12" t="str">
        <x:f>IF(AND(OR($A12="Selección de la mejor respuesta",$A12="Subítem de caso o problema"),TRIM($I12)&lt;&gt;"",NOT(OR(LEFT(TRIM($I12),1)="A",LEFT(TRIM($I12),1)="B",LEFT(TRIM($I12),1)="C",LEFT(TRIM($I12),1)="D",LEFT(TRIM($I12),1)="E"))),IF(COUNTIF($Q12:$AG12,"?*")&gt;0,", ","")&amp;"respuesta A-E","")</x:f>
      </x:c>
      <x:c r="AI12" t="str">
        <x:f>IF(AND(OR($A12="Ítems agrupados por caso clínico o problema",$A12="Opción de Emparejamiento Ampliado"),COUNTIF($D12:$H12,"?*")&gt;0),IF(COUNTIF($Q12:$AH12,"?*")&gt;0,", ","")&amp;"sin incisos","")</x:f>
      </x:c>
      <x:c r="AJ12" t="str">
        <x:f>IF(AND($A12="Emparejamiento Ampliado",COUNTIF($D12:$H12,"?*")&lt;2),IF(COUNTIF($Q12:$AI12,"?*")&gt;0,", ","")&amp;"minimo 2 claves","")</x:f>
      </x:c>
      <x:c r="AK12" t="str">
        <x:f>IF(AND($A12="Opción de Emparejamiento Ampliado",NOT(OR(LEFT(TRIM($I12),1)="A",LEFT(TRIM($I12),1)="B",LEFT(TRIM($I12),1)="C",LEFT(TRIM($I12),1)="D",LEFT(TRIM($I12),1)="E"))),IF(COUNTIF($Q12:$AJ12,"?*")&gt;0,", ","")&amp;"respuesta A-E","")</x:f>
      </x:c>
      <x:c r="AL12" t="str">
        <x:f>IF(TRIM($K12)="",IF(COUNTIF($M12:$M12,"?*")&gt;0,", ","")&amp;"parcial","")</x:f>
      </x:c>
      <x:c r="AM12" t="str">
        <x:f>IF(AND(TRIM($K12)&lt;&gt;"",TRIM($K12)&lt;&gt;"1P"),IF(COUNTIF($M12:$N12,"?*")&gt;0,", ","")&amp;"parcial distinto a 1P","")</x:f>
      </x:c>
      <x:c r="AN12" t="str">
        <x:f>IF(AND(OR($A12="Ítems agrupados por caso clínico o problema",$A12="Subítem de caso o problema",$A12="Emparejamiento Ampliado",$A12="Opción de Emparejamiento Ampliado"),TRIM($B12)=""),IF(COUNTIF($M12:$O12,"?*")&gt;0,", ","")&amp;"grupo","")</x:f>
      </x:c>
    </x:row>
    <x:row r="13" ht="24" customHeight="1">
      <x:c r="A13" s="290"/>
      <x:c r="B13" s="290"/>
      <x:c r="C13" s="290"/>
      <x:c r="D13" s="290" t="str">
        <x:f>IF($A13="Verdadero o Falso Simple","Verdadero",IF($A13="Respuesta A/B/Ambas/Ninguna","A. Si la primera es verdadera",IF($A13="Verdadero o Falso Complejas","1. ","")))</x:f>
      </x:c>
      <x:c r="E13" s="290" t="str">
        <x:f>IF($A13="Verdadero o Falso Simple","Falso",IF($A13="Respuesta A/B/Ambas/Ninguna","B. Si la segunda es verdadera",IF($A13="Verdadero o Falso Complejas","2. ","")))</x:f>
      </x:c>
      <x:c r="F13" s="290" t="str">
        <x:f>IF($A13="Respuesta A/B/Ambas/Ninguna","C. Si ambas son verdaderas",IF($A13="Verdadero o Falso Complejas","3. ",""))</x:f>
      </x:c>
      <x:c r="G13" s="290" t="str">
        <x:f>IF($A13="Respuesta A/B/Ambas/Ninguna","D. Si ninguna es verdadera",IF($A13="Verdadero o Falso Complejas","4. ",""))</x:f>
      </x:c>
      <x:c r="H13" s="290" t="str">
        <x:f>IF($A13="Verdadero o Falso Simple","",IF($A13="Respuesta A/B/Ambas/Ninguna","",IF($A13="Verdadero o Falso Complejas","","")))</x:f>
      </x:c>
      <x:c r="I13" s="290"/>
      <x:c r="J13" s="290" t="n">
        <x:v>1</x:v>
      </x:c>
      <x:c r="K13" s="290" t="str">
        <x:v>1P</x:v>
      </x:c>
      <x:c r="L13" s="291"/>
      <x:c r="M13" s="289"/>
      <x:c r="N13"/>
      <x:c r="O13"/>
      <x:c r="P13"/>
      <x:c r="Q13" t="str">
        <x:f>IF(TRIM($C13)="","enunciado","")</x:f>
        <x:v>enunciado</x:v>
      </x:c>
      <x:c r="R13" t="str">
        <x:f>IF(TRIM($K13)="",IF(COUNTIF($Q13:$Q13,"?*")&gt;0,", ","")&amp;"parcial","")</x:f>
      </x:c>
      <x:c r="S13" t="str">
        <x:f>IF(AND(TRIM($K13)&lt;&gt;"",TRIM($K13)&lt;&gt;"1P"),IF(COUNTIF($Q13:$R13,"?*")&gt;0,", ","")&amp;"parcial distinto a 1P","")</x:f>
      </x:c>
      <x:c r="T13" t="str">
        <x:f>IF(AND(OR($A13="Ítems agrupados por caso clínico o problema",$A13="Subítem de caso o problema",$A13="Emparejamiento Ampliado",$A13="Opción de Emparejamiento Ampliado"),TRIM($B13)=""),IF(COUNTIF($Q13:$S13,"?*")&gt;0,", ","")&amp;"grupo","")</x:f>
      </x:c>
      <x:c r="U13" t="str">
        <x:f>IF(AND(OR($A13="Verdadero o Falso Simple",$A13="Respuesta A/B/Ambas/Ninguna",$A13="Verdadero o Falso Complejas",$A13="Selección de la mejor respuesta",$A13="Subítem de caso o problema",$A13="Opción de Emparejamiento Ampliado"),TRIM($I13)=""),IF(COUNTIF($Q13:$T13,"?*")&gt;0,", ","")&amp;"respuesta_correcta","")</x:f>
      </x:c>
      <x:c r="V13" t="str">
        <x:f>IF(AND(OR($A13="Verdadero o Falso Simple",$A13="Respuesta A/B/Ambas/Ninguna",$A13="Verdadero o Falso Complejas",$A13="Selección de la mejor respuesta",$A13="Subítem de caso o problema",$A13="Opción de Emparejamiento Ampliado"),TRIM($J13)=""),IF(COUNTIF($Q13:$U13,"?*")&gt;0,", ","")&amp;"dificultad","")</x:f>
      </x:c>
      <x:c r="W13" t="str">
        <x:f>IF(AND(OR($A13="Ítems agrupados por caso clínico o problema",$A13="Emparejamiento Ampliado"),TRIM($I13)&lt;&gt;""),IF(COUNTIF($Q13:$V13,"?*")&gt;0,", ","")&amp;"respuesta debe ir vacia","")</x:f>
      </x:c>
      <x:c r="X13" t="str">
        <x:f>IF(AND(OR($A13="Ítems agrupados por caso clínico o problema",$A13="Emparejamiento Ampliado"),TRIM($J13)&lt;&gt;""),IF(COUNTIF($Q13:$W13,"?*")&gt;0,", ","")&amp;"dificultad debe ir vacia","")</x:f>
      </x:c>
      <x:c r="Y13" t="str">
        <x:f>IF(AND($A13="Verdadero o Falso Simple",OR(COUNTIF($D13:$E13,"?*")&lt;2,COUNTIF($F13:$H13,"?*")&gt;0)),IF(COUNTIF($Q13:$X13,"?*")&gt;0,", ","")&amp;"incisos A-B","")</x:f>
      </x:c>
      <x:c r="Z13" t="str">
        <x:f>IF(AND($A13="Verdadero o Falso Simple",TRIM($I13)&lt;&gt;"",NOT(OR(LEFT(TRIM($I13),1)="A",LEFT(TRIM($I13),1)="B"))),IF(COUNTIF($Q13:$Y13,"?*")&gt;0,", ","")&amp;"respuesta A-B","")</x:f>
      </x:c>
      <x:c r="AA13" t="str">
        <x:f>IF(AND($A13="Respuesta A/B/Ambas/Ninguna",COUNTIF($D13:$G13,"?*")&lt;4),IF(COUNTIF($Q13:$Z13,"?*")&gt;0,", ","")&amp;"opciones A-D","")</x:f>
      </x:c>
      <x:c r="AB13" t="str">
        <x:f>IF(AND($A13="Respuesta A/B/Ambas/Ninguna",COUNTIF($H13:$H13,"?*")&gt;0),IF(COUNTIF($Q13:$AA13,"?*")&gt;0,", ","")&amp;"opcion E deshabilitada","")</x:f>
      </x:c>
      <x:c r="AC13" t="str">
        <x:f>IF(AND($A13="Respuesta A/B/Ambas/Ninguna",TRIM($I13)&lt;&gt;"",NOT(OR(LEFT(TRIM($I13),1)="A",LEFT(TRIM($I13),1)="B",LEFT(TRIM($I13),1)="C",LEFT(TRIM($I13),1)="D"))),IF(COUNTIF($Q13:$AB13,"?*")&gt;0,", ","")&amp;"respuesta A-D","")</x:f>
      </x:c>
      <x:c r="AD13" t="str">
        <x:f>IF(AND($A13="Verdadero o Falso Complejas",OR(LEN(TRIM(SUBSTITUTE($D13,"1.","")))=0,LEN(TRIM(SUBSTITUTE($E13,"2.","")))=0,LEN(TRIM(SUBSTITUTE($F13,"3.","")))=0,LEN(TRIM(SUBSTITUTE($G13,"4.","")))=0)),IF(COUNTIF($Q13:$AC13,"?*")&gt;0,", ","")&amp;"incisos 1-4","")</x:f>
      </x:c>
      <x:c r="AE13" t="str">
        <x:f>IF(AND($A13="Verdadero o Falso Complejas",COUNTIF($H13:$H13,"?*")&gt;0),IF(COUNTIF($Q13:$AD13,"?*")&gt;0,", ","")&amp;"opcion E deshabilitada","")</x:f>
      </x:c>
      <x:c r="AF13" t="str">
        <x:f>IF(AND($A13="Verdadero o Falso Complejas",TRIM($I13)&lt;&gt;"",NOT(OR(LEFT(TRIM($I13),1)="A",LEFT(TRIM($I13),1)="B",LEFT(TRIM($I13),1)="C",LEFT(TRIM($I13),1)="D",LEFT(TRIM($I13),1)="E"))),IF(COUNTIF($Q13:$AE13,"?*")&gt;0,", ","")&amp;"respuesta A-E","")</x:f>
      </x:c>
      <x:c r="AG13" t="str">
        <x:f>IF(AND(OR($A13="Selección de la mejor respuesta",$A13="Subítem de caso o problema"),COUNTIF($D13:$H13,"?*")&lt;5),IF(COUNTIF($Q13:$AF13,"?*")&gt;0,", ","")&amp;"incisos A-E","")</x:f>
      </x:c>
      <x:c r="AH13" t="str">
        <x:f>IF(AND(OR($A13="Selección de la mejor respuesta",$A13="Subítem de caso o problema"),TRIM($I13)&lt;&gt;"",NOT(OR(LEFT(TRIM($I13),1)="A",LEFT(TRIM($I13),1)="B",LEFT(TRIM($I13),1)="C",LEFT(TRIM($I13),1)="D",LEFT(TRIM($I13),1)="E"))),IF(COUNTIF($Q13:$AG13,"?*")&gt;0,", ","")&amp;"respuesta A-E","")</x:f>
      </x:c>
      <x:c r="AI13" t="str">
        <x:f>IF(AND(OR($A13="Ítems agrupados por caso clínico o problema",$A13="Opción de Emparejamiento Ampliado"),COUNTIF($D13:$H13,"?*")&gt;0),IF(COUNTIF($Q13:$AH13,"?*")&gt;0,", ","")&amp;"sin incisos","")</x:f>
      </x:c>
      <x:c r="AJ13" t="str">
        <x:f>IF(AND($A13="Emparejamiento Ampliado",COUNTIF($D13:$H13,"?*")&lt;2),IF(COUNTIF($Q13:$AI13,"?*")&gt;0,", ","")&amp;"minimo 2 claves","")</x:f>
      </x:c>
      <x:c r="AK13" t="str">
        <x:f>IF(AND($A13="Opción de Emparejamiento Ampliado",NOT(OR(LEFT(TRIM($I13),1)="A",LEFT(TRIM($I13),1)="B",LEFT(TRIM($I13),1)="C",LEFT(TRIM($I13),1)="D",LEFT(TRIM($I13),1)="E"))),IF(COUNTIF($Q13:$AJ13,"?*")&gt;0,", ","")&amp;"respuesta A-E","")</x:f>
      </x:c>
      <x:c r="AL13" t="str">
        <x:f>IF(TRIM($K13)="",IF(COUNTIF($M13:$M13,"?*")&gt;0,", ","")&amp;"parcial","")</x:f>
      </x:c>
      <x:c r="AM13" t="str">
        <x:f>IF(AND(TRIM($K13)&lt;&gt;"",TRIM($K13)&lt;&gt;"1P"),IF(COUNTIF($M13:$N13,"?*")&gt;0,", ","")&amp;"parcial distinto a 1P","")</x:f>
      </x:c>
      <x:c r="AN13" t="str">
        <x:f>IF(AND(OR($A13="Ítems agrupados por caso clínico o problema",$A13="Subítem de caso o problema",$A13="Emparejamiento Ampliado",$A13="Opción de Emparejamiento Ampliado"),TRIM($B13)=""),IF(COUNTIF($M13:$O13,"?*")&gt;0,", ","")&amp;"grupo","")</x:f>
      </x:c>
    </x:row>
    <x:row r="14" ht="24" customHeight="1">
      <x:c r="A14" s="290"/>
      <x:c r="B14" s="290"/>
      <x:c r="C14" s="290"/>
      <x:c r="D14" s="290" t="str">
        <x:f>IF($A14="Verdadero o Falso Simple","Verdadero",IF($A14="Respuesta A/B/Ambas/Ninguna","A. Si la primera es verdadera",IF($A14="Verdadero o Falso Complejas","1. ","")))</x:f>
      </x:c>
      <x:c r="E14" s="290" t="str">
        <x:f>IF($A14="Verdadero o Falso Simple","Falso",IF($A14="Respuesta A/B/Ambas/Ninguna","B. Si la segunda es verdadera",IF($A14="Verdadero o Falso Complejas","2. ","")))</x:f>
      </x:c>
      <x:c r="F14" s="290" t="str">
        <x:f>IF($A14="Respuesta A/B/Ambas/Ninguna","C. Si ambas son verdaderas",IF($A14="Verdadero o Falso Complejas","3. ",""))</x:f>
      </x:c>
      <x:c r="G14" s="290" t="str">
        <x:f>IF($A14="Respuesta A/B/Ambas/Ninguna","D. Si ninguna es verdadera",IF($A14="Verdadero o Falso Complejas","4. ",""))</x:f>
      </x:c>
      <x:c r="H14" s="290" t="str">
        <x:f>IF($A14="Verdadero o Falso Simple","",IF($A14="Respuesta A/B/Ambas/Ninguna","",IF($A14="Verdadero o Falso Complejas","","")))</x:f>
      </x:c>
      <x:c r="I14" s="290"/>
      <x:c r="J14" s="290" t="n">
        <x:v>1</x:v>
      </x:c>
      <x:c r="K14" s="290" t="str">
        <x:v>1P</x:v>
      </x:c>
      <x:c r="L14" s="291"/>
      <x:c r="M14" s="289"/>
      <x:c r="N14"/>
      <x:c r="O14"/>
      <x:c r="P14"/>
      <x:c r="Q14" t="str">
        <x:f>IF(TRIM($C14)="","enunciado","")</x:f>
        <x:v>enunciado</x:v>
      </x:c>
      <x:c r="R14" t="str">
        <x:f>IF(TRIM($K14)="",IF(COUNTIF($Q14:$Q14,"?*")&gt;0,", ","")&amp;"parcial","")</x:f>
      </x:c>
      <x:c r="S14" t="str">
        <x:f>IF(AND(TRIM($K14)&lt;&gt;"",TRIM($K14)&lt;&gt;"1P"),IF(COUNTIF($Q14:$R14,"?*")&gt;0,", ","")&amp;"parcial distinto a 1P","")</x:f>
      </x:c>
      <x:c r="T14" t="str">
        <x:f>IF(AND(OR($A14="Ítems agrupados por caso clínico o problema",$A14="Subítem de caso o problema",$A14="Emparejamiento Ampliado",$A14="Opción de Emparejamiento Ampliado"),TRIM($B14)=""),IF(COUNTIF($Q14:$S14,"?*")&gt;0,", ","")&amp;"grupo","")</x:f>
      </x:c>
      <x:c r="U14" t="str">
        <x:f>IF(AND(OR($A14="Verdadero o Falso Simple",$A14="Respuesta A/B/Ambas/Ninguna",$A14="Verdadero o Falso Complejas",$A14="Selección de la mejor respuesta",$A14="Subítem de caso o problema",$A14="Opción de Emparejamiento Ampliado"),TRIM($I14)=""),IF(COUNTIF($Q14:$T14,"?*")&gt;0,", ","")&amp;"respuesta_correcta","")</x:f>
      </x:c>
      <x:c r="V14" t="str">
        <x:f>IF(AND(OR($A14="Verdadero o Falso Simple",$A14="Respuesta A/B/Ambas/Ninguna",$A14="Verdadero o Falso Complejas",$A14="Selección de la mejor respuesta",$A14="Subítem de caso o problema",$A14="Opción de Emparejamiento Ampliado"),TRIM($J14)=""),IF(COUNTIF($Q14:$U14,"?*")&gt;0,", ","")&amp;"dificultad","")</x:f>
      </x:c>
      <x:c r="W14" t="str">
        <x:f>IF(AND(OR($A14="Ítems agrupados por caso clínico o problema",$A14="Emparejamiento Ampliado"),TRIM($I14)&lt;&gt;""),IF(COUNTIF($Q14:$V14,"?*")&gt;0,", ","")&amp;"respuesta debe ir vacia","")</x:f>
      </x:c>
      <x:c r="X14" t="str">
        <x:f>IF(AND(OR($A14="Ítems agrupados por caso clínico o problema",$A14="Emparejamiento Ampliado"),TRIM($J14)&lt;&gt;""),IF(COUNTIF($Q14:$W14,"?*")&gt;0,", ","")&amp;"dificultad debe ir vacia","")</x:f>
      </x:c>
      <x:c r="Y14" t="str">
        <x:f>IF(AND($A14="Verdadero o Falso Simple",OR(COUNTIF($D14:$E14,"?*")&lt;2,COUNTIF($F14:$H14,"?*")&gt;0)),IF(COUNTIF($Q14:$X14,"?*")&gt;0,", ","")&amp;"incisos A-B","")</x:f>
      </x:c>
      <x:c r="Z14" t="str">
        <x:f>IF(AND($A14="Verdadero o Falso Simple",TRIM($I14)&lt;&gt;"",NOT(OR(LEFT(TRIM($I14),1)="A",LEFT(TRIM($I14),1)="B"))),IF(COUNTIF($Q14:$Y14,"?*")&gt;0,", ","")&amp;"respuesta A-B","")</x:f>
      </x:c>
      <x:c r="AA14" t="str">
        <x:f>IF(AND($A14="Respuesta A/B/Ambas/Ninguna",COUNTIF($D14:$G14,"?*")&lt;4),IF(COUNTIF($Q14:$Z14,"?*")&gt;0,", ","")&amp;"opciones A-D","")</x:f>
      </x:c>
      <x:c r="AB14" t="str">
        <x:f>IF(AND($A14="Respuesta A/B/Ambas/Ninguna",COUNTIF($H14:$H14,"?*")&gt;0),IF(COUNTIF($Q14:$AA14,"?*")&gt;0,", ","")&amp;"opcion E deshabilitada","")</x:f>
      </x:c>
      <x:c r="AC14" t="str">
        <x:f>IF(AND($A14="Respuesta A/B/Ambas/Ninguna",TRIM($I14)&lt;&gt;"",NOT(OR(LEFT(TRIM($I14),1)="A",LEFT(TRIM($I14),1)="B",LEFT(TRIM($I14),1)="C",LEFT(TRIM($I14),1)="D"))),IF(COUNTIF($Q14:$AB14,"?*")&gt;0,", ","")&amp;"respuesta A-D","")</x:f>
      </x:c>
      <x:c r="AD14" t="str">
        <x:f>IF(AND($A14="Verdadero o Falso Complejas",OR(LEN(TRIM(SUBSTITUTE($D14,"1.","")))=0,LEN(TRIM(SUBSTITUTE($E14,"2.","")))=0,LEN(TRIM(SUBSTITUTE($F14,"3.","")))=0,LEN(TRIM(SUBSTITUTE($G14,"4.","")))=0)),IF(COUNTIF($Q14:$AC14,"?*")&gt;0,", ","")&amp;"incisos 1-4","")</x:f>
      </x:c>
      <x:c r="AE14" t="str">
        <x:f>IF(AND($A14="Verdadero o Falso Complejas",COUNTIF($H14:$H14,"?*")&gt;0),IF(COUNTIF($Q14:$AD14,"?*")&gt;0,", ","")&amp;"opcion E deshabilitada","")</x:f>
      </x:c>
      <x:c r="AF14" t="str">
        <x:f>IF(AND($A14="Verdadero o Falso Complejas",TRIM($I14)&lt;&gt;"",NOT(OR(LEFT(TRIM($I14),1)="A",LEFT(TRIM($I14),1)="B",LEFT(TRIM($I14),1)="C",LEFT(TRIM($I14),1)="D",LEFT(TRIM($I14),1)="E"))),IF(COUNTIF($Q14:$AE14,"?*")&gt;0,", ","")&amp;"respuesta A-E","")</x:f>
      </x:c>
      <x:c r="AG14" t="str">
        <x:f>IF(AND(OR($A14="Selección de la mejor respuesta",$A14="Subítem de caso o problema"),COUNTIF($D14:$H14,"?*")&lt;5),IF(COUNTIF($Q14:$AF14,"?*")&gt;0,", ","")&amp;"incisos A-E","")</x:f>
      </x:c>
      <x:c r="AH14" t="str">
        <x:f>IF(AND(OR($A14="Selección de la mejor respuesta",$A14="Subítem de caso o problema"),TRIM($I14)&lt;&gt;"",NOT(OR(LEFT(TRIM($I14),1)="A",LEFT(TRIM($I14),1)="B",LEFT(TRIM($I14),1)="C",LEFT(TRIM($I14),1)="D",LEFT(TRIM($I14),1)="E"))),IF(COUNTIF($Q14:$AG14,"?*")&gt;0,", ","")&amp;"respuesta A-E","")</x:f>
      </x:c>
      <x:c r="AI14" t="str">
        <x:f>IF(AND(OR($A14="Ítems agrupados por caso clínico o problema",$A14="Opción de Emparejamiento Ampliado"),COUNTIF($D14:$H14,"?*")&gt;0),IF(COUNTIF($Q14:$AH14,"?*")&gt;0,", ","")&amp;"sin incisos","")</x:f>
      </x:c>
      <x:c r="AJ14" t="str">
        <x:f>IF(AND($A14="Emparejamiento Ampliado",COUNTIF($D14:$H14,"?*")&lt;2),IF(COUNTIF($Q14:$AI14,"?*")&gt;0,", ","")&amp;"minimo 2 claves","")</x:f>
      </x:c>
      <x:c r="AK14" t="str">
        <x:f>IF(AND($A14="Opción de Emparejamiento Ampliado",NOT(OR(LEFT(TRIM($I14),1)="A",LEFT(TRIM($I14),1)="B",LEFT(TRIM($I14),1)="C",LEFT(TRIM($I14),1)="D",LEFT(TRIM($I14),1)="E"))),IF(COUNTIF($Q14:$AJ14,"?*")&gt;0,", ","")&amp;"respuesta A-E","")</x:f>
      </x:c>
      <x:c r="AL14" t="str">
        <x:f>IF(TRIM($K14)="",IF(COUNTIF($M14:$M14,"?*")&gt;0,", ","")&amp;"parcial","")</x:f>
      </x:c>
      <x:c r="AM14" t="str">
        <x:f>IF(AND(TRIM($K14)&lt;&gt;"",TRIM($K14)&lt;&gt;"1P"),IF(COUNTIF($M14:$N14,"?*")&gt;0,", ","")&amp;"parcial distinto a 1P","")</x:f>
      </x:c>
      <x:c r="AN14" t="str">
        <x:f>IF(AND(OR($A14="Ítems agrupados por caso clínico o problema",$A14="Subítem de caso o problema",$A14="Emparejamiento Ampliado",$A14="Opción de Emparejamiento Ampliado"),TRIM($B14)=""),IF(COUNTIF($M14:$O14,"?*")&gt;0,", ","")&amp;"grupo","")</x:f>
      </x:c>
    </x:row>
    <x:row r="15" ht="24" customHeight="1">
      <x:c r="A15" s="290"/>
      <x:c r="B15" s="290"/>
      <x:c r="C15" s="290"/>
      <x:c r="D15" s="290" t="str">
        <x:f>IF($A15="Verdadero o Falso Simple","Verdadero",IF($A15="Respuesta A/B/Ambas/Ninguna","A. Si la primera es verdadera",IF($A15="Verdadero o Falso Complejas","1. ","")))</x:f>
      </x:c>
      <x:c r="E15" s="290" t="str">
        <x:f>IF($A15="Verdadero o Falso Simple","Falso",IF($A15="Respuesta A/B/Ambas/Ninguna","B. Si la segunda es verdadera",IF($A15="Verdadero o Falso Complejas","2. ","")))</x:f>
      </x:c>
      <x:c r="F15" s="290" t="str">
        <x:f>IF($A15="Respuesta A/B/Ambas/Ninguna","C. Si ambas son verdaderas",IF($A15="Verdadero o Falso Complejas","3. ",""))</x:f>
      </x:c>
      <x:c r="G15" s="290" t="str">
        <x:f>IF($A15="Respuesta A/B/Ambas/Ninguna","D. Si ninguna es verdadera",IF($A15="Verdadero o Falso Complejas","4. ",""))</x:f>
      </x:c>
      <x:c r="H15" s="290" t="str">
        <x:f>IF($A15="Verdadero o Falso Simple","",IF($A15="Respuesta A/B/Ambas/Ninguna","",IF($A15="Verdadero o Falso Complejas","","")))</x:f>
      </x:c>
      <x:c r="I15" s="290"/>
      <x:c r="J15" s="290" t="n">
        <x:v>1</x:v>
      </x:c>
      <x:c r="K15" s="290" t="str">
        <x:v>1P</x:v>
      </x:c>
      <x:c r="L15" s="291"/>
      <x:c r="M15" s="289"/>
      <x:c r="N15"/>
      <x:c r="O15"/>
      <x:c r="P15"/>
      <x:c r="Q15" t="str">
        <x:f>IF(TRIM($C15)="","enunciado","")</x:f>
        <x:v>enunciado</x:v>
      </x:c>
      <x:c r="R15" t="str">
        <x:f>IF(TRIM($K15)="",IF(COUNTIF($Q15:$Q15,"?*")&gt;0,", ","")&amp;"parcial","")</x:f>
      </x:c>
      <x:c r="S15" t="str">
        <x:f>IF(AND(TRIM($K15)&lt;&gt;"",TRIM($K15)&lt;&gt;"1P"),IF(COUNTIF($Q15:$R15,"?*")&gt;0,", ","")&amp;"parcial distinto a 1P","")</x:f>
      </x:c>
      <x:c r="T15" t="str">
        <x:f>IF(AND(OR($A15="Ítems agrupados por caso clínico o problema",$A15="Subítem de caso o problema",$A15="Emparejamiento Ampliado",$A15="Opción de Emparejamiento Ampliado"),TRIM($B15)=""),IF(COUNTIF($Q15:$S15,"?*")&gt;0,", ","")&amp;"grupo","")</x:f>
      </x:c>
      <x:c r="U15" t="str">
        <x:f>IF(AND(OR($A15="Verdadero o Falso Simple",$A15="Respuesta A/B/Ambas/Ninguna",$A15="Verdadero o Falso Complejas",$A15="Selección de la mejor respuesta",$A15="Subítem de caso o problema",$A15="Opción de Emparejamiento Ampliado"),TRIM($I15)=""),IF(COUNTIF($Q15:$T15,"?*")&gt;0,", ","")&amp;"respuesta_correcta","")</x:f>
      </x:c>
      <x:c r="V15" t="str">
        <x:f>IF(AND(OR($A15="Verdadero o Falso Simple",$A15="Respuesta A/B/Ambas/Ninguna",$A15="Verdadero o Falso Complejas",$A15="Selección de la mejor respuesta",$A15="Subítem de caso o problema",$A15="Opción de Emparejamiento Ampliado"),TRIM($J15)=""),IF(COUNTIF($Q15:$U15,"?*")&gt;0,", ","")&amp;"dificultad","")</x:f>
      </x:c>
      <x:c r="W15" t="str">
        <x:f>IF(AND(OR($A15="Ítems agrupados por caso clínico o problema",$A15="Emparejamiento Ampliado"),TRIM($I15)&lt;&gt;""),IF(COUNTIF($Q15:$V15,"?*")&gt;0,", ","")&amp;"respuesta debe ir vacia","")</x:f>
      </x:c>
      <x:c r="X15" t="str">
        <x:f>IF(AND(OR($A15="Ítems agrupados por caso clínico o problema",$A15="Emparejamiento Ampliado"),TRIM($J15)&lt;&gt;""),IF(COUNTIF($Q15:$W15,"?*")&gt;0,", ","")&amp;"dificultad debe ir vacia","")</x:f>
      </x:c>
      <x:c r="Y15" t="str">
        <x:f>IF(AND($A15="Verdadero o Falso Simple",OR(COUNTIF($D15:$E15,"?*")&lt;2,COUNTIF($F15:$H15,"?*")&gt;0)),IF(COUNTIF($Q15:$X15,"?*")&gt;0,", ","")&amp;"incisos A-B","")</x:f>
      </x:c>
      <x:c r="Z15" t="str">
        <x:f>IF(AND($A15="Verdadero o Falso Simple",TRIM($I15)&lt;&gt;"",NOT(OR(LEFT(TRIM($I15),1)="A",LEFT(TRIM($I15),1)="B"))),IF(COUNTIF($Q15:$Y15,"?*")&gt;0,", ","")&amp;"respuesta A-B","")</x:f>
      </x:c>
      <x:c r="AA15" t="str">
        <x:f>IF(AND($A15="Respuesta A/B/Ambas/Ninguna",COUNTIF($D15:$G15,"?*")&lt;4),IF(COUNTIF($Q15:$Z15,"?*")&gt;0,", ","")&amp;"opciones A-D","")</x:f>
      </x:c>
      <x:c r="AB15" t="str">
        <x:f>IF(AND($A15="Respuesta A/B/Ambas/Ninguna",COUNTIF($H15:$H15,"?*")&gt;0),IF(COUNTIF($Q15:$AA15,"?*")&gt;0,", ","")&amp;"opcion E deshabilitada","")</x:f>
      </x:c>
      <x:c r="AC15" t="str">
        <x:f>IF(AND($A15="Respuesta A/B/Ambas/Ninguna",TRIM($I15)&lt;&gt;"",NOT(OR(LEFT(TRIM($I15),1)="A",LEFT(TRIM($I15),1)="B",LEFT(TRIM($I15),1)="C",LEFT(TRIM($I15),1)="D"))),IF(COUNTIF($Q15:$AB15,"?*")&gt;0,", ","")&amp;"respuesta A-D","")</x:f>
      </x:c>
      <x:c r="AD15" t="str">
        <x:f>IF(AND($A15="Verdadero o Falso Complejas",OR(LEN(TRIM(SUBSTITUTE($D15,"1.","")))=0,LEN(TRIM(SUBSTITUTE($E15,"2.","")))=0,LEN(TRIM(SUBSTITUTE($F15,"3.","")))=0,LEN(TRIM(SUBSTITUTE($G15,"4.","")))=0)),IF(COUNTIF($Q15:$AC15,"?*")&gt;0,", ","")&amp;"incisos 1-4","")</x:f>
      </x:c>
      <x:c r="AE15" t="str">
        <x:f>IF(AND($A15="Verdadero o Falso Complejas",COUNTIF($H15:$H15,"?*")&gt;0),IF(COUNTIF($Q15:$AD15,"?*")&gt;0,", ","")&amp;"opcion E deshabilitada","")</x:f>
      </x:c>
      <x:c r="AF15" t="str">
        <x:f>IF(AND($A15="Verdadero o Falso Complejas",TRIM($I15)&lt;&gt;"",NOT(OR(LEFT(TRIM($I15),1)="A",LEFT(TRIM($I15),1)="B",LEFT(TRIM($I15),1)="C",LEFT(TRIM($I15),1)="D",LEFT(TRIM($I15),1)="E"))),IF(COUNTIF($Q15:$AE15,"?*")&gt;0,", ","")&amp;"respuesta A-E","")</x:f>
      </x:c>
      <x:c r="AG15" t="str">
        <x:f>IF(AND(OR($A15="Selección de la mejor respuesta",$A15="Subítem de caso o problema"),COUNTIF($D15:$H15,"?*")&lt;5),IF(COUNTIF($Q15:$AF15,"?*")&gt;0,", ","")&amp;"incisos A-E","")</x:f>
      </x:c>
      <x:c r="AH15" t="str">
        <x:f>IF(AND(OR($A15="Selección de la mejor respuesta",$A15="Subítem de caso o problema"),TRIM($I15)&lt;&gt;"",NOT(OR(LEFT(TRIM($I15),1)="A",LEFT(TRIM($I15),1)="B",LEFT(TRIM($I15),1)="C",LEFT(TRIM($I15),1)="D",LEFT(TRIM($I15),1)="E"))),IF(COUNTIF($Q15:$AG15,"?*")&gt;0,", ","")&amp;"respuesta A-E","")</x:f>
      </x:c>
      <x:c r="AI15" t="str">
        <x:f>IF(AND(OR($A15="Ítems agrupados por caso clínico o problema",$A15="Opción de Emparejamiento Ampliado"),COUNTIF($D15:$H15,"?*")&gt;0),IF(COUNTIF($Q15:$AH15,"?*")&gt;0,", ","")&amp;"sin incisos","")</x:f>
      </x:c>
      <x:c r="AJ15" t="str">
        <x:f>IF(AND($A15="Emparejamiento Ampliado",COUNTIF($D15:$H15,"?*")&lt;2),IF(COUNTIF($Q15:$AI15,"?*")&gt;0,", ","")&amp;"minimo 2 claves","")</x:f>
      </x:c>
      <x:c r="AK15" t="str">
        <x:f>IF(AND($A15="Opción de Emparejamiento Ampliado",NOT(OR(LEFT(TRIM($I15),1)="A",LEFT(TRIM($I15),1)="B",LEFT(TRIM($I15),1)="C",LEFT(TRIM($I15),1)="D",LEFT(TRIM($I15),1)="E"))),IF(COUNTIF($Q15:$AJ15,"?*")&gt;0,", ","")&amp;"respuesta A-E","")</x:f>
      </x:c>
      <x:c r="AL15" t="str">
        <x:f>IF(TRIM($K15)="",IF(COUNTIF($M15:$M15,"?*")&gt;0,", ","")&amp;"parcial","")</x:f>
      </x:c>
      <x:c r="AM15" t="str">
        <x:f>IF(AND(TRIM($K15)&lt;&gt;"",TRIM($K15)&lt;&gt;"1P"),IF(COUNTIF($M15:$N15,"?*")&gt;0,", ","")&amp;"parcial distinto a 1P","")</x:f>
      </x:c>
      <x:c r="AN15" t="str">
        <x:f>IF(AND(OR($A15="Ítems agrupados por caso clínico o problema",$A15="Subítem de caso o problema",$A15="Emparejamiento Ampliado",$A15="Opción de Emparejamiento Ampliado"),TRIM($B15)=""),IF(COUNTIF($M15:$O15,"?*")&gt;0,", ","")&amp;"grupo","")</x:f>
      </x:c>
    </x:row>
    <x:row r="16" ht="24" customHeight="1">
      <x:c r="A16" s="290"/>
      <x:c r="B16" s="290"/>
      <x:c r="C16" s="290"/>
      <x:c r="D16" s="290" t="str">
        <x:f>IF($A16="Verdadero o Falso Simple","Verdadero",IF($A16="Respuesta A/B/Ambas/Ninguna","A. Si la primera es verdadera",IF($A16="Verdadero o Falso Complejas","1. ","")))</x:f>
      </x:c>
      <x:c r="E16" s="290" t="str">
        <x:f>IF($A16="Verdadero o Falso Simple","Falso",IF($A16="Respuesta A/B/Ambas/Ninguna","B. Si la segunda es verdadera",IF($A16="Verdadero o Falso Complejas","2. ","")))</x:f>
      </x:c>
      <x:c r="F16" s="290" t="str">
        <x:f>IF($A16="Respuesta A/B/Ambas/Ninguna","C. Si ambas son verdaderas",IF($A16="Verdadero o Falso Complejas","3. ",""))</x:f>
      </x:c>
      <x:c r="G16" s="290" t="str">
        <x:f>IF($A16="Respuesta A/B/Ambas/Ninguna","D. Si ninguna es verdadera",IF($A16="Verdadero o Falso Complejas","4. ",""))</x:f>
      </x:c>
      <x:c r="H16" s="290" t="str">
        <x:f>IF($A16="Verdadero o Falso Simple","",IF($A16="Respuesta A/B/Ambas/Ninguna","",IF($A16="Verdadero o Falso Complejas","","")))</x:f>
      </x:c>
      <x:c r="I16" s="290"/>
      <x:c r="J16" s="290" t="n">
        <x:v>1</x:v>
      </x:c>
      <x:c r="K16" s="290" t="str">
        <x:v>1P</x:v>
      </x:c>
      <x:c r="L16" s="291"/>
      <x:c r="M16" s="289"/>
      <x:c r="N16"/>
      <x:c r="O16"/>
      <x:c r="P16"/>
      <x:c r="Q16" t="str">
        <x:f>IF(TRIM($C16)="","enunciado","")</x:f>
        <x:v>enunciado</x:v>
      </x:c>
      <x:c r="R16" t="str">
        <x:f>IF(TRIM($K16)="",IF(COUNTIF($Q16:$Q16,"?*")&gt;0,", ","")&amp;"parcial","")</x:f>
      </x:c>
      <x:c r="S16" t="str">
        <x:f>IF(AND(TRIM($K16)&lt;&gt;"",TRIM($K16)&lt;&gt;"1P"),IF(COUNTIF($Q16:$R16,"?*")&gt;0,", ","")&amp;"parcial distinto a 1P","")</x:f>
      </x:c>
      <x:c r="T16" t="str">
        <x:f>IF(AND(OR($A16="Ítems agrupados por caso clínico o problema",$A16="Subítem de caso o problema",$A16="Emparejamiento Ampliado",$A16="Opción de Emparejamiento Ampliado"),TRIM($B16)=""),IF(COUNTIF($Q16:$S16,"?*")&gt;0,", ","")&amp;"grupo","")</x:f>
      </x:c>
      <x:c r="U16" t="str">
        <x:f>IF(AND(OR($A16="Verdadero o Falso Simple",$A16="Respuesta A/B/Ambas/Ninguna",$A16="Verdadero o Falso Complejas",$A16="Selección de la mejor respuesta",$A16="Subítem de caso o problema",$A16="Opción de Emparejamiento Ampliado"),TRIM($I16)=""),IF(COUNTIF($Q16:$T16,"?*")&gt;0,", ","")&amp;"respuesta_correcta","")</x:f>
      </x:c>
      <x:c r="V16" t="str">
        <x:f>IF(AND(OR($A16="Verdadero o Falso Simple",$A16="Respuesta A/B/Ambas/Ninguna",$A16="Verdadero o Falso Complejas",$A16="Selección de la mejor respuesta",$A16="Subítem de caso o problema",$A16="Opción de Emparejamiento Ampliado"),TRIM($J16)=""),IF(COUNTIF($Q16:$U16,"?*")&gt;0,", ","")&amp;"dificultad","")</x:f>
      </x:c>
      <x:c r="W16" t="str">
        <x:f>IF(AND(OR($A16="Ítems agrupados por caso clínico o problema",$A16="Emparejamiento Ampliado"),TRIM($I16)&lt;&gt;""),IF(COUNTIF($Q16:$V16,"?*")&gt;0,", ","")&amp;"respuesta debe ir vacia","")</x:f>
      </x:c>
      <x:c r="X16" t="str">
        <x:f>IF(AND(OR($A16="Ítems agrupados por caso clínico o problema",$A16="Emparejamiento Ampliado"),TRIM($J16)&lt;&gt;""),IF(COUNTIF($Q16:$W16,"?*")&gt;0,", ","")&amp;"dificultad debe ir vacia","")</x:f>
      </x:c>
      <x:c r="Y16" t="str">
        <x:f>IF(AND($A16="Verdadero o Falso Simple",OR(COUNTIF($D16:$E16,"?*")&lt;2,COUNTIF($F16:$H16,"?*")&gt;0)),IF(COUNTIF($Q16:$X16,"?*")&gt;0,", ","")&amp;"incisos A-B","")</x:f>
      </x:c>
      <x:c r="Z16" t="str">
        <x:f>IF(AND($A16="Verdadero o Falso Simple",TRIM($I16)&lt;&gt;"",NOT(OR(LEFT(TRIM($I16),1)="A",LEFT(TRIM($I16),1)="B"))),IF(COUNTIF($Q16:$Y16,"?*")&gt;0,", ","")&amp;"respuesta A-B","")</x:f>
      </x:c>
      <x:c r="AA16" t="str">
        <x:f>IF(AND($A16="Respuesta A/B/Ambas/Ninguna",COUNTIF($D16:$G16,"?*")&lt;4),IF(COUNTIF($Q16:$Z16,"?*")&gt;0,", ","")&amp;"opciones A-D","")</x:f>
      </x:c>
      <x:c r="AB16" t="str">
        <x:f>IF(AND($A16="Respuesta A/B/Ambas/Ninguna",COUNTIF($H16:$H16,"?*")&gt;0),IF(COUNTIF($Q16:$AA16,"?*")&gt;0,", ","")&amp;"opcion E deshabilitada","")</x:f>
      </x:c>
      <x:c r="AC16" t="str">
        <x:f>IF(AND($A16="Respuesta A/B/Ambas/Ninguna",TRIM($I16)&lt;&gt;"",NOT(OR(LEFT(TRIM($I16),1)="A",LEFT(TRIM($I16),1)="B",LEFT(TRIM($I16),1)="C",LEFT(TRIM($I16),1)="D"))),IF(COUNTIF($Q16:$AB16,"?*")&gt;0,", ","")&amp;"respuesta A-D","")</x:f>
      </x:c>
      <x:c r="AD16" t="str">
        <x:f>IF(AND($A16="Verdadero o Falso Complejas",OR(LEN(TRIM(SUBSTITUTE($D16,"1.","")))=0,LEN(TRIM(SUBSTITUTE($E16,"2.","")))=0,LEN(TRIM(SUBSTITUTE($F16,"3.","")))=0,LEN(TRIM(SUBSTITUTE($G16,"4.","")))=0)),IF(COUNTIF($Q16:$AC16,"?*")&gt;0,", ","")&amp;"incisos 1-4","")</x:f>
      </x:c>
      <x:c r="AE16" t="str">
        <x:f>IF(AND($A16="Verdadero o Falso Complejas",COUNTIF($H16:$H16,"?*")&gt;0),IF(COUNTIF($Q16:$AD16,"?*")&gt;0,", ","")&amp;"opcion E deshabilitada","")</x:f>
      </x:c>
      <x:c r="AF16" t="str">
        <x:f>IF(AND($A16="Verdadero o Falso Complejas",TRIM($I16)&lt;&gt;"",NOT(OR(LEFT(TRIM($I16),1)="A",LEFT(TRIM($I16),1)="B",LEFT(TRIM($I16),1)="C",LEFT(TRIM($I16),1)="D",LEFT(TRIM($I16),1)="E"))),IF(COUNTIF($Q16:$AE16,"?*")&gt;0,", ","")&amp;"respuesta A-E","")</x:f>
      </x:c>
      <x:c r="AG16" t="str">
        <x:f>IF(AND(OR($A16="Selección de la mejor respuesta",$A16="Subítem de caso o problema"),COUNTIF($D16:$H16,"?*")&lt;5),IF(COUNTIF($Q16:$AF16,"?*")&gt;0,", ","")&amp;"incisos A-E","")</x:f>
      </x:c>
      <x:c r="AH16" t="str">
        <x:f>IF(AND(OR($A16="Selección de la mejor respuesta",$A16="Subítem de caso o problema"),TRIM($I16)&lt;&gt;"",NOT(OR(LEFT(TRIM($I16),1)="A",LEFT(TRIM($I16),1)="B",LEFT(TRIM($I16),1)="C",LEFT(TRIM($I16),1)="D",LEFT(TRIM($I16),1)="E"))),IF(COUNTIF($Q16:$AG16,"?*")&gt;0,", ","")&amp;"respuesta A-E","")</x:f>
      </x:c>
      <x:c r="AI16" t="str">
        <x:f>IF(AND(OR($A16="Ítems agrupados por caso clínico o problema",$A16="Opción de Emparejamiento Ampliado"),COUNTIF($D16:$H16,"?*")&gt;0),IF(COUNTIF($Q16:$AH16,"?*")&gt;0,", ","")&amp;"sin incisos","")</x:f>
      </x:c>
      <x:c r="AJ16" t="str">
        <x:f>IF(AND($A16="Emparejamiento Ampliado",COUNTIF($D16:$H16,"?*")&lt;2),IF(COUNTIF($Q16:$AI16,"?*")&gt;0,", ","")&amp;"minimo 2 claves","")</x:f>
      </x:c>
      <x:c r="AK16" t="str">
        <x:f>IF(AND($A16="Opción de Emparejamiento Ampliado",NOT(OR(LEFT(TRIM($I16),1)="A",LEFT(TRIM($I16),1)="B",LEFT(TRIM($I16),1)="C",LEFT(TRIM($I16),1)="D",LEFT(TRIM($I16),1)="E"))),IF(COUNTIF($Q16:$AJ16,"?*")&gt;0,", ","")&amp;"respuesta A-E","")</x:f>
      </x:c>
      <x:c r="AL16" t="str">
        <x:f>IF(TRIM($K16)="",IF(COUNTIF($M16:$M16,"?*")&gt;0,", ","")&amp;"parcial","")</x:f>
      </x:c>
      <x:c r="AM16" t="str">
        <x:f>IF(AND(TRIM($K16)&lt;&gt;"",TRIM($K16)&lt;&gt;"1P"),IF(COUNTIF($M16:$N16,"?*")&gt;0,", ","")&amp;"parcial distinto a 1P","")</x:f>
      </x:c>
      <x:c r="AN16" t="str">
        <x:f>IF(AND(OR($A16="Ítems agrupados por caso clínico o problema",$A16="Subítem de caso o problema",$A16="Emparejamiento Ampliado",$A16="Opción de Emparejamiento Ampliado"),TRIM($B16)=""),IF(COUNTIF($M16:$O16,"?*")&gt;0,", ","")&amp;"grupo","")</x:f>
      </x:c>
    </x:row>
    <x:row r="17" ht="24" customHeight="1">
      <x:c r="A17" s="292"/>
      <x:c r="B17" s="292"/>
      <x:c r="C17" s="292"/>
      <x:c r="D17" s="292" t="str">
        <x:f>IF($A17="Verdadero o Falso Simple","Verdadero",IF($A17="Respuesta A/B/Ambas/Ninguna","A. Si la primera es verdadera",IF($A17="Verdadero o Falso Complejas","1. ","")))</x:f>
      </x:c>
      <x:c r="E17" s="292" t="str">
        <x:f>IF($A17="Verdadero o Falso Simple","Falso",IF($A17="Respuesta A/B/Ambas/Ninguna","B. Si la segunda es verdadera",IF($A17="Verdadero o Falso Complejas","2. ","")))</x:f>
      </x:c>
      <x:c r="F17" s="292" t="str">
        <x:f>IF($A17="Respuesta A/B/Ambas/Ninguna","C. Si ambas son verdaderas",IF($A17="Verdadero o Falso Complejas","3. ",""))</x:f>
      </x:c>
      <x:c r="G17" s="292" t="str">
        <x:f>IF($A17="Respuesta A/B/Ambas/Ninguna","D. Si ninguna es verdadera",IF($A17="Verdadero o Falso Complejas","4. ",""))</x:f>
      </x:c>
      <x:c r="H17" s="292" t="str">
        <x:f>IF($A17="Verdadero o Falso Simple","",IF($A17="Respuesta A/B/Ambas/Ninguna","",IF($A17="Verdadero o Falso Complejas","","")))</x:f>
      </x:c>
      <x:c r="I17" s="292"/>
      <x:c r="J17" s="292" t="n">
        <x:v>2</x:v>
      </x:c>
      <x:c r="K17" s="292" t="str">
        <x:v>1P</x:v>
      </x:c>
      <x:c r="L17" s="293"/>
      <x:c r="M17" s="289"/>
      <x:c r="N17"/>
      <x:c r="O17"/>
      <x:c r="P17"/>
      <x:c r="Q17" t="str">
        <x:f>IF(TRIM($C17)="","enunciado","")</x:f>
        <x:v>enunciado</x:v>
      </x:c>
      <x:c r="R17" t="str">
        <x:f>IF(TRIM($K17)="",IF(COUNTIF($Q17:$Q17,"?*")&gt;0,", ","")&amp;"parcial","")</x:f>
      </x:c>
      <x:c r="S17" t="str">
        <x:f>IF(AND(TRIM($K17)&lt;&gt;"",TRIM($K17)&lt;&gt;"1P"),IF(COUNTIF($Q17:$R17,"?*")&gt;0,", ","")&amp;"parcial distinto a 1P","")</x:f>
      </x:c>
      <x:c r="T17" t="str">
        <x:f>IF(AND(OR($A17="Ítems agrupados por caso clínico o problema",$A17="Subítem de caso o problema",$A17="Emparejamiento Ampliado",$A17="Opción de Emparejamiento Ampliado"),TRIM($B17)=""),IF(COUNTIF($Q17:$S17,"?*")&gt;0,", ","")&amp;"grupo","")</x:f>
      </x:c>
      <x:c r="U17" t="str">
        <x:f>IF(AND(OR($A17="Verdadero o Falso Simple",$A17="Respuesta A/B/Ambas/Ninguna",$A17="Verdadero o Falso Complejas",$A17="Selección de la mejor respuesta",$A17="Subítem de caso o problema",$A17="Opción de Emparejamiento Ampliado"),TRIM($I17)=""),IF(COUNTIF($Q17:$T17,"?*")&gt;0,", ","")&amp;"respuesta_correcta","")</x:f>
      </x:c>
      <x:c r="V17" t="str">
        <x:f>IF(AND(OR($A17="Verdadero o Falso Simple",$A17="Respuesta A/B/Ambas/Ninguna",$A17="Verdadero o Falso Complejas",$A17="Selección de la mejor respuesta",$A17="Subítem de caso o problema",$A17="Opción de Emparejamiento Ampliado"),TRIM($J17)=""),IF(COUNTIF($Q17:$U17,"?*")&gt;0,", ","")&amp;"dificultad","")</x:f>
      </x:c>
      <x:c r="W17" t="str">
        <x:f>IF(AND(OR($A17="Ítems agrupados por caso clínico o problema",$A17="Emparejamiento Ampliado"),TRIM($I17)&lt;&gt;""),IF(COUNTIF($Q17:$V17,"?*")&gt;0,", ","")&amp;"respuesta debe ir vacia","")</x:f>
      </x:c>
      <x:c r="X17" t="str">
        <x:f>IF(AND(OR($A17="Ítems agrupados por caso clínico o problema",$A17="Emparejamiento Ampliado"),TRIM($J17)&lt;&gt;""),IF(COUNTIF($Q17:$W17,"?*")&gt;0,", ","")&amp;"dificultad debe ir vacia","")</x:f>
      </x:c>
      <x:c r="Y17" t="str">
        <x:f>IF(AND($A17="Verdadero o Falso Simple",OR(COUNTIF($D17:$E17,"?*")&lt;2,COUNTIF($F17:$H17,"?*")&gt;0)),IF(COUNTIF($Q17:$X17,"?*")&gt;0,", ","")&amp;"incisos A-B","")</x:f>
      </x:c>
      <x:c r="Z17" t="str">
        <x:f>IF(AND($A17="Verdadero o Falso Simple",TRIM($I17)&lt;&gt;"",NOT(OR(LEFT(TRIM($I17),1)="A",LEFT(TRIM($I17),1)="B"))),IF(COUNTIF($Q17:$Y17,"?*")&gt;0,", ","")&amp;"respuesta A-B","")</x:f>
      </x:c>
      <x:c r="AA17" t="str">
        <x:f>IF(AND($A17="Respuesta A/B/Ambas/Ninguna",COUNTIF($D17:$G17,"?*")&lt;4),IF(COUNTIF($Q17:$Z17,"?*")&gt;0,", ","")&amp;"opciones A-D","")</x:f>
      </x:c>
      <x:c r="AB17" t="str">
        <x:f>IF(AND($A17="Respuesta A/B/Ambas/Ninguna",COUNTIF($H17:$H17,"?*")&gt;0),IF(COUNTIF($Q17:$AA17,"?*")&gt;0,", ","")&amp;"opcion E deshabilitada","")</x:f>
      </x:c>
      <x:c r="AC17" t="str">
        <x:f>IF(AND($A17="Respuesta A/B/Ambas/Ninguna",TRIM($I17)&lt;&gt;"",NOT(OR(LEFT(TRIM($I17),1)="A",LEFT(TRIM($I17),1)="B",LEFT(TRIM($I17),1)="C",LEFT(TRIM($I17),1)="D"))),IF(COUNTIF($Q17:$AB17,"?*")&gt;0,", ","")&amp;"respuesta A-D","")</x:f>
      </x:c>
      <x:c r="AD17" t="str">
        <x:f>IF(AND($A17="Verdadero o Falso Complejas",OR(LEN(TRIM(SUBSTITUTE($D17,"1.","")))=0,LEN(TRIM(SUBSTITUTE($E17,"2.","")))=0,LEN(TRIM(SUBSTITUTE($F17,"3.","")))=0,LEN(TRIM(SUBSTITUTE($G17,"4.","")))=0)),IF(COUNTIF($Q17:$AC17,"?*")&gt;0,", ","")&amp;"incisos 1-4","")</x:f>
      </x:c>
      <x:c r="AE17" t="str">
        <x:f>IF(AND($A17="Verdadero o Falso Complejas",COUNTIF($H17:$H17,"?*")&gt;0),IF(COUNTIF($Q17:$AD17,"?*")&gt;0,", ","")&amp;"opcion E deshabilitada","")</x:f>
      </x:c>
      <x:c r="AF17" t="str">
        <x:f>IF(AND($A17="Verdadero o Falso Complejas",TRIM($I17)&lt;&gt;"",NOT(OR(LEFT(TRIM($I17),1)="A",LEFT(TRIM($I17),1)="B",LEFT(TRIM($I17),1)="C",LEFT(TRIM($I17),1)="D",LEFT(TRIM($I17),1)="E"))),IF(COUNTIF($Q17:$AE17,"?*")&gt;0,", ","")&amp;"respuesta A-E","")</x:f>
      </x:c>
      <x:c r="AG17" t="str">
        <x:f>IF(AND(OR($A17="Selección de la mejor respuesta",$A17="Subítem de caso o problema"),COUNTIF($D17:$H17,"?*")&lt;5),IF(COUNTIF($Q17:$AF17,"?*")&gt;0,", ","")&amp;"incisos A-E","")</x:f>
      </x:c>
      <x:c r="AH17" t="str">
        <x:f>IF(AND(OR($A17="Selección de la mejor respuesta",$A17="Subítem de caso o problema"),TRIM($I17)&lt;&gt;"",NOT(OR(LEFT(TRIM($I17),1)="A",LEFT(TRIM($I17),1)="B",LEFT(TRIM($I17),1)="C",LEFT(TRIM($I17),1)="D",LEFT(TRIM($I17),1)="E"))),IF(COUNTIF($Q17:$AG17,"?*")&gt;0,", ","")&amp;"respuesta A-E","")</x:f>
      </x:c>
      <x:c r="AI17" t="str">
        <x:f>IF(AND(OR($A17="Ítems agrupados por caso clínico o problema",$A17="Opción de Emparejamiento Ampliado"),COUNTIF($D17:$H17,"?*")&gt;0),IF(COUNTIF($Q17:$AH17,"?*")&gt;0,", ","")&amp;"sin incisos","")</x:f>
      </x:c>
      <x:c r="AJ17" t="str">
        <x:f>IF(AND($A17="Emparejamiento Ampliado",COUNTIF($D17:$H17,"?*")&lt;2),IF(COUNTIF($Q17:$AI17,"?*")&gt;0,", ","")&amp;"minimo 2 claves","")</x:f>
      </x:c>
      <x:c r="AK17" t="str">
        <x:f>IF(AND($A17="Opción de Emparejamiento Ampliado",NOT(OR(LEFT(TRIM($I17),1)="A",LEFT(TRIM($I17),1)="B",LEFT(TRIM($I17),1)="C",LEFT(TRIM($I17),1)="D",LEFT(TRIM($I17),1)="E"))),IF(COUNTIF($Q17:$AJ17,"?*")&gt;0,", ","")&amp;"respuesta A-E","")</x:f>
      </x:c>
      <x:c r="AL17" t="str">
        <x:f>IF(TRIM($K17)="",IF(COUNTIF($M17:$M17,"?*")&gt;0,", ","")&amp;"parcial","")</x:f>
      </x:c>
      <x:c r="AM17" t="str">
        <x:f>IF(AND(TRIM($K17)&lt;&gt;"",TRIM($K17)&lt;&gt;"1P"),IF(COUNTIF($M17:$N17,"?*")&gt;0,", ","")&amp;"parcial distinto a 1P","")</x:f>
      </x:c>
      <x:c r="AN17" t="str">
        <x:f>IF(AND(OR($A17="Ítems agrupados por caso clínico o problema",$A17="Subítem de caso o problema",$A17="Emparejamiento Ampliado",$A17="Opción de Emparejamiento Ampliado"),TRIM($B17)=""),IF(COUNTIF($M17:$O17,"?*")&gt;0,", ","")&amp;"grupo","")</x:f>
      </x:c>
    </x:row>
    <x:row r="18" ht="24" customHeight="1">
      <x:c r="A18" s="292"/>
      <x:c r="B18" s="292"/>
      <x:c r="C18" s="292"/>
      <x:c r="D18" s="292" t="str">
        <x:f>IF($A18="Verdadero o Falso Simple","Verdadero",IF($A18="Respuesta A/B/Ambas/Ninguna","A. Si la primera es verdadera",IF($A18="Verdadero o Falso Complejas","1. ","")))</x:f>
      </x:c>
      <x:c r="E18" s="292" t="str">
        <x:f>IF($A18="Verdadero o Falso Simple","Falso",IF($A18="Respuesta A/B/Ambas/Ninguna","B. Si la segunda es verdadera",IF($A18="Verdadero o Falso Complejas","2. ","")))</x:f>
      </x:c>
      <x:c r="F18" s="292" t="str">
        <x:f>IF($A18="Respuesta A/B/Ambas/Ninguna","C. Si ambas son verdaderas",IF($A18="Verdadero o Falso Complejas","3. ",""))</x:f>
      </x:c>
      <x:c r="G18" s="292" t="str">
        <x:f>IF($A18="Respuesta A/B/Ambas/Ninguna","D. Si ninguna es verdadera",IF($A18="Verdadero o Falso Complejas","4. ",""))</x:f>
      </x:c>
      <x:c r="H18" s="292" t="str">
        <x:f>IF($A18="Verdadero o Falso Simple","",IF($A18="Respuesta A/B/Ambas/Ninguna","",IF($A18="Verdadero o Falso Complejas","","")))</x:f>
      </x:c>
      <x:c r="I18" s="292"/>
      <x:c r="J18" s="292" t="n">
        <x:v>2</x:v>
      </x:c>
      <x:c r="K18" s="292" t="str">
        <x:v>1P</x:v>
      </x:c>
      <x:c r="L18" s="293"/>
      <x:c r="M18" s="289"/>
      <x:c r="N18"/>
      <x:c r="O18"/>
      <x:c r="P18"/>
      <x:c r="Q18" t="str">
        <x:f>IF(TRIM($C18)="","enunciado","")</x:f>
        <x:v>enunciado</x:v>
      </x:c>
      <x:c r="R18" t="str">
        <x:f>IF(TRIM($K18)="",IF(COUNTIF($Q18:$Q18,"?*")&gt;0,", ","")&amp;"parcial","")</x:f>
      </x:c>
      <x:c r="S18" t="str">
        <x:f>IF(AND(TRIM($K18)&lt;&gt;"",TRIM($K18)&lt;&gt;"1P"),IF(COUNTIF($Q18:$R18,"?*")&gt;0,", ","")&amp;"parcial distinto a 1P","")</x:f>
      </x:c>
      <x:c r="T18" t="str">
        <x:f>IF(AND(OR($A18="Ítems agrupados por caso clínico o problema",$A18="Subítem de caso o problema",$A18="Emparejamiento Ampliado",$A18="Opción de Emparejamiento Ampliado"),TRIM($B18)=""),IF(COUNTIF($Q18:$S18,"?*")&gt;0,", ","")&amp;"grupo","")</x:f>
      </x:c>
      <x:c r="U18" t="str">
        <x:f>IF(AND(OR($A18="Verdadero o Falso Simple",$A18="Respuesta A/B/Ambas/Ninguna",$A18="Verdadero o Falso Complejas",$A18="Selección de la mejor respuesta",$A18="Subítem de caso o problema",$A18="Opción de Emparejamiento Ampliado"),TRIM($I18)=""),IF(COUNTIF($Q18:$T18,"?*")&gt;0,", ","")&amp;"respuesta_correcta","")</x:f>
      </x:c>
      <x:c r="V18" t="str">
        <x:f>IF(AND(OR($A18="Verdadero o Falso Simple",$A18="Respuesta A/B/Ambas/Ninguna",$A18="Verdadero o Falso Complejas",$A18="Selección de la mejor respuesta",$A18="Subítem de caso o problema",$A18="Opción de Emparejamiento Ampliado"),TRIM($J18)=""),IF(COUNTIF($Q18:$U18,"?*")&gt;0,", ","")&amp;"dificultad","")</x:f>
      </x:c>
      <x:c r="W18" t="str">
        <x:f>IF(AND(OR($A18="Ítems agrupados por caso clínico o problema",$A18="Emparejamiento Ampliado"),TRIM($I18)&lt;&gt;""),IF(COUNTIF($Q18:$V18,"?*")&gt;0,", ","")&amp;"respuesta debe ir vacia","")</x:f>
      </x:c>
      <x:c r="X18" t="str">
        <x:f>IF(AND(OR($A18="Ítems agrupados por caso clínico o problema",$A18="Emparejamiento Ampliado"),TRIM($J18)&lt;&gt;""),IF(COUNTIF($Q18:$W18,"?*")&gt;0,", ","")&amp;"dificultad debe ir vacia","")</x:f>
      </x:c>
      <x:c r="Y18" t="str">
        <x:f>IF(AND($A18="Verdadero o Falso Simple",OR(COUNTIF($D18:$E18,"?*")&lt;2,COUNTIF($F18:$H18,"?*")&gt;0)),IF(COUNTIF($Q18:$X18,"?*")&gt;0,", ","")&amp;"incisos A-B","")</x:f>
      </x:c>
      <x:c r="Z18" t="str">
        <x:f>IF(AND($A18="Verdadero o Falso Simple",TRIM($I18)&lt;&gt;"",NOT(OR(LEFT(TRIM($I18),1)="A",LEFT(TRIM($I18),1)="B"))),IF(COUNTIF($Q18:$Y18,"?*")&gt;0,", ","")&amp;"respuesta A-B","")</x:f>
      </x:c>
      <x:c r="AA18" t="str">
        <x:f>IF(AND($A18="Respuesta A/B/Ambas/Ninguna",COUNTIF($D18:$G18,"?*")&lt;4),IF(COUNTIF($Q18:$Z18,"?*")&gt;0,", ","")&amp;"opciones A-D","")</x:f>
      </x:c>
      <x:c r="AB18" t="str">
        <x:f>IF(AND($A18="Respuesta A/B/Ambas/Ninguna",COUNTIF($H18:$H18,"?*")&gt;0),IF(COUNTIF($Q18:$AA18,"?*")&gt;0,", ","")&amp;"opcion E deshabilitada","")</x:f>
      </x:c>
      <x:c r="AC18" t="str">
        <x:f>IF(AND($A18="Respuesta A/B/Ambas/Ninguna",TRIM($I18)&lt;&gt;"",NOT(OR(LEFT(TRIM($I18),1)="A",LEFT(TRIM($I18),1)="B",LEFT(TRIM($I18),1)="C",LEFT(TRIM($I18),1)="D"))),IF(COUNTIF($Q18:$AB18,"?*")&gt;0,", ","")&amp;"respuesta A-D","")</x:f>
      </x:c>
      <x:c r="AD18" t="str">
        <x:f>IF(AND($A18="Verdadero o Falso Complejas",OR(LEN(TRIM(SUBSTITUTE($D18,"1.","")))=0,LEN(TRIM(SUBSTITUTE($E18,"2.","")))=0,LEN(TRIM(SUBSTITUTE($F18,"3.","")))=0,LEN(TRIM(SUBSTITUTE($G18,"4.","")))=0)),IF(COUNTIF($Q18:$AC18,"?*")&gt;0,", ","")&amp;"incisos 1-4","")</x:f>
      </x:c>
      <x:c r="AE18" t="str">
        <x:f>IF(AND($A18="Verdadero o Falso Complejas",COUNTIF($H18:$H18,"?*")&gt;0),IF(COUNTIF($Q18:$AD18,"?*")&gt;0,", ","")&amp;"opcion E deshabilitada","")</x:f>
      </x:c>
      <x:c r="AF18" t="str">
        <x:f>IF(AND($A18="Verdadero o Falso Complejas",TRIM($I18)&lt;&gt;"",NOT(OR(LEFT(TRIM($I18),1)="A",LEFT(TRIM($I18),1)="B",LEFT(TRIM($I18),1)="C",LEFT(TRIM($I18),1)="D",LEFT(TRIM($I18),1)="E"))),IF(COUNTIF($Q18:$AE18,"?*")&gt;0,", ","")&amp;"respuesta A-E","")</x:f>
      </x:c>
      <x:c r="AG18" t="str">
        <x:f>IF(AND(OR($A18="Selección de la mejor respuesta",$A18="Subítem de caso o problema"),COUNTIF($D18:$H18,"?*")&lt;5),IF(COUNTIF($Q18:$AF18,"?*")&gt;0,", ","")&amp;"incisos A-E","")</x:f>
      </x:c>
      <x:c r="AH18" t="str">
        <x:f>IF(AND(OR($A18="Selección de la mejor respuesta",$A18="Subítem de caso o problema"),TRIM($I18)&lt;&gt;"",NOT(OR(LEFT(TRIM($I18),1)="A",LEFT(TRIM($I18),1)="B",LEFT(TRIM($I18),1)="C",LEFT(TRIM($I18),1)="D",LEFT(TRIM($I18),1)="E"))),IF(COUNTIF($Q18:$AG18,"?*")&gt;0,", ","")&amp;"respuesta A-E","")</x:f>
      </x:c>
      <x:c r="AI18" t="str">
        <x:f>IF(AND(OR($A18="Ítems agrupados por caso clínico o problema",$A18="Opción de Emparejamiento Ampliado"),COUNTIF($D18:$H18,"?*")&gt;0),IF(COUNTIF($Q18:$AH18,"?*")&gt;0,", ","")&amp;"sin incisos","")</x:f>
      </x:c>
      <x:c r="AJ18" t="str">
        <x:f>IF(AND($A18="Emparejamiento Ampliado",COUNTIF($D18:$H18,"?*")&lt;2),IF(COUNTIF($Q18:$AI18,"?*")&gt;0,", ","")&amp;"minimo 2 claves","")</x:f>
      </x:c>
      <x:c r="AK18" t="str">
        <x:f>IF(AND($A18="Opción de Emparejamiento Ampliado",NOT(OR(LEFT(TRIM($I18),1)="A",LEFT(TRIM($I18),1)="B",LEFT(TRIM($I18),1)="C",LEFT(TRIM($I18),1)="D",LEFT(TRIM($I18),1)="E"))),IF(COUNTIF($Q18:$AJ18,"?*")&gt;0,", ","")&amp;"respuesta A-E","")</x:f>
      </x:c>
      <x:c r="AL18" t="str">
        <x:f>IF(TRIM($K18)="",IF(COUNTIF($M18:$M18,"?*")&gt;0,", ","")&amp;"parcial","")</x:f>
      </x:c>
      <x:c r="AM18" t="str">
        <x:f>IF(AND(TRIM($K18)&lt;&gt;"",TRIM($K18)&lt;&gt;"1P"),IF(COUNTIF($M18:$N18,"?*")&gt;0,", ","")&amp;"parcial distinto a 1P","")</x:f>
      </x:c>
      <x:c r="AN18" t="str">
        <x:f>IF(AND(OR($A18="Ítems agrupados por caso clínico o problema",$A18="Subítem de caso o problema",$A18="Emparejamiento Ampliado",$A18="Opción de Emparejamiento Ampliado"),TRIM($B18)=""),IF(COUNTIF($M18:$O18,"?*")&gt;0,", ","")&amp;"grupo","")</x:f>
      </x:c>
    </x:row>
    <x:row r="19" ht="24" customHeight="1">
      <x:c r="A19" s="292"/>
      <x:c r="B19" s="292"/>
      <x:c r="C19" s="292"/>
      <x:c r="D19" s="292" t="str">
        <x:f>IF($A19="Verdadero o Falso Simple","Verdadero",IF($A19="Respuesta A/B/Ambas/Ninguna","A. Si la primera es verdadera",IF($A19="Verdadero o Falso Complejas","1. ","")))</x:f>
      </x:c>
      <x:c r="E19" s="292" t="str">
        <x:f>IF($A19="Verdadero o Falso Simple","Falso",IF($A19="Respuesta A/B/Ambas/Ninguna","B. Si la segunda es verdadera",IF($A19="Verdadero o Falso Complejas","2. ","")))</x:f>
      </x:c>
      <x:c r="F19" s="292" t="str">
        <x:f>IF($A19="Respuesta A/B/Ambas/Ninguna","C. Si ambas son verdaderas",IF($A19="Verdadero o Falso Complejas","3. ",""))</x:f>
      </x:c>
      <x:c r="G19" s="292" t="str">
        <x:f>IF($A19="Respuesta A/B/Ambas/Ninguna","D. Si ninguna es verdadera",IF($A19="Verdadero o Falso Complejas","4. ",""))</x:f>
      </x:c>
      <x:c r="H19" s="292" t="str">
        <x:f>IF($A19="Verdadero o Falso Simple","",IF($A19="Respuesta A/B/Ambas/Ninguna","",IF($A19="Verdadero o Falso Complejas","","")))</x:f>
      </x:c>
      <x:c r="I19" s="292"/>
      <x:c r="J19" s="292" t="n">
        <x:v>2</x:v>
      </x:c>
      <x:c r="K19" s="292" t="str">
        <x:v>1P</x:v>
      </x:c>
      <x:c r="L19" s="293"/>
      <x:c r="M19" s="289"/>
      <x:c r="N19"/>
      <x:c r="O19"/>
      <x:c r="P19"/>
      <x:c r="Q19" t="str">
        <x:f>IF(TRIM($C19)="","enunciado","")</x:f>
        <x:v>enunciado</x:v>
      </x:c>
      <x:c r="R19" t="str">
        <x:f>IF(TRIM($K19)="",IF(COUNTIF($Q19:$Q19,"?*")&gt;0,", ","")&amp;"parcial","")</x:f>
      </x:c>
      <x:c r="S19" t="str">
        <x:f>IF(AND(TRIM($K19)&lt;&gt;"",TRIM($K19)&lt;&gt;"1P"),IF(COUNTIF($Q19:$R19,"?*")&gt;0,", ","")&amp;"parcial distinto a 1P","")</x:f>
      </x:c>
      <x:c r="T19" t="str">
        <x:f>IF(AND(OR($A19="Ítems agrupados por caso clínico o problema",$A19="Subítem de caso o problema",$A19="Emparejamiento Ampliado",$A19="Opción de Emparejamiento Ampliado"),TRIM($B19)=""),IF(COUNTIF($Q19:$S19,"?*")&gt;0,", ","")&amp;"grupo","")</x:f>
      </x:c>
      <x:c r="U19" t="str">
        <x:f>IF(AND(OR($A19="Verdadero o Falso Simple",$A19="Respuesta A/B/Ambas/Ninguna",$A19="Verdadero o Falso Complejas",$A19="Selección de la mejor respuesta",$A19="Subítem de caso o problema",$A19="Opción de Emparejamiento Ampliado"),TRIM($I19)=""),IF(COUNTIF($Q19:$T19,"?*")&gt;0,", ","")&amp;"respuesta_correcta","")</x:f>
      </x:c>
      <x:c r="V19" t="str">
        <x:f>IF(AND(OR($A19="Verdadero o Falso Simple",$A19="Respuesta A/B/Ambas/Ninguna",$A19="Verdadero o Falso Complejas",$A19="Selección de la mejor respuesta",$A19="Subítem de caso o problema",$A19="Opción de Emparejamiento Ampliado"),TRIM($J19)=""),IF(COUNTIF($Q19:$U19,"?*")&gt;0,", ","")&amp;"dificultad","")</x:f>
      </x:c>
      <x:c r="W19" t="str">
        <x:f>IF(AND(OR($A19="Ítems agrupados por caso clínico o problema",$A19="Emparejamiento Ampliado"),TRIM($I19)&lt;&gt;""),IF(COUNTIF($Q19:$V19,"?*")&gt;0,", ","")&amp;"respuesta debe ir vacia","")</x:f>
      </x:c>
      <x:c r="X19" t="str">
        <x:f>IF(AND(OR($A19="Ítems agrupados por caso clínico o problema",$A19="Emparejamiento Ampliado"),TRIM($J19)&lt;&gt;""),IF(COUNTIF($Q19:$W19,"?*")&gt;0,", ","")&amp;"dificultad debe ir vacia","")</x:f>
      </x:c>
      <x:c r="Y19" t="str">
        <x:f>IF(AND($A19="Verdadero o Falso Simple",OR(COUNTIF($D19:$E19,"?*")&lt;2,COUNTIF($F19:$H19,"?*")&gt;0)),IF(COUNTIF($Q19:$X19,"?*")&gt;0,", ","")&amp;"incisos A-B","")</x:f>
      </x:c>
      <x:c r="Z19" t="str">
        <x:f>IF(AND($A19="Verdadero o Falso Simple",TRIM($I19)&lt;&gt;"",NOT(OR(LEFT(TRIM($I19),1)="A",LEFT(TRIM($I19),1)="B"))),IF(COUNTIF($Q19:$Y19,"?*")&gt;0,", ","")&amp;"respuesta A-B","")</x:f>
      </x:c>
      <x:c r="AA19" t="str">
        <x:f>IF(AND($A19="Respuesta A/B/Ambas/Ninguna",COUNTIF($D19:$G19,"?*")&lt;4),IF(COUNTIF($Q19:$Z19,"?*")&gt;0,", ","")&amp;"opciones A-D","")</x:f>
      </x:c>
      <x:c r="AB19" t="str">
        <x:f>IF(AND($A19="Respuesta A/B/Ambas/Ninguna",COUNTIF($H19:$H19,"?*")&gt;0),IF(COUNTIF($Q19:$AA19,"?*")&gt;0,", ","")&amp;"opcion E deshabilitada","")</x:f>
      </x:c>
      <x:c r="AC19" t="str">
        <x:f>IF(AND($A19="Respuesta A/B/Ambas/Ninguna",TRIM($I19)&lt;&gt;"",NOT(OR(LEFT(TRIM($I19),1)="A",LEFT(TRIM($I19),1)="B",LEFT(TRIM($I19),1)="C",LEFT(TRIM($I19),1)="D"))),IF(COUNTIF($Q19:$AB19,"?*")&gt;0,", ","")&amp;"respuesta A-D","")</x:f>
      </x:c>
      <x:c r="AD19" t="str">
        <x:f>IF(AND($A19="Verdadero o Falso Complejas",OR(LEN(TRIM(SUBSTITUTE($D19,"1.","")))=0,LEN(TRIM(SUBSTITUTE($E19,"2.","")))=0,LEN(TRIM(SUBSTITUTE($F19,"3.","")))=0,LEN(TRIM(SUBSTITUTE($G19,"4.","")))=0)),IF(COUNTIF($Q19:$AC19,"?*")&gt;0,", ","")&amp;"incisos 1-4","")</x:f>
      </x:c>
      <x:c r="AE19" t="str">
        <x:f>IF(AND($A19="Verdadero o Falso Complejas",COUNTIF($H19:$H19,"?*")&gt;0),IF(COUNTIF($Q19:$AD19,"?*")&gt;0,", ","")&amp;"opcion E deshabilitada","")</x:f>
      </x:c>
      <x:c r="AF19" t="str">
        <x:f>IF(AND($A19="Verdadero o Falso Complejas",TRIM($I19)&lt;&gt;"",NOT(OR(LEFT(TRIM($I19),1)="A",LEFT(TRIM($I19),1)="B",LEFT(TRIM($I19),1)="C",LEFT(TRIM($I19),1)="D",LEFT(TRIM($I19),1)="E"))),IF(COUNTIF($Q19:$AE19,"?*")&gt;0,", ","")&amp;"respuesta A-E","")</x:f>
      </x:c>
      <x:c r="AG19" t="str">
        <x:f>IF(AND(OR($A19="Selección de la mejor respuesta",$A19="Subítem de caso o problema"),COUNTIF($D19:$H19,"?*")&lt;5),IF(COUNTIF($Q19:$AF19,"?*")&gt;0,", ","")&amp;"incisos A-E","")</x:f>
      </x:c>
      <x:c r="AH19" t="str">
        <x:f>IF(AND(OR($A19="Selección de la mejor respuesta",$A19="Subítem de caso o problema"),TRIM($I19)&lt;&gt;"",NOT(OR(LEFT(TRIM($I19),1)="A",LEFT(TRIM($I19),1)="B",LEFT(TRIM($I19),1)="C",LEFT(TRIM($I19),1)="D",LEFT(TRIM($I19),1)="E"))),IF(COUNTIF($Q19:$AG19,"?*")&gt;0,", ","")&amp;"respuesta A-E","")</x:f>
      </x:c>
      <x:c r="AI19" t="str">
        <x:f>IF(AND(OR($A19="Ítems agrupados por caso clínico o problema",$A19="Opción de Emparejamiento Ampliado"),COUNTIF($D19:$H19,"?*")&gt;0),IF(COUNTIF($Q19:$AH19,"?*")&gt;0,", ","")&amp;"sin incisos","")</x:f>
      </x:c>
      <x:c r="AJ19" t="str">
        <x:f>IF(AND($A19="Emparejamiento Ampliado",COUNTIF($D19:$H19,"?*")&lt;2),IF(COUNTIF($Q19:$AI19,"?*")&gt;0,", ","")&amp;"minimo 2 claves","")</x:f>
      </x:c>
      <x:c r="AK19" t="str">
        <x:f>IF(AND($A19="Opción de Emparejamiento Ampliado",NOT(OR(LEFT(TRIM($I19),1)="A",LEFT(TRIM($I19),1)="B",LEFT(TRIM($I19),1)="C",LEFT(TRIM($I19),1)="D",LEFT(TRIM($I19),1)="E"))),IF(COUNTIF($Q19:$AJ19,"?*")&gt;0,", ","")&amp;"respuesta A-E","")</x:f>
      </x:c>
      <x:c r="AL19" t="str">
        <x:f>IF(TRIM($K19)="",IF(COUNTIF($M19:$M19,"?*")&gt;0,", ","")&amp;"parcial","")</x:f>
      </x:c>
      <x:c r="AM19" t="str">
        <x:f>IF(AND(TRIM($K19)&lt;&gt;"",TRIM($K19)&lt;&gt;"1P"),IF(COUNTIF($M19:$N19,"?*")&gt;0,", ","")&amp;"parcial distinto a 1P","")</x:f>
      </x:c>
      <x:c r="AN19" t="str">
        <x:f>IF(AND(OR($A19="Ítems agrupados por caso clínico o problema",$A19="Subítem de caso o problema",$A19="Emparejamiento Ampliado",$A19="Opción de Emparejamiento Ampliado"),TRIM($B19)=""),IF(COUNTIF($M19:$O19,"?*")&gt;0,", ","")&amp;"grupo","")</x:f>
      </x:c>
    </x:row>
    <x:row r="20" ht="24" customHeight="1">
      <x:c r="A20" s="292"/>
      <x:c r="B20" s="292"/>
      <x:c r="C20" s="292"/>
      <x:c r="D20" s="292" t="str">
        <x:f>IF($A20="Verdadero o Falso Simple","Verdadero",IF($A20="Respuesta A/B/Ambas/Ninguna","A. Si la primera es verdadera",IF($A20="Verdadero o Falso Complejas","1. ","")))</x:f>
      </x:c>
      <x:c r="E20" s="292" t="str">
        <x:f>IF($A20="Verdadero o Falso Simple","Falso",IF($A20="Respuesta A/B/Ambas/Ninguna","B. Si la segunda es verdadera",IF($A20="Verdadero o Falso Complejas","2. ","")))</x:f>
      </x:c>
      <x:c r="F20" s="292" t="str">
        <x:f>IF($A20="Respuesta A/B/Ambas/Ninguna","C. Si ambas son verdaderas",IF($A20="Verdadero o Falso Complejas","3. ",""))</x:f>
      </x:c>
      <x:c r="G20" s="292" t="str">
        <x:f>IF($A20="Respuesta A/B/Ambas/Ninguna","D. Si ninguna es verdadera",IF($A20="Verdadero o Falso Complejas","4. ",""))</x:f>
      </x:c>
      <x:c r="H20" s="292" t="str">
        <x:f>IF($A20="Verdadero o Falso Simple","",IF($A20="Respuesta A/B/Ambas/Ninguna","",IF($A20="Verdadero o Falso Complejas","","")))</x:f>
      </x:c>
      <x:c r="I20" s="292"/>
      <x:c r="J20" s="292" t="n">
        <x:v>2</x:v>
      </x:c>
      <x:c r="K20" s="292" t="str">
        <x:v>1P</x:v>
      </x:c>
      <x:c r="L20" s="293"/>
      <x:c r="M20" s="289"/>
      <x:c r="N20"/>
      <x:c r="O20"/>
      <x:c r="P20"/>
      <x:c r="Q20" t="str">
        <x:f>IF(TRIM($C20)="","enunciado","")</x:f>
        <x:v>enunciado</x:v>
      </x:c>
      <x:c r="R20" t="str">
        <x:f>IF(TRIM($K20)="",IF(COUNTIF($Q20:$Q20,"?*")&gt;0,", ","")&amp;"parcial","")</x:f>
      </x:c>
      <x:c r="S20" t="str">
        <x:f>IF(AND(TRIM($K20)&lt;&gt;"",TRIM($K20)&lt;&gt;"1P"),IF(COUNTIF($Q20:$R20,"?*")&gt;0,", ","")&amp;"parcial distinto a 1P","")</x:f>
      </x:c>
      <x:c r="T20" t="str">
        <x:f>IF(AND(OR($A20="Ítems agrupados por caso clínico o problema",$A20="Subítem de caso o problema",$A20="Emparejamiento Ampliado",$A20="Opción de Emparejamiento Ampliado"),TRIM($B20)=""),IF(COUNTIF($Q20:$S20,"?*")&gt;0,", ","")&amp;"grupo","")</x:f>
      </x:c>
      <x:c r="U20" t="str">
        <x:f>IF(AND(OR($A20="Verdadero o Falso Simple",$A20="Respuesta A/B/Ambas/Ninguna",$A20="Verdadero o Falso Complejas",$A20="Selección de la mejor respuesta",$A20="Subítem de caso o problema",$A20="Opción de Emparejamiento Ampliado"),TRIM($I20)=""),IF(COUNTIF($Q20:$T20,"?*")&gt;0,", ","")&amp;"respuesta_correcta","")</x:f>
      </x:c>
      <x:c r="V20" t="str">
        <x:f>IF(AND(OR($A20="Verdadero o Falso Simple",$A20="Respuesta A/B/Ambas/Ninguna",$A20="Verdadero o Falso Complejas",$A20="Selección de la mejor respuesta",$A20="Subítem de caso o problema",$A20="Opción de Emparejamiento Ampliado"),TRIM($J20)=""),IF(COUNTIF($Q20:$U20,"?*")&gt;0,", ","")&amp;"dificultad","")</x:f>
      </x:c>
      <x:c r="W20" t="str">
        <x:f>IF(AND(OR($A20="Ítems agrupados por caso clínico o problema",$A20="Emparejamiento Ampliado"),TRIM($I20)&lt;&gt;""),IF(COUNTIF($Q20:$V20,"?*")&gt;0,", ","")&amp;"respuesta debe ir vacia","")</x:f>
      </x:c>
      <x:c r="X20" t="str">
        <x:f>IF(AND(OR($A20="Ítems agrupados por caso clínico o problema",$A20="Emparejamiento Ampliado"),TRIM($J20)&lt;&gt;""),IF(COUNTIF($Q20:$W20,"?*")&gt;0,", ","")&amp;"dificultad debe ir vacia","")</x:f>
      </x:c>
      <x:c r="Y20" t="str">
        <x:f>IF(AND($A20="Verdadero o Falso Simple",OR(COUNTIF($D20:$E20,"?*")&lt;2,COUNTIF($F20:$H20,"?*")&gt;0)),IF(COUNTIF($Q20:$X20,"?*")&gt;0,", ","")&amp;"incisos A-B","")</x:f>
      </x:c>
      <x:c r="Z20" t="str">
        <x:f>IF(AND($A20="Verdadero o Falso Simple",TRIM($I20)&lt;&gt;"",NOT(OR(LEFT(TRIM($I20),1)="A",LEFT(TRIM($I20),1)="B"))),IF(COUNTIF($Q20:$Y20,"?*")&gt;0,", ","")&amp;"respuesta A-B","")</x:f>
      </x:c>
      <x:c r="AA20" t="str">
        <x:f>IF(AND($A20="Respuesta A/B/Ambas/Ninguna",COUNTIF($D20:$G20,"?*")&lt;4),IF(COUNTIF($Q20:$Z20,"?*")&gt;0,", ","")&amp;"opciones A-D","")</x:f>
      </x:c>
      <x:c r="AB20" t="str">
        <x:f>IF(AND($A20="Respuesta A/B/Ambas/Ninguna",COUNTIF($H20:$H20,"?*")&gt;0),IF(COUNTIF($Q20:$AA20,"?*")&gt;0,", ","")&amp;"opcion E deshabilitada","")</x:f>
      </x:c>
      <x:c r="AC20" t="str">
        <x:f>IF(AND($A20="Respuesta A/B/Ambas/Ninguna",TRIM($I20)&lt;&gt;"",NOT(OR(LEFT(TRIM($I20),1)="A",LEFT(TRIM($I20),1)="B",LEFT(TRIM($I20),1)="C",LEFT(TRIM($I20),1)="D"))),IF(COUNTIF($Q20:$AB20,"?*")&gt;0,", ","")&amp;"respuesta A-D","")</x:f>
      </x:c>
      <x:c r="AD20" t="str">
        <x:f>IF(AND($A20="Verdadero o Falso Complejas",OR(LEN(TRIM(SUBSTITUTE($D20,"1.","")))=0,LEN(TRIM(SUBSTITUTE($E20,"2.","")))=0,LEN(TRIM(SUBSTITUTE($F20,"3.","")))=0,LEN(TRIM(SUBSTITUTE($G20,"4.","")))=0)),IF(COUNTIF($Q20:$AC20,"?*")&gt;0,", ","")&amp;"incisos 1-4","")</x:f>
      </x:c>
      <x:c r="AE20" t="str">
        <x:f>IF(AND($A20="Verdadero o Falso Complejas",COUNTIF($H20:$H20,"?*")&gt;0),IF(COUNTIF($Q20:$AD20,"?*")&gt;0,", ","")&amp;"opcion E deshabilitada","")</x:f>
      </x:c>
      <x:c r="AF20" t="str">
        <x:f>IF(AND($A20="Verdadero o Falso Complejas",TRIM($I20)&lt;&gt;"",NOT(OR(LEFT(TRIM($I20),1)="A",LEFT(TRIM($I20),1)="B",LEFT(TRIM($I20),1)="C",LEFT(TRIM($I20),1)="D",LEFT(TRIM($I20),1)="E"))),IF(COUNTIF($Q20:$AE20,"?*")&gt;0,", ","")&amp;"respuesta A-E","")</x:f>
      </x:c>
      <x:c r="AG20" t="str">
        <x:f>IF(AND(OR($A20="Selección de la mejor respuesta",$A20="Subítem de caso o problema"),COUNTIF($D20:$H20,"?*")&lt;5),IF(COUNTIF($Q20:$AF20,"?*")&gt;0,", ","")&amp;"incisos A-E","")</x:f>
      </x:c>
      <x:c r="AH20" t="str">
        <x:f>IF(AND(OR($A20="Selección de la mejor respuesta",$A20="Subítem de caso o problema"),TRIM($I20)&lt;&gt;"",NOT(OR(LEFT(TRIM($I20),1)="A",LEFT(TRIM($I20),1)="B",LEFT(TRIM($I20),1)="C",LEFT(TRIM($I20),1)="D",LEFT(TRIM($I20),1)="E"))),IF(COUNTIF($Q20:$AG20,"?*")&gt;0,", ","")&amp;"respuesta A-E","")</x:f>
      </x:c>
      <x:c r="AI20" t="str">
        <x:f>IF(AND(OR($A20="Ítems agrupados por caso clínico o problema",$A20="Opción de Emparejamiento Ampliado"),COUNTIF($D20:$H20,"?*")&gt;0),IF(COUNTIF($Q20:$AH20,"?*")&gt;0,", ","")&amp;"sin incisos","")</x:f>
      </x:c>
      <x:c r="AJ20" t="str">
        <x:f>IF(AND($A20="Emparejamiento Ampliado",COUNTIF($D20:$H20,"?*")&lt;2),IF(COUNTIF($Q20:$AI20,"?*")&gt;0,", ","")&amp;"minimo 2 claves","")</x:f>
      </x:c>
      <x:c r="AK20" t="str">
        <x:f>IF(AND($A20="Opción de Emparejamiento Ampliado",NOT(OR(LEFT(TRIM($I20),1)="A",LEFT(TRIM($I20),1)="B",LEFT(TRIM($I20),1)="C",LEFT(TRIM($I20),1)="D",LEFT(TRIM($I20),1)="E"))),IF(COUNTIF($Q20:$AJ20,"?*")&gt;0,", ","")&amp;"respuesta A-E","")</x:f>
      </x:c>
      <x:c r="AL20" t="str">
        <x:f>IF(TRIM($K20)="",IF(COUNTIF($M20:$M20,"?*")&gt;0,", ","")&amp;"parcial","")</x:f>
      </x:c>
      <x:c r="AM20" t="str">
        <x:f>IF(AND(TRIM($K20)&lt;&gt;"",TRIM($K20)&lt;&gt;"1P"),IF(COUNTIF($M20:$N20,"?*")&gt;0,", ","")&amp;"parcial distinto a 1P","")</x:f>
      </x:c>
      <x:c r="AN20" t="str">
        <x:f>IF(AND(OR($A20="Ítems agrupados por caso clínico o problema",$A20="Subítem de caso o problema",$A20="Emparejamiento Ampliado",$A20="Opción de Emparejamiento Ampliado"),TRIM($B20)=""),IF(COUNTIF($M20:$O20,"?*")&gt;0,", ","")&amp;"grupo","")</x:f>
      </x:c>
    </x:row>
    <x:row r="21" ht="24" customHeight="1">
      <x:c r="A21" s="292"/>
      <x:c r="B21" s="292"/>
      <x:c r="C21" s="292"/>
      <x:c r="D21" s="292" t="str">
        <x:f>IF($A21="Verdadero o Falso Simple","Verdadero",IF($A21="Respuesta A/B/Ambas/Ninguna","A. Si la primera es verdadera",IF($A21="Verdadero o Falso Complejas","1. ","")))</x:f>
      </x:c>
      <x:c r="E21" s="292" t="str">
        <x:f>IF($A21="Verdadero o Falso Simple","Falso",IF($A21="Respuesta A/B/Ambas/Ninguna","B. Si la segunda es verdadera",IF($A21="Verdadero o Falso Complejas","2. ","")))</x:f>
      </x:c>
      <x:c r="F21" s="292" t="str">
        <x:f>IF($A21="Respuesta A/B/Ambas/Ninguna","C. Si ambas son verdaderas",IF($A21="Verdadero o Falso Complejas","3. ",""))</x:f>
      </x:c>
      <x:c r="G21" s="292" t="str">
        <x:f>IF($A21="Respuesta A/B/Ambas/Ninguna","D. Si ninguna es verdadera",IF($A21="Verdadero o Falso Complejas","4. ",""))</x:f>
      </x:c>
      <x:c r="H21" s="292" t="str">
        <x:f>IF($A21="Verdadero o Falso Simple","",IF($A21="Respuesta A/B/Ambas/Ninguna","",IF($A21="Verdadero o Falso Complejas","","")))</x:f>
      </x:c>
      <x:c r="I21" s="292"/>
      <x:c r="J21" s="292" t="n">
        <x:v>2</x:v>
      </x:c>
      <x:c r="K21" s="292" t="str">
        <x:v>1P</x:v>
      </x:c>
      <x:c r="L21" s="293"/>
      <x:c r="M21" s="289"/>
      <x:c r="N21"/>
      <x:c r="O21"/>
      <x:c r="P21"/>
      <x:c r="Q21" t="str">
        <x:f>IF(TRIM($C21)="","enunciado","")</x:f>
        <x:v>enunciado</x:v>
      </x:c>
      <x:c r="R21" t="str">
        <x:f>IF(TRIM($K21)="",IF(COUNTIF($Q21:$Q21,"?*")&gt;0,", ","")&amp;"parcial","")</x:f>
      </x:c>
      <x:c r="S21" t="str">
        <x:f>IF(AND(TRIM($K21)&lt;&gt;"",TRIM($K21)&lt;&gt;"1P"),IF(COUNTIF($Q21:$R21,"?*")&gt;0,", ","")&amp;"parcial distinto a 1P","")</x:f>
      </x:c>
      <x:c r="T21" t="str">
        <x:f>IF(AND(OR($A21="Ítems agrupados por caso clínico o problema",$A21="Subítem de caso o problema",$A21="Emparejamiento Ampliado",$A21="Opción de Emparejamiento Ampliado"),TRIM($B21)=""),IF(COUNTIF($Q21:$S21,"?*")&gt;0,", ","")&amp;"grupo","")</x:f>
      </x:c>
      <x:c r="U21" t="str">
        <x:f>IF(AND(OR($A21="Verdadero o Falso Simple",$A21="Respuesta A/B/Ambas/Ninguna",$A21="Verdadero o Falso Complejas",$A21="Selección de la mejor respuesta",$A21="Subítem de caso o problema",$A21="Opción de Emparejamiento Ampliado"),TRIM($I21)=""),IF(COUNTIF($Q21:$T21,"?*")&gt;0,", ","")&amp;"respuesta_correcta","")</x:f>
      </x:c>
      <x:c r="V21" t="str">
        <x:f>IF(AND(OR($A21="Verdadero o Falso Simple",$A21="Respuesta A/B/Ambas/Ninguna",$A21="Verdadero o Falso Complejas",$A21="Selección de la mejor respuesta",$A21="Subítem de caso o problema",$A21="Opción de Emparejamiento Ampliado"),TRIM($J21)=""),IF(COUNTIF($Q21:$U21,"?*")&gt;0,", ","")&amp;"dificultad","")</x:f>
      </x:c>
      <x:c r="W21" t="str">
        <x:f>IF(AND(OR($A21="Ítems agrupados por caso clínico o problema",$A21="Emparejamiento Ampliado"),TRIM($I21)&lt;&gt;""),IF(COUNTIF($Q21:$V21,"?*")&gt;0,", ","")&amp;"respuesta debe ir vacia","")</x:f>
      </x:c>
      <x:c r="X21" t="str">
        <x:f>IF(AND(OR($A21="Ítems agrupados por caso clínico o problema",$A21="Emparejamiento Ampliado"),TRIM($J21)&lt;&gt;""),IF(COUNTIF($Q21:$W21,"?*")&gt;0,", ","")&amp;"dificultad debe ir vacia","")</x:f>
      </x:c>
      <x:c r="Y21" t="str">
        <x:f>IF(AND($A21="Verdadero o Falso Simple",OR(COUNTIF($D21:$E21,"?*")&lt;2,COUNTIF($F21:$H21,"?*")&gt;0)),IF(COUNTIF($Q21:$X21,"?*")&gt;0,", ","")&amp;"incisos A-B","")</x:f>
      </x:c>
      <x:c r="Z21" t="str">
        <x:f>IF(AND($A21="Verdadero o Falso Simple",TRIM($I21)&lt;&gt;"",NOT(OR(LEFT(TRIM($I21),1)="A",LEFT(TRIM($I21),1)="B"))),IF(COUNTIF($Q21:$Y21,"?*")&gt;0,", ","")&amp;"respuesta A-B","")</x:f>
      </x:c>
      <x:c r="AA21" t="str">
        <x:f>IF(AND($A21="Respuesta A/B/Ambas/Ninguna",COUNTIF($D21:$G21,"?*")&lt;4),IF(COUNTIF($Q21:$Z21,"?*")&gt;0,", ","")&amp;"opciones A-D","")</x:f>
      </x:c>
      <x:c r="AB21" t="str">
        <x:f>IF(AND($A21="Respuesta A/B/Ambas/Ninguna",COUNTIF($H21:$H21,"?*")&gt;0),IF(COUNTIF($Q21:$AA21,"?*")&gt;0,", ","")&amp;"opcion E deshabilitada","")</x:f>
      </x:c>
      <x:c r="AC21" t="str">
        <x:f>IF(AND($A21="Respuesta A/B/Ambas/Ninguna",TRIM($I21)&lt;&gt;"",NOT(OR(LEFT(TRIM($I21),1)="A",LEFT(TRIM($I21),1)="B",LEFT(TRIM($I21),1)="C",LEFT(TRIM($I21),1)="D"))),IF(COUNTIF($Q21:$AB21,"?*")&gt;0,", ","")&amp;"respuesta A-D","")</x:f>
      </x:c>
      <x:c r="AD21" t="str">
        <x:f>IF(AND($A21="Verdadero o Falso Complejas",OR(LEN(TRIM(SUBSTITUTE($D21,"1.","")))=0,LEN(TRIM(SUBSTITUTE($E21,"2.","")))=0,LEN(TRIM(SUBSTITUTE($F21,"3.","")))=0,LEN(TRIM(SUBSTITUTE($G21,"4.","")))=0)),IF(COUNTIF($Q21:$AC21,"?*")&gt;0,", ","")&amp;"incisos 1-4","")</x:f>
      </x:c>
      <x:c r="AE21" t="str">
        <x:f>IF(AND($A21="Verdadero o Falso Complejas",COUNTIF($H21:$H21,"?*")&gt;0),IF(COUNTIF($Q21:$AD21,"?*")&gt;0,", ","")&amp;"opcion E deshabilitada","")</x:f>
      </x:c>
      <x:c r="AF21" t="str">
        <x:f>IF(AND($A21="Verdadero o Falso Complejas",TRIM($I21)&lt;&gt;"",NOT(OR(LEFT(TRIM($I21),1)="A",LEFT(TRIM($I21),1)="B",LEFT(TRIM($I21),1)="C",LEFT(TRIM($I21),1)="D",LEFT(TRIM($I21),1)="E"))),IF(COUNTIF($Q21:$AE21,"?*")&gt;0,", ","")&amp;"respuesta A-E","")</x:f>
      </x:c>
      <x:c r="AG21" t="str">
        <x:f>IF(AND(OR($A21="Selección de la mejor respuesta",$A21="Subítem de caso o problema"),COUNTIF($D21:$H21,"?*")&lt;5),IF(COUNTIF($Q21:$AF21,"?*")&gt;0,", ","")&amp;"incisos A-E","")</x:f>
      </x:c>
      <x:c r="AH21" t="str">
        <x:f>IF(AND(OR($A21="Selección de la mejor respuesta",$A21="Subítem de caso o problema"),TRIM($I21)&lt;&gt;"",NOT(OR(LEFT(TRIM($I21),1)="A",LEFT(TRIM($I21),1)="B",LEFT(TRIM($I21),1)="C",LEFT(TRIM($I21),1)="D",LEFT(TRIM($I21),1)="E"))),IF(COUNTIF($Q21:$AG21,"?*")&gt;0,", ","")&amp;"respuesta A-E","")</x:f>
      </x:c>
      <x:c r="AI21" t="str">
        <x:f>IF(AND(OR($A21="Ítems agrupados por caso clínico o problema",$A21="Opción de Emparejamiento Ampliado"),COUNTIF($D21:$H21,"?*")&gt;0),IF(COUNTIF($Q21:$AH21,"?*")&gt;0,", ","")&amp;"sin incisos","")</x:f>
      </x:c>
      <x:c r="AJ21" t="str">
        <x:f>IF(AND($A21="Emparejamiento Ampliado",COUNTIF($D21:$H21,"?*")&lt;2),IF(COUNTIF($Q21:$AI21,"?*")&gt;0,", ","")&amp;"minimo 2 claves","")</x:f>
      </x:c>
      <x:c r="AK21" t="str">
        <x:f>IF(AND($A21="Opción de Emparejamiento Ampliado",NOT(OR(LEFT(TRIM($I21),1)="A",LEFT(TRIM($I21),1)="B",LEFT(TRIM($I21),1)="C",LEFT(TRIM($I21),1)="D",LEFT(TRIM($I21),1)="E"))),IF(COUNTIF($Q21:$AJ21,"?*")&gt;0,", ","")&amp;"respuesta A-E","")</x:f>
      </x:c>
      <x:c r="AL21" t="str">
        <x:f>IF(TRIM($K21)="",IF(COUNTIF($M21:$M21,"?*")&gt;0,", ","")&amp;"parcial","")</x:f>
      </x:c>
      <x:c r="AM21" t="str">
        <x:f>IF(AND(TRIM($K21)&lt;&gt;"",TRIM($K21)&lt;&gt;"1P"),IF(COUNTIF($M21:$N21,"?*")&gt;0,", ","")&amp;"parcial distinto a 1P","")</x:f>
      </x:c>
      <x:c r="AN21" t="str">
        <x:f>IF(AND(OR($A21="Ítems agrupados por caso clínico o problema",$A21="Subítem de caso o problema",$A21="Emparejamiento Ampliado",$A21="Opción de Emparejamiento Ampliado"),TRIM($B21)=""),IF(COUNTIF($M21:$O21,"?*")&gt;0,", ","")&amp;"grupo","")</x:f>
      </x:c>
    </x:row>
    <x:row r="22" ht="24" customHeight="1">
      <x:c r="A22" s="292"/>
      <x:c r="B22" s="292"/>
      <x:c r="C22" s="292"/>
      <x:c r="D22" s="292" t="str">
        <x:f>IF($A22="Verdadero o Falso Simple","Verdadero",IF($A22="Respuesta A/B/Ambas/Ninguna","A. Si la primera es verdadera",IF($A22="Verdadero o Falso Complejas","1. ","")))</x:f>
      </x:c>
      <x:c r="E22" s="292" t="str">
        <x:f>IF($A22="Verdadero o Falso Simple","Falso",IF($A22="Respuesta A/B/Ambas/Ninguna","B. Si la segunda es verdadera",IF($A22="Verdadero o Falso Complejas","2. ","")))</x:f>
      </x:c>
      <x:c r="F22" s="292" t="str">
        <x:f>IF($A22="Respuesta A/B/Ambas/Ninguna","C. Si ambas son verdaderas",IF($A22="Verdadero o Falso Complejas","3. ",""))</x:f>
      </x:c>
      <x:c r="G22" s="292" t="str">
        <x:f>IF($A22="Respuesta A/B/Ambas/Ninguna","D. Si ninguna es verdadera",IF($A22="Verdadero o Falso Complejas","4. ",""))</x:f>
      </x:c>
      <x:c r="H22" s="292" t="str">
        <x:f>IF($A22="Verdadero o Falso Simple","",IF($A22="Respuesta A/B/Ambas/Ninguna","",IF($A22="Verdadero o Falso Complejas","","")))</x:f>
      </x:c>
      <x:c r="I22" s="292"/>
      <x:c r="J22" s="292" t="n">
        <x:v>2</x:v>
      </x:c>
      <x:c r="K22" s="292" t="str">
        <x:v>1P</x:v>
      </x:c>
      <x:c r="L22" s="293"/>
      <x:c r="M22" s="289"/>
      <x:c r="N22"/>
      <x:c r="O22"/>
      <x:c r="P22"/>
      <x:c r="Q22" t="str">
        <x:f>IF(TRIM($C22)="","enunciado","")</x:f>
        <x:v>enunciado</x:v>
      </x:c>
      <x:c r="R22" t="str">
        <x:f>IF(TRIM($K22)="",IF(COUNTIF($Q22:$Q22,"?*")&gt;0,", ","")&amp;"parcial","")</x:f>
      </x:c>
      <x:c r="S22" t="str">
        <x:f>IF(AND(TRIM($K22)&lt;&gt;"",TRIM($K22)&lt;&gt;"1P"),IF(COUNTIF($Q22:$R22,"?*")&gt;0,", ","")&amp;"parcial distinto a 1P","")</x:f>
      </x:c>
      <x:c r="T22" t="str">
        <x:f>IF(AND(OR($A22="Ítems agrupados por caso clínico o problema",$A22="Subítem de caso o problema",$A22="Emparejamiento Ampliado",$A22="Opción de Emparejamiento Ampliado"),TRIM($B22)=""),IF(COUNTIF($Q22:$S22,"?*")&gt;0,", ","")&amp;"grupo","")</x:f>
      </x:c>
      <x:c r="U22" t="str">
        <x:f>IF(AND(OR($A22="Verdadero o Falso Simple",$A22="Respuesta A/B/Ambas/Ninguna",$A22="Verdadero o Falso Complejas",$A22="Selección de la mejor respuesta",$A22="Subítem de caso o problema",$A22="Opción de Emparejamiento Ampliado"),TRIM($I22)=""),IF(COUNTIF($Q22:$T22,"?*")&gt;0,", ","")&amp;"respuesta_correcta","")</x:f>
      </x:c>
      <x:c r="V22" t="str">
        <x:f>IF(AND(OR($A22="Verdadero o Falso Simple",$A22="Respuesta A/B/Ambas/Ninguna",$A22="Verdadero o Falso Complejas",$A22="Selección de la mejor respuesta",$A22="Subítem de caso o problema",$A22="Opción de Emparejamiento Ampliado"),TRIM($J22)=""),IF(COUNTIF($Q22:$U22,"?*")&gt;0,", ","")&amp;"dificultad","")</x:f>
      </x:c>
      <x:c r="W22" t="str">
        <x:f>IF(AND(OR($A22="Ítems agrupados por caso clínico o problema",$A22="Emparejamiento Ampliado"),TRIM($I22)&lt;&gt;""),IF(COUNTIF($Q22:$V22,"?*")&gt;0,", ","")&amp;"respuesta debe ir vacia","")</x:f>
      </x:c>
      <x:c r="X22" t="str">
        <x:f>IF(AND(OR($A22="Ítems agrupados por caso clínico o problema",$A22="Emparejamiento Ampliado"),TRIM($J22)&lt;&gt;""),IF(COUNTIF($Q22:$W22,"?*")&gt;0,", ","")&amp;"dificultad debe ir vacia","")</x:f>
      </x:c>
      <x:c r="Y22" t="str">
        <x:f>IF(AND($A22="Verdadero o Falso Simple",OR(COUNTIF($D22:$E22,"?*")&lt;2,COUNTIF($F22:$H22,"?*")&gt;0)),IF(COUNTIF($Q22:$X22,"?*")&gt;0,", ","")&amp;"incisos A-B","")</x:f>
      </x:c>
      <x:c r="Z22" t="str">
        <x:f>IF(AND($A22="Verdadero o Falso Simple",TRIM($I22)&lt;&gt;"",NOT(OR(LEFT(TRIM($I22),1)="A",LEFT(TRIM($I22),1)="B"))),IF(COUNTIF($Q22:$Y22,"?*")&gt;0,", ","")&amp;"respuesta A-B","")</x:f>
      </x:c>
      <x:c r="AA22" t="str">
        <x:f>IF(AND($A22="Respuesta A/B/Ambas/Ninguna",COUNTIF($D22:$G22,"?*")&lt;4),IF(COUNTIF($Q22:$Z22,"?*")&gt;0,", ","")&amp;"opciones A-D","")</x:f>
      </x:c>
      <x:c r="AB22" t="str">
        <x:f>IF(AND($A22="Respuesta A/B/Ambas/Ninguna",COUNTIF($H22:$H22,"?*")&gt;0),IF(COUNTIF($Q22:$AA22,"?*")&gt;0,", ","")&amp;"opcion E deshabilitada","")</x:f>
      </x:c>
      <x:c r="AC22" t="str">
        <x:f>IF(AND($A22="Respuesta A/B/Ambas/Ninguna",TRIM($I22)&lt;&gt;"",NOT(OR(LEFT(TRIM($I22),1)="A",LEFT(TRIM($I22),1)="B",LEFT(TRIM($I22),1)="C",LEFT(TRIM($I22),1)="D"))),IF(COUNTIF($Q22:$AB22,"?*")&gt;0,", ","")&amp;"respuesta A-D","")</x:f>
      </x:c>
      <x:c r="AD22" t="str">
        <x:f>IF(AND($A22="Verdadero o Falso Complejas",OR(LEN(TRIM(SUBSTITUTE($D22,"1.","")))=0,LEN(TRIM(SUBSTITUTE($E22,"2.","")))=0,LEN(TRIM(SUBSTITUTE($F22,"3.","")))=0,LEN(TRIM(SUBSTITUTE($G22,"4.","")))=0)),IF(COUNTIF($Q22:$AC22,"?*")&gt;0,", ","")&amp;"incisos 1-4","")</x:f>
      </x:c>
      <x:c r="AE22" t="str">
        <x:f>IF(AND($A22="Verdadero o Falso Complejas",COUNTIF($H22:$H22,"?*")&gt;0),IF(COUNTIF($Q22:$AD22,"?*")&gt;0,", ","")&amp;"opcion E deshabilitada","")</x:f>
      </x:c>
      <x:c r="AF22" t="str">
        <x:f>IF(AND($A22="Verdadero o Falso Complejas",TRIM($I22)&lt;&gt;"",NOT(OR(LEFT(TRIM($I22),1)="A",LEFT(TRIM($I22),1)="B",LEFT(TRIM($I22),1)="C",LEFT(TRIM($I22),1)="D",LEFT(TRIM($I22),1)="E"))),IF(COUNTIF($Q22:$AE22,"?*")&gt;0,", ","")&amp;"respuesta A-E","")</x:f>
      </x:c>
      <x:c r="AG22" t="str">
        <x:f>IF(AND(OR($A22="Selección de la mejor respuesta",$A22="Subítem de caso o problema"),COUNTIF($D22:$H22,"?*")&lt;5),IF(COUNTIF($Q22:$AF22,"?*")&gt;0,", ","")&amp;"incisos A-E","")</x:f>
      </x:c>
      <x:c r="AH22" t="str">
        <x:f>IF(AND(OR($A22="Selección de la mejor respuesta",$A22="Subítem de caso o problema"),TRIM($I22)&lt;&gt;"",NOT(OR(LEFT(TRIM($I22),1)="A",LEFT(TRIM($I22),1)="B",LEFT(TRIM($I22),1)="C",LEFT(TRIM($I22),1)="D",LEFT(TRIM($I22),1)="E"))),IF(COUNTIF($Q22:$AG22,"?*")&gt;0,", ","")&amp;"respuesta A-E","")</x:f>
      </x:c>
      <x:c r="AI22" t="str">
        <x:f>IF(AND(OR($A22="Ítems agrupados por caso clínico o problema",$A22="Opción de Emparejamiento Ampliado"),COUNTIF($D22:$H22,"?*")&gt;0),IF(COUNTIF($Q22:$AH22,"?*")&gt;0,", ","")&amp;"sin incisos","")</x:f>
      </x:c>
      <x:c r="AJ22" t="str">
        <x:f>IF(AND($A22="Emparejamiento Ampliado",COUNTIF($D22:$H22,"?*")&lt;2),IF(COUNTIF($Q22:$AI22,"?*")&gt;0,", ","")&amp;"minimo 2 claves","")</x:f>
      </x:c>
      <x:c r="AK22" t="str">
        <x:f>IF(AND($A22="Opción de Emparejamiento Ampliado",NOT(OR(LEFT(TRIM($I22),1)="A",LEFT(TRIM($I22),1)="B",LEFT(TRIM($I22),1)="C",LEFT(TRIM($I22),1)="D",LEFT(TRIM($I22),1)="E"))),IF(COUNTIF($Q22:$AJ22,"?*")&gt;0,", ","")&amp;"respuesta A-E","")</x:f>
      </x:c>
      <x:c r="AL22" t="str">
        <x:f>IF(TRIM($K22)="",IF(COUNTIF($M22:$M22,"?*")&gt;0,", ","")&amp;"parcial","")</x:f>
      </x:c>
      <x:c r="AM22" t="str">
        <x:f>IF(AND(TRIM($K22)&lt;&gt;"",TRIM($K22)&lt;&gt;"1P"),IF(COUNTIF($M22:$N22,"?*")&gt;0,", ","")&amp;"parcial distinto a 1P","")</x:f>
      </x:c>
      <x:c r="AN22" t="str">
        <x:f>IF(AND(OR($A22="Ítems agrupados por caso clínico o problema",$A22="Subítem de caso o problema",$A22="Emparejamiento Ampliado",$A22="Opción de Emparejamiento Ampliado"),TRIM($B22)=""),IF(COUNTIF($M22:$O22,"?*")&gt;0,", ","")&amp;"grupo","")</x:f>
      </x:c>
    </x:row>
    <x:row r="23" ht="24" customHeight="1">
      <x:c r="A23" s="292"/>
      <x:c r="B23" s="292"/>
      <x:c r="C23" s="292"/>
      <x:c r="D23" s="292" t="str">
        <x:f>IF($A23="Verdadero o Falso Simple","Verdadero",IF($A23="Respuesta A/B/Ambas/Ninguna","A. Si la primera es verdadera",IF($A23="Verdadero o Falso Complejas","1. ","")))</x:f>
      </x:c>
      <x:c r="E23" s="292" t="str">
        <x:f>IF($A23="Verdadero o Falso Simple","Falso",IF($A23="Respuesta A/B/Ambas/Ninguna","B. Si la segunda es verdadera",IF($A23="Verdadero o Falso Complejas","2. ","")))</x:f>
      </x:c>
      <x:c r="F23" s="292" t="str">
        <x:f>IF($A23="Respuesta A/B/Ambas/Ninguna","C. Si ambas son verdaderas",IF($A23="Verdadero o Falso Complejas","3. ",""))</x:f>
      </x:c>
      <x:c r="G23" s="292" t="str">
        <x:f>IF($A23="Respuesta A/B/Ambas/Ninguna","D. Si ninguna es verdadera",IF($A23="Verdadero o Falso Complejas","4. ",""))</x:f>
      </x:c>
      <x:c r="H23" s="292" t="str">
        <x:f>IF($A23="Verdadero o Falso Simple","",IF($A23="Respuesta A/B/Ambas/Ninguna","",IF($A23="Verdadero o Falso Complejas","","")))</x:f>
      </x:c>
      <x:c r="I23" s="292"/>
      <x:c r="J23" s="292" t="n">
        <x:v>2</x:v>
      </x:c>
      <x:c r="K23" s="292" t="str">
        <x:v>1P</x:v>
      </x:c>
      <x:c r="L23" s="293"/>
      <x:c r="M23" s="289"/>
      <x:c r="N23"/>
      <x:c r="O23"/>
      <x:c r="P23"/>
      <x:c r="Q23" t="str">
        <x:f>IF(TRIM($C23)="","enunciado","")</x:f>
        <x:v>enunciado</x:v>
      </x:c>
      <x:c r="R23" t="str">
        <x:f>IF(TRIM($K23)="",IF(COUNTIF($Q23:$Q23,"?*")&gt;0,", ","")&amp;"parcial","")</x:f>
      </x:c>
      <x:c r="S23" t="str">
        <x:f>IF(AND(TRIM($K23)&lt;&gt;"",TRIM($K23)&lt;&gt;"1P"),IF(COUNTIF($Q23:$R23,"?*")&gt;0,", ","")&amp;"parcial distinto a 1P","")</x:f>
      </x:c>
      <x:c r="T23" t="str">
        <x:f>IF(AND(OR($A23="Ítems agrupados por caso clínico o problema",$A23="Subítem de caso o problema",$A23="Emparejamiento Ampliado",$A23="Opción de Emparejamiento Ampliado"),TRIM($B23)=""),IF(COUNTIF($Q23:$S23,"?*")&gt;0,", ","")&amp;"grupo","")</x:f>
      </x:c>
      <x:c r="U23" t="str">
        <x:f>IF(AND(OR($A23="Verdadero o Falso Simple",$A23="Respuesta A/B/Ambas/Ninguna",$A23="Verdadero o Falso Complejas",$A23="Selección de la mejor respuesta",$A23="Subítem de caso o problema",$A23="Opción de Emparejamiento Ampliado"),TRIM($I23)=""),IF(COUNTIF($Q23:$T23,"?*")&gt;0,", ","")&amp;"respuesta_correcta","")</x:f>
      </x:c>
      <x:c r="V23" t="str">
        <x:f>IF(AND(OR($A23="Verdadero o Falso Simple",$A23="Respuesta A/B/Ambas/Ninguna",$A23="Verdadero o Falso Complejas",$A23="Selección de la mejor respuesta",$A23="Subítem de caso o problema",$A23="Opción de Emparejamiento Ampliado"),TRIM($J23)=""),IF(COUNTIF($Q23:$U23,"?*")&gt;0,", ","")&amp;"dificultad","")</x:f>
      </x:c>
      <x:c r="W23" t="str">
        <x:f>IF(AND(OR($A23="Ítems agrupados por caso clínico o problema",$A23="Emparejamiento Ampliado"),TRIM($I23)&lt;&gt;""),IF(COUNTIF($Q23:$V23,"?*")&gt;0,", ","")&amp;"respuesta debe ir vacia","")</x:f>
      </x:c>
      <x:c r="X23" t="str">
        <x:f>IF(AND(OR($A23="Ítems agrupados por caso clínico o problema",$A23="Emparejamiento Ampliado"),TRIM($J23)&lt;&gt;""),IF(COUNTIF($Q23:$W23,"?*")&gt;0,", ","")&amp;"dificultad debe ir vacia","")</x:f>
      </x:c>
      <x:c r="Y23" t="str">
        <x:f>IF(AND($A23="Verdadero o Falso Simple",OR(COUNTIF($D23:$E23,"?*")&lt;2,COUNTIF($F23:$H23,"?*")&gt;0)),IF(COUNTIF($Q23:$X23,"?*")&gt;0,", ","")&amp;"incisos A-B","")</x:f>
      </x:c>
      <x:c r="Z23" t="str">
        <x:f>IF(AND($A23="Verdadero o Falso Simple",TRIM($I23)&lt;&gt;"",NOT(OR(LEFT(TRIM($I23),1)="A",LEFT(TRIM($I23),1)="B"))),IF(COUNTIF($Q23:$Y23,"?*")&gt;0,", ","")&amp;"respuesta A-B","")</x:f>
      </x:c>
      <x:c r="AA23" t="str">
        <x:f>IF(AND($A23="Respuesta A/B/Ambas/Ninguna",COUNTIF($D23:$G23,"?*")&lt;4),IF(COUNTIF($Q23:$Z23,"?*")&gt;0,", ","")&amp;"opciones A-D","")</x:f>
      </x:c>
      <x:c r="AB23" t="str">
        <x:f>IF(AND($A23="Respuesta A/B/Ambas/Ninguna",COUNTIF($H23:$H23,"?*")&gt;0),IF(COUNTIF($Q23:$AA23,"?*")&gt;0,", ","")&amp;"opcion E deshabilitada","")</x:f>
      </x:c>
      <x:c r="AC23" t="str">
        <x:f>IF(AND($A23="Respuesta A/B/Ambas/Ninguna",TRIM($I23)&lt;&gt;"",NOT(OR(LEFT(TRIM($I23),1)="A",LEFT(TRIM($I23),1)="B",LEFT(TRIM($I23),1)="C",LEFT(TRIM($I23),1)="D"))),IF(COUNTIF($Q23:$AB23,"?*")&gt;0,", ","")&amp;"respuesta A-D","")</x:f>
      </x:c>
      <x:c r="AD23" t="str">
        <x:f>IF(AND($A23="Verdadero o Falso Complejas",OR(LEN(TRIM(SUBSTITUTE($D23,"1.","")))=0,LEN(TRIM(SUBSTITUTE($E23,"2.","")))=0,LEN(TRIM(SUBSTITUTE($F23,"3.","")))=0,LEN(TRIM(SUBSTITUTE($G23,"4.","")))=0)),IF(COUNTIF($Q23:$AC23,"?*")&gt;0,", ","")&amp;"incisos 1-4","")</x:f>
      </x:c>
      <x:c r="AE23" t="str">
        <x:f>IF(AND($A23="Verdadero o Falso Complejas",COUNTIF($H23:$H23,"?*")&gt;0),IF(COUNTIF($Q23:$AD23,"?*")&gt;0,", ","")&amp;"opcion E deshabilitada","")</x:f>
      </x:c>
      <x:c r="AF23" t="str">
        <x:f>IF(AND($A23="Verdadero o Falso Complejas",TRIM($I23)&lt;&gt;"",NOT(OR(LEFT(TRIM($I23),1)="A",LEFT(TRIM($I23),1)="B",LEFT(TRIM($I23),1)="C",LEFT(TRIM($I23),1)="D",LEFT(TRIM($I23),1)="E"))),IF(COUNTIF($Q23:$AE23,"?*")&gt;0,", ","")&amp;"respuesta A-E","")</x:f>
      </x:c>
      <x:c r="AG23" t="str">
        <x:f>IF(AND(OR($A23="Selección de la mejor respuesta",$A23="Subítem de caso o problema"),COUNTIF($D23:$H23,"?*")&lt;5),IF(COUNTIF($Q23:$AF23,"?*")&gt;0,", ","")&amp;"incisos A-E","")</x:f>
      </x:c>
      <x:c r="AH23" t="str">
        <x:f>IF(AND(OR($A23="Selección de la mejor respuesta",$A23="Subítem de caso o problema"),TRIM($I23)&lt;&gt;"",NOT(OR(LEFT(TRIM($I23),1)="A",LEFT(TRIM($I23),1)="B",LEFT(TRIM($I23),1)="C",LEFT(TRIM($I23),1)="D",LEFT(TRIM($I23),1)="E"))),IF(COUNTIF($Q23:$AG23,"?*")&gt;0,", ","")&amp;"respuesta A-E","")</x:f>
      </x:c>
      <x:c r="AI23" t="str">
        <x:f>IF(AND(OR($A23="Ítems agrupados por caso clínico o problema",$A23="Opción de Emparejamiento Ampliado"),COUNTIF($D23:$H23,"?*")&gt;0),IF(COUNTIF($Q23:$AH23,"?*")&gt;0,", ","")&amp;"sin incisos","")</x:f>
      </x:c>
      <x:c r="AJ23" t="str">
        <x:f>IF(AND($A23="Emparejamiento Ampliado",COUNTIF($D23:$H23,"?*")&lt;2),IF(COUNTIF($Q23:$AI23,"?*")&gt;0,", ","")&amp;"minimo 2 claves","")</x:f>
      </x:c>
      <x:c r="AK23" t="str">
        <x:f>IF(AND($A23="Opción de Emparejamiento Ampliado",NOT(OR(LEFT(TRIM($I23),1)="A",LEFT(TRIM($I23),1)="B",LEFT(TRIM($I23),1)="C",LEFT(TRIM($I23),1)="D",LEFT(TRIM($I23),1)="E"))),IF(COUNTIF($Q23:$AJ23,"?*")&gt;0,", ","")&amp;"respuesta A-E","")</x:f>
      </x:c>
      <x:c r="AL23" t="str">
        <x:f>IF(TRIM($K23)="",IF(COUNTIF($M23:$M23,"?*")&gt;0,", ","")&amp;"parcial","")</x:f>
      </x:c>
      <x:c r="AM23" t="str">
        <x:f>IF(AND(TRIM($K23)&lt;&gt;"",TRIM($K23)&lt;&gt;"1P"),IF(COUNTIF($M23:$N23,"?*")&gt;0,", ","")&amp;"parcial distinto a 1P","")</x:f>
      </x:c>
      <x:c r="AN23" t="str">
        <x:f>IF(AND(OR($A23="Ítems agrupados por caso clínico o problema",$A23="Subítem de caso o problema",$A23="Emparejamiento Ampliado",$A23="Opción de Emparejamiento Ampliado"),TRIM($B23)=""),IF(COUNTIF($M23:$O23,"?*")&gt;0,", ","")&amp;"grupo","")</x:f>
      </x:c>
    </x:row>
    <x:row r="24" ht="24" customHeight="1">
      <x:c r="A24" s="292"/>
      <x:c r="B24" s="292"/>
      <x:c r="C24" s="292"/>
      <x:c r="D24" s="292" t="str">
        <x:f>IF($A24="Verdadero o Falso Simple","Verdadero",IF($A24="Respuesta A/B/Ambas/Ninguna","A. Si la primera es verdadera",IF($A24="Verdadero o Falso Complejas","1. ","")))</x:f>
      </x:c>
      <x:c r="E24" s="292" t="str">
        <x:f>IF($A24="Verdadero o Falso Simple","Falso",IF($A24="Respuesta A/B/Ambas/Ninguna","B. Si la segunda es verdadera",IF($A24="Verdadero o Falso Complejas","2. ","")))</x:f>
      </x:c>
      <x:c r="F24" s="292" t="str">
        <x:f>IF($A24="Respuesta A/B/Ambas/Ninguna","C. Si ambas son verdaderas",IF($A24="Verdadero o Falso Complejas","3. ",""))</x:f>
      </x:c>
      <x:c r="G24" s="292" t="str">
        <x:f>IF($A24="Respuesta A/B/Ambas/Ninguna","D. Si ninguna es verdadera",IF($A24="Verdadero o Falso Complejas","4. ",""))</x:f>
      </x:c>
      <x:c r="H24" s="292" t="str">
        <x:f>IF($A24="Verdadero o Falso Simple","",IF($A24="Respuesta A/B/Ambas/Ninguna","",IF($A24="Verdadero o Falso Complejas","","")))</x:f>
      </x:c>
      <x:c r="I24" s="292"/>
      <x:c r="J24" s="292" t="n">
        <x:v>2</x:v>
      </x:c>
      <x:c r="K24" s="292" t="str">
        <x:v>1P</x:v>
      </x:c>
      <x:c r="L24" s="293"/>
      <x:c r="M24" s="289"/>
      <x:c r="N24"/>
      <x:c r="O24"/>
      <x:c r="P24"/>
      <x:c r="Q24" t="str">
        <x:f>IF(TRIM($C24)="","enunciado","")</x:f>
        <x:v>enunciado</x:v>
      </x:c>
      <x:c r="R24" t="str">
        <x:f>IF(TRIM($K24)="",IF(COUNTIF($Q24:$Q24,"?*")&gt;0,", ","")&amp;"parcial","")</x:f>
      </x:c>
      <x:c r="S24" t="str">
        <x:f>IF(AND(TRIM($K24)&lt;&gt;"",TRIM($K24)&lt;&gt;"1P"),IF(COUNTIF($Q24:$R24,"?*")&gt;0,", ","")&amp;"parcial distinto a 1P","")</x:f>
      </x:c>
      <x:c r="T24" t="str">
        <x:f>IF(AND(OR($A24="Ítems agrupados por caso clínico o problema",$A24="Subítem de caso o problema",$A24="Emparejamiento Ampliado",$A24="Opción de Emparejamiento Ampliado"),TRIM($B24)=""),IF(COUNTIF($Q24:$S24,"?*")&gt;0,", ","")&amp;"grupo","")</x:f>
      </x:c>
      <x:c r="U24" t="str">
        <x:f>IF(AND(OR($A24="Verdadero o Falso Simple",$A24="Respuesta A/B/Ambas/Ninguna",$A24="Verdadero o Falso Complejas",$A24="Selección de la mejor respuesta",$A24="Subítem de caso o problema",$A24="Opción de Emparejamiento Ampliado"),TRIM($I24)=""),IF(COUNTIF($Q24:$T24,"?*")&gt;0,", ","")&amp;"respuesta_correcta","")</x:f>
      </x:c>
      <x:c r="V24" t="str">
        <x:f>IF(AND(OR($A24="Verdadero o Falso Simple",$A24="Respuesta A/B/Ambas/Ninguna",$A24="Verdadero o Falso Complejas",$A24="Selección de la mejor respuesta",$A24="Subítem de caso o problema",$A24="Opción de Emparejamiento Ampliado"),TRIM($J24)=""),IF(COUNTIF($Q24:$U24,"?*")&gt;0,", ","")&amp;"dificultad","")</x:f>
      </x:c>
      <x:c r="W24" t="str">
        <x:f>IF(AND(OR($A24="Ítems agrupados por caso clínico o problema",$A24="Emparejamiento Ampliado"),TRIM($I24)&lt;&gt;""),IF(COUNTIF($Q24:$V24,"?*")&gt;0,", ","")&amp;"respuesta debe ir vacia","")</x:f>
      </x:c>
      <x:c r="X24" t="str">
        <x:f>IF(AND(OR($A24="Ítems agrupados por caso clínico o problema",$A24="Emparejamiento Ampliado"),TRIM($J24)&lt;&gt;""),IF(COUNTIF($Q24:$W24,"?*")&gt;0,", ","")&amp;"dificultad debe ir vacia","")</x:f>
      </x:c>
      <x:c r="Y24" t="str">
        <x:f>IF(AND($A24="Verdadero o Falso Simple",OR(COUNTIF($D24:$E24,"?*")&lt;2,COUNTIF($F24:$H24,"?*")&gt;0)),IF(COUNTIF($Q24:$X24,"?*")&gt;0,", ","")&amp;"incisos A-B","")</x:f>
      </x:c>
      <x:c r="Z24" t="str">
        <x:f>IF(AND($A24="Verdadero o Falso Simple",TRIM($I24)&lt;&gt;"",NOT(OR(LEFT(TRIM($I24),1)="A",LEFT(TRIM($I24),1)="B"))),IF(COUNTIF($Q24:$Y24,"?*")&gt;0,", ","")&amp;"respuesta A-B","")</x:f>
      </x:c>
      <x:c r="AA24" t="str">
        <x:f>IF(AND($A24="Respuesta A/B/Ambas/Ninguna",COUNTIF($D24:$G24,"?*")&lt;4),IF(COUNTIF($Q24:$Z24,"?*")&gt;0,", ","")&amp;"opciones A-D","")</x:f>
      </x:c>
      <x:c r="AB24" t="str">
        <x:f>IF(AND($A24="Respuesta A/B/Ambas/Ninguna",COUNTIF($H24:$H24,"?*")&gt;0),IF(COUNTIF($Q24:$AA24,"?*")&gt;0,", ","")&amp;"opcion E deshabilitada","")</x:f>
      </x:c>
      <x:c r="AC24" t="str">
        <x:f>IF(AND($A24="Respuesta A/B/Ambas/Ninguna",TRIM($I24)&lt;&gt;"",NOT(OR(LEFT(TRIM($I24),1)="A",LEFT(TRIM($I24),1)="B",LEFT(TRIM($I24),1)="C",LEFT(TRIM($I24),1)="D"))),IF(COUNTIF($Q24:$AB24,"?*")&gt;0,", ","")&amp;"respuesta A-D","")</x:f>
      </x:c>
      <x:c r="AD24" t="str">
        <x:f>IF(AND($A24="Verdadero o Falso Complejas",OR(LEN(TRIM(SUBSTITUTE($D24,"1.","")))=0,LEN(TRIM(SUBSTITUTE($E24,"2.","")))=0,LEN(TRIM(SUBSTITUTE($F24,"3.","")))=0,LEN(TRIM(SUBSTITUTE($G24,"4.","")))=0)),IF(COUNTIF($Q24:$AC24,"?*")&gt;0,", ","")&amp;"incisos 1-4","")</x:f>
      </x:c>
      <x:c r="AE24" t="str">
        <x:f>IF(AND($A24="Verdadero o Falso Complejas",COUNTIF($H24:$H24,"?*")&gt;0),IF(COUNTIF($Q24:$AD24,"?*")&gt;0,", ","")&amp;"opcion E deshabilitada","")</x:f>
      </x:c>
      <x:c r="AF24" t="str">
        <x:f>IF(AND($A24="Verdadero o Falso Complejas",TRIM($I24)&lt;&gt;"",NOT(OR(LEFT(TRIM($I24),1)="A",LEFT(TRIM($I24),1)="B",LEFT(TRIM($I24),1)="C",LEFT(TRIM($I24),1)="D",LEFT(TRIM($I24),1)="E"))),IF(COUNTIF($Q24:$AE24,"?*")&gt;0,", ","")&amp;"respuesta A-E","")</x:f>
      </x:c>
      <x:c r="AG24" t="str">
        <x:f>IF(AND(OR($A24="Selección de la mejor respuesta",$A24="Subítem de caso o problema"),COUNTIF($D24:$H24,"?*")&lt;5),IF(COUNTIF($Q24:$AF24,"?*")&gt;0,", ","")&amp;"incisos A-E","")</x:f>
      </x:c>
      <x:c r="AH24" t="str">
        <x:f>IF(AND(OR($A24="Selección de la mejor respuesta",$A24="Subítem de caso o problema"),TRIM($I24)&lt;&gt;"",NOT(OR(LEFT(TRIM($I24),1)="A",LEFT(TRIM($I24),1)="B",LEFT(TRIM($I24),1)="C",LEFT(TRIM($I24),1)="D",LEFT(TRIM($I24),1)="E"))),IF(COUNTIF($Q24:$AG24,"?*")&gt;0,", ","")&amp;"respuesta A-E","")</x:f>
      </x:c>
      <x:c r="AI24" t="str">
        <x:f>IF(AND(OR($A24="Ítems agrupados por caso clínico o problema",$A24="Opción de Emparejamiento Ampliado"),COUNTIF($D24:$H24,"?*")&gt;0),IF(COUNTIF($Q24:$AH24,"?*")&gt;0,", ","")&amp;"sin incisos","")</x:f>
      </x:c>
      <x:c r="AJ24" t="str">
        <x:f>IF(AND($A24="Emparejamiento Ampliado",COUNTIF($D24:$H24,"?*")&lt;2),IF(COUNTIF($Q24:$AI24,"?*")&gt;0,", ","")&amp;"minimo 2 claves","")</x:f>
      </x:c>
      <x:c r="AK24" t="str">
        <x:f>IF(AND($A24="Opción de Emparejamiento Ampliado",NOT(OR(LEFT(TRIM($I24),1)="A",LEFT(TRIM($I24),1)="B",LEFT(TRIM($I24),1)="C",LEFT(TRIM($I24),1)="D",LEFT(TRIM($I24),1)="E"))),IF(COUNTIF($Q24:$AJ24,"?*")&gt;0,", ","")&amp;"respuesta A-E","")</x:f>
      </x:c>
      <x:c r="AL24" t="str">
        <x:f>IF(TRIM($K24)="",IF(COUNTIF($M24:$M24,"?*")&gt;0,", ","")&amp;"parcial","")</x:f>
      </x:c>
      <x:c r="AM24" t="str">
        <x:f>IF(AND(TRIM($K24)&lt;&gt;"",TRIM($K24)&lt;&gt;"1P"),IF(COUNTIF($M24:$N24,"?*")&gt;0,", ","")&amp;"parcial distinto a 1P","")</x:f>
      </x:c>
      <x:c r="AN24" t="str">
        <x:f>IF(AND(OR($A24="Ítems agrupados por caso clínico o problema",$A24="Subítem de caso o problema",$A24="Emparejamiento Ampliado",$A24="Opción de Emparejamiento Ampliado"),TRIM($B24)=""),IF(COUNTIF($M24:$O24,"?*")&gt;0,", ","")&amp;"grupo","")</x:f>
      </x:c>
    </x:row>
    <x:row r="25" ht="24" customHeight="1">
      <x:c r="A25" s="292"/>
      <x:c r="B25" s="292"/>
      <x:c r="C25" s="292"/>
      <x:c r="D25" s="292" t="str">
        <x:f>IF($A25="Verdadero o Falso Simple","Verdadero",IF($A25="Respuesta A/B/Ambas/Ninguna","A. Si la primera es verdadera",IF($A25="Verdadero o Falso Complejas","1. ","")))</x:f>
      </x:c>
      <x:c r="E25" s="292" t="str">
        <x:f>IF($A25="Verdadero o Falso Simple","Falso",IF($A25="Respuesta A/B/Ambas/Ninguna","B. Si la segunda es verdadera",IF($A25="Verdadero o Falso Complejas","2. ","")))</x:f>
      </x:c>
      <x:c r="F25" s="292" t="str">
        <x:f>IF($A25="Respuesta A/B/Ambas/Ninguna","C. Si ambas son verdaderas",IF($A25="Verdadero o Falso Complejas","3. ",""))</x:f>
      </x:c>
      <x:c r="G25" s="292" t="str">
        <x:f>IF($A25="Respuesta A/B/Ambas/Ninguna","D. Si ninguna es verdadera",IF($A25="Verdadero o Falso Complejas","4. ",""))</x:f>
      </x:c>
      <x:c r="H25" s="292" t="str">
        <x:f>IF($A25="Verdadero o Falso Simple","",IF($A25="Respuesta A/B/Ambas/Ninguna","",IF($A25="Verdadero o Falso Complejas","","")))</x:f>
      </x:c>
      <x:c r="I25" s="292"/>
      <x:c r="J25" s="292" t="n">
        <x:v>2</x:v>
      </x:c>
      <x:c r="K25" s="292" t="str">
        <x:v>1P</x:v>
      </x:c>
      <x:c r="L25" s="293"/>
      <x:c r="M25" s="289"/>
      <x:c r="N25"/>
      <x:c r="O25"/>
      <x:c r="P25"/>
      <x:c r="Q25" t="str">
        <x:f>IF(TRIM($C25)="","enunciado","")</x:f>
        <x:v>enunciado</x:v>
      </x:c>
      <x:c r="R25" t="str">
        <x:f>IF(TRIM($K25)="",IF(COUNTIF($Q25:$Q25,"?*")&gt;0,", ","")&amp;"parcial","")</x:f>
      </x:c>
      <x:c r="S25" t="str">
        <x:f>IF(AND(TRIM($K25)&lt;&gt;"",TRIM($K25)&lt;&gt;"1P"),IF(COUNTIF($Q25:$R25,"?*")&gt;0,", ","")&amp;"parcial distinto a 1P","")</x:f>
      </x:c>
      <x:c r="T25" t="str">
        <x:f>IF(AND(OR($A25="Ítems agrupados por caso clínico o problema",$A25="Subítem de caso o problema",$A25="Emparejamiento Ampliado",$A25="Opción de Emparejamiento Ampliado"),TRIM($B25)=""),IF(COUNTIF($Q25:$S25,"?*")&gt;0,", ","")&amp;"grupo","")</x:f>
      </x:c>
      <x:c r="U25" t="str">
        <x:f>IF(AND(OR($A25="Verdadero o Falso Simple",$A25="Respuesta A/B/Ambas/Ninguna",$A25="Verdadero o Falso Complejas",$A25="Selección de la mejor respuesta",$A25="Subítem de caso o problema",$A25="Opción de Emparejamiento Ampliado"),TRIM($I25)=""),IF(COUNTIF($Q25:$T25,"?*")&gt;0,", ","")&amp;"respuesta_correcta","")</x:f>
      </x:c>
      <x:c r="V25" t="str">
        <x:f>IF(AND(OR($A25="Verdadero o Falso Simple",$A25="Respuesta A/B/Ambas/Ninguna",$A25="Verdadero o Falso Complejas",$A25="Selección de la mejor respuesta",$A25="Subítem de caso o problema",$A25="Opción de Emparejamiento Ampliado"),TRIM($J25)=""),IF(COUNTIF($Q25:$U25,"?*")&gt;0,", ","")&amp;"dificultad","")</x:f>
      </x:c>
      <x:c r="W25" t="str">
        <x:f>IF(AND(OR($A25="Ítems agrupados por caso clínico o problema",$A25="Emparejamiento Ampliado"),TRIM($I25)&lt;&gt;""),IF(COUNTIF($Q25:$V25,"?*")&gt;0,", ","")&amp;"respuesta debe ir vacia","")</x:f>
      </x:c>
      <x:c r="X25" t="str">
        <x:f>IF(AND(OR($A25="Ítems agrupados por caso clínico o problema",$A25="Emparejamiento Ampliado"),TRIM($J25)&lt;&gt;""),IF(COUNTIF($Q25:$W25,"?*")&gt;0,", ","")&amp;"dificultad debe ir vacia","")</x:f>
      </x:c>
      <x:c r="Y25" t="str">
        <x:f>IF(AND($A25="Verdadero o Falso Simple",OR(COUNTIF($D25:$E25,"?*")&lt;2,COUNTIF($F25:$H25,"?*")&gt;0)),IF(COUNTIF($Q25:$X25,"?*")&gt;0,", ","")&amp;"incisos A-B","")</x:f>
      </x:c>
      <x:c r="Z25" t="str">
        <x:f>IF(AND($A25="Verdadero o Falso Simple",TRIM($I25)&lt;&gt;"",NOT(OR(LEFT(TRIM($I25),1)="A",LEFT(TRIM($I25),1)="B"))),IF(COUNTIF($Q25:$Y25,"?*")&gt;0,", ","")&amp;"respuesta A-B","")</x:f>
      </x:c>
      <x:c r="AA25" t="str">
        <x:f>IF(AND($A25="Respuesta A/B/Ambas/Ninguna",COUNTIF($D25:$G25,"?*")&lt;4),IF(COUNTIF($Q25:$Z25,"?*")&gt;0,", ","")&amp;"opciones A-D","")</x:f>
      </x:c>
      <x:c r="AB25" t="str">
        <x:f>IF(AND($A25="Respuesta A/B/Ambas/Ninguna",COUNTIF($H25:$H25,"?*")&gt;0),IF(COUNTIF($Q25:$AA25,"?*")&gt;0,", ","")&amp;"opcion E deshabilitada","")</x:f>
      </x:c>
      <x:c r="AC25" t="str">
        <x:f>IF(AND($A25="Respuesta A/B/Ambas/Ninguna",TRIM($I25)&lt;&gt;"",NOT(OR(LEFT(TRIM($I25),1)="A",LEFT(TRIM($I25),1)="B",LEFT(TRIM($I25),1)="C",LEFT(TRIM($I25),1)="D"))),IF(COUNTIF($Q25:$AB25,"?*")&gt;0,", ","")&amp;"respuesta A-D","")</x:f>
      </x:c>
      <x:c r="AD25" t="str">
        <x:f>IF(AND($A25="Verdadero o Falso Complejas",OR(LEN(TRIM(SUBSTITUTE($D25,"1.","")))=0,LEN(TRIM(SUBSTITUTE($E25,"2.","")))=0,LEN(TRIM(SUBSTITUTE($F25,"3.","")))=0,LEN(TRIM(SUBSTITUTE($G25,"4.","")))=0)),IF(COUNTIF($Q25:$AC25,"?*")&gt;0,", ","")&amp;"incisos 1-4","")</x:f>
      </x:c>
      <x:c r="AE25" t="str">
        <x:f>IF(AND($A25="Verdadero o Falso Complejas",COUNTIF($H25:$H25,"?*")&gt;0),IF(COUNTIF($Q25:$AD25,"?*")&gt;0,", ","")&amp;"opcion E deshabilitada","")</x:f>
      </x:c>
      <x:c r="AF25" t="str">
        <x:f>IF(AND($A25="Verdadero o Falso Complejas",TRIM($I25)&lt;&gt;"",NOT(OR(LEFT(TRIM($I25),1)="A",LEFT(TRIM($I25),1)="B",LEFT(TRIM($I25),1)="C",LEFT(TRIM($I25),1)="D",LEFT(TRIM($I25),1)="E"))),IF(COUNTIF($Q25:$AE25,"?*")&gt;0,", ","")&amp;"respuesta A-E","")</x:f>
      </x:c>
      <x:c r="AG25" t="str">
        <x:f>IF(AND(OR($A25="Selección de la mejor respuesta",$A25="Subítem de caso o problema"),COUNTIF($D25:$H25,"?*")&lt;5),IF(COUNTIF($Q25:$AF25,"?*")&gt;0,", ","")&amp;"incisos A-E","")</x:f>
      </x:c>
      <x:c r="AH25" t="str">
        <x:f>IF(AND(OR($A25="Selección de la mejor respuesta",$A25="Subítem de caso o problema"),TRIM($I25)&lt;&gt;"",NOT(OR(LEFT(TRIM($I25),1)="A",LEFT(TRIM($I25),1)="B",LEFT(TRIM($I25),1)="C",LEFT(TRIM($I25),1)="D",LEFT(TRIM($I25),1)="E"))),IF(COUNTIF($Q25:$AG25,"?*")&gt;0,", ","")&amp;"respuesta A-E","")</x:f>
      </x:c>
      <x:c r="AI25" t="str">
        <x:f>IF(AND(OR($A25="Ítems agrupados por caso clínico o problema",$A25="Opción de Emparejamiento Ampliado"),COUNTIF($D25:$H25,"?*")&gt;0),IF(COUNTIF($Q25:$AH25,"?*")&gt;0,", ","")&amp;"sin incisos","")</x:f>
      </x:c>
      <x:c r="AJ25" t="str">
        <x:f>IF(AND($A25="Emparejamiento Ampliado",COUNTIF($D25:$H25,"?*")&lt;2),IF(COUNTIF($Q25:$AI25,"?*")&gt;0,", ","")&amp;"minimo 2 claves","")</x:f>
      </x:c>
      <x:c r="AK25" t="str">
        <x:f>IF(AND($A25="Opción de Emparejamiento Ampliado",NOT(OR(LEFT(TRIM($I25),1)="A",LEFT(TRIM($I25),1)="B",LEFT(TRIM($I25),1)="C",LEFT(TRIM($I25),1)="D",LEFT(TRIM($I25),1)="E"))),IF(COUNTIF($Q25:$AJ25,"?*")&gt;0,", ","")&amp;"respuesta A-E","")</x:f>
      </x:c>
      <x:c r="AL25" t="str">
        <x:f>IF(TRIM($K25)="",IF(COUNTIF($M25:$M25,"?*")&gt;0,", ","")&amp;"parcial","")</x:f>
      </x:c>
      <x:c r="AM25" t="str">
        <x:f>IF(AND(TRIM($K25)&lt;&gt;"",TRIM($K25)&lt;&gt;"1P"),IF(COUNTIF($M25:$N25,"?*")&gt;0,", ","")&amp;"parcial distinto a 1P","")</x:f>
      </x:c>
      <x:c r="AN25" t="str">
        <x:f>IF(AND(OR($A25="Ítems agrupados por caso clínico o problema",$A25="Subítem de caso o problema",$A25="Emparejamiento Ampliado",$A25="Opción de Emparejamiento Ampliado"),TRIM($B25)=""),IF(COUNTIF($M25:$O25,"?*")&gt;0,", ","")&amp;"grupo","")</x:f>
      </x:c>
    </x:row>
    <x:row r="26" ht="24" customHeight="1">
      <x:c r="A26" s="292"/>
      <x:c r="B26" s="292"/>
      <x:c r="C26" s="292"/>
      <x:c r="D26" s="292" t="str">
        <x:f>IF($A26="Verdadero o Falso Simple","Verdadero",IF($A26="Respuesta A/B/Ambas/Ninguna","A. Si la primera es verdadera",IF($A26="Verdadero o Falso Complejas","1. ","")))</x:f>
      </x:c>
      <x:c r="E26" s="292" t="str">
        <x:f>IF($A26="Verdadero o Falso Simple","Falso",IF($A26="Respuesta A/B/Ambas/Ninguna","B. Si la segunda es verdadera",IF($A26="Verdadero o Falso Complejas","2. ","")))</x:f>
      </x:c>
      <x:c r="F26" s="292" t="str">
        <x:f>IF($A26="Respuesta A/B/Ambas/Ninguna","C. Si ambas son verdaderas",IF($A26="Verdadero o Falso Complejas","3. ",""))</x:f>
      </x:c>
      <x:c r="G26" s="292" t="str">
        <x:f>IF($A26="Respuesta A/B/Ambas/Ninguna","D. Si ninguna es verdadera",IF($A26="Verdadero o Falso Complejas","4. ",""))</x:f>
      </x:c>
      <x:c r="H26" s="292" t="str">
        <x:f>IF($A26="Verdadero o Falso Simple","",IF($A26="Respuesta A/B/Ambas/Ninguna","",IF($A26="Verdadero o Falso Complejas","","")))</x:f>
      </x:c>
      <x:c r="I26" s="292"/>
      <x:c r="J26" s="292" t="n">
        <x:v>2</x:v>
      </x:c>
      <x:c r="K26" s="292" t="str">
        <x:v>1P</x:v>
      </x:c>
      <x:c r="L26" s="293"/>
      <x:c r="M26" s="289"/>
      <x:c r="N26"/>
      <x:c r="O26"/>
      <x:c r="P26"/>
      <x:c r="Q26" t="str">
        <x:f>IF(TRIM($C26)="","enunciado","")</x:f>
        <x:v>enunciado</x:v>
      </x:c>
      <x:c r="R26" t="str">
        <x:f>IF(TRIM($K26)="",IF(COUNTIF($Q26:$Q26,"?*")&gt;0,", ","")&amp;"parcial","")</x:f>
      </x:c>
      <x:c r="S26" t="str">
        <x:f>IF(AND(TRIM($K26)&lt;&gt;"",TRIM($K26)&lt;&gt;"1P"),IF(COUNTIF($Q26:$R26,"?*")&gt;0,", ","")&amp;"parcial distinto a 1P","")</x:f>
      </x:c>
      <x:c r="T26" t="str">
        <x:f>IF(AND(OR($A26="Ítems agrupados por caso clínico o problema",$A26="Subítem de caso o problema",$A26="Emparejamiento Ampliado",$A26="Opción de Emparejamiento Ampliado"),TRIM($B26)=""),IF(COUNTIF($Q26:$S26,"?*")&gt;0,", ","")&amp;"grupo","")</x:f>
      </x:c>
      <x:c r="U26" t="str">
        <x:f>IF(AND(OR($A26="Verdadero o Falso Simple",$A26="Respuesta A/B/Ambas/Ninguna",$A26="Verdadero o Falso Complejas",$A26="Selección de la mejor respuesta",$A26="Subítem de caso o problema",$A26="Opción de Emparejamiento Ampliado"),TRIM($I26)=""),IF(COUNTIF($Q26:$T26,"?*")&gt;0,", ","")&amp;"respuesta_correcta","")</x:f>
      </x:c>
      <x:c r="V26" t="str">
        <x:f>IF(AND(OR($A26="Verdadero o Falso Simple",$A26="Respuesta A/B/Ambas/Ninguna",$A26="Verdadero o Falso Complejas",$A26="Selección de la mejor respuesta",$A26="Subítem de caso o problema",$A26="Opción de Emparejamiento Ampliado"),TRIM($J26)=""),IF(COUNTIF($Q26:$U26,"?*")&gt;0,", ","")&amp;"dificultad","")</x:f>
      </x:c>
      <x:c r="W26" t="str">
        <x:f>IF(AND(OR($A26="Ítems agrupados por caso clínico o problema",$A26="Emparejamiento Ampliado"),TRIM($I26)&lt;&gt;""),IF(COUNTIF($Q26:$V26,"?*")&gt;0,", ","")&amp;"respuesta debe ir vacia","")</x:f>
      </x:c>
      <x:c r="X26" t="str">
        <x:f>IF(AND(OR($A26="Ítems agrupados por caso clínico o problema",$A26="Emparejamiento Ampliado"),TRIM($J26)&lt;&gt;""),IF(COUNTIF($Q26:$W26,"?*")&gt;0,", ","")&amp;"dificultad debe ir vacia","")</x:f>
      </x:c>
      <x:c r="Y26" t="str">
        <x:f>IF(AND($A26="Verdadero o Falso Simple",OR(COUNTIF($D26:$E26,"?*")&lt;2,COUNTIF($F26:$H26,"?*")&gt;0)),IF(COUNTIF($Q26:$X26,"?*")&gt;0,", ","")&amp;"incisos A-B","")</x:f>
      </x:c>
      <x:c r="Z26" t="str">
        <x:f>IF(AND($A26="Verdadero o Falso Simple",TRIM($I26)&lt;&gt;"",NOT(OR(LEFT(TRIM($I26),1)="A",LEFT(TRIM($I26),1)="B"))),IF(COUNTIF($Q26:$Y26,"?*")&gt;0,", ","")&amp;"respuesta A-B","")</x:f>
      </x:c>
      <x:c r="AA26" t="str">
        <x:f>IF(AND($A26="Respuesta A/B/Ambas/Ninguna",COUNTIF($D26:$G26,"?*")&lt;4),IF(COUNTIF($Q26:$Z26,"?*")&gt;0,", ","")&amp;"opciones A-D","")</x:f>
      </x:c>
      <x:c r="AB26" t="str">
        <x:f>IF(AND($A26="Respuesta A/B/Ambas/Ninguna",COUNTIF($H26:$H26,"?*")&gt;0),IF(COUNTIF($Q26:$AA26,"?*")&gt;0,", ","")&amp;"opcion E deshabilitada","")</x:f>
      </x:c>
      <x:c r="AC26" t="str">
        <x:f>IF(AND($A26="Respuesta A/B/Ambas/Ninguna",TRIM($I26)&lt;&gt;"",NOT(OR(LEFT(TRIM($I26),1)="A",LEFT(TRIM($I26),1)="B",LEFT(TRIM($I26),1)="C",LEFT(TRIM($I26),1)="D"))),IF(COUNTIF($Q26:$AB26,"?*")&gt;0,", ","")&amp;"respuesta A-D","")</x:f>
      </x:c>
      <x:c r="AD26" t="str">
        <x:f>IF(AND($A26="Verdadero o Falso Complejas",OR(LEN(TRIM(SUBSTITUTE($D26,"1.","")))=0,LEN(TRIM(SUBSTITUTE($E26,"2.","")))=0,LEN(TRIM(SUBSTITUTE($F26,"3.","")))=0,LEN(TRIM(SUBSTITUTE($G26,"4.","")))=0)),IF(COUNTIF($Q26:$AC26,"?*")&gt;0,", ","")&amp;"incisos 1-4","")</x:f>
      </x:c>
      <x:c r="AE26" t="str">
        <x:f>IF(AND($A26="Verdadero o Falso Complejas",COUNTIF($H26:$H26,"?*")&gt;0),IF(COUNTIF($Q26:$AD26,"?*")&gt;0,", ","")&amp;"opcion E deshabilitada","")</x:f>
      </x:c>
      <x:c r="AF26" t="str">
        <x:f>IF(AND($A26="Verdadero o Falso Complejas",TRIM($I26)&lt;&gt;"",NOT(OR(LEFT(TRIM($I26),1)="A",LEFT(TRIM($I26),1)="B",LEFT(TRIM($I26),1)="C",LEFT(TRIM($I26),1)="D",LEFT(TRIM($I26),1)="E"))),IF(COUNTIF($Q26:$AE26,"?*")&gt;0,", ","")&amp;"respuesta A-E","")</x:f>
      </x:c>
      <x:c r="AG26" t="str">
        <x:f>IF(AND(OR($A26="Selección de la mejor respuesta",$A26="Subítem de caso o problema"),COUNTIF($D26:$H26,"?*")&lt;5),IF(COUNTIF($Q26:$AF26,"?*")&gt;0,", ","")&amp;"incisos A-E","")</x:f>
      </x:c>
      <x:c r="AH26" t="str">
        <x:f>IF(AND(OR($A26="Selección de la mejor respuesta",$A26="Subítem de caso o problema"),TRIM($I26)&lt;&gt;"",NOT(OR(LEFT(TRIM($I26),1)="A",LEFT(TRIM($I26),1)="B",LEFT(TRIM($I26),1)="C",LEFT(TRIM($I26),1)="D",LEFT(TRIM($I26),1)="E"))),IF(COUNTIF($Q26:$AG26,"?*")&gt;0,", ","")&amp;"respuesta A-E","")</x:f>
      </x:c>
      <x:c r="AI26" t="str">
        <x:f>IF(AND(OR($A26="Ítems agrupados por caso clínico o problema",$A26="Opción de Emparejamiento Ampliado"),COUNTIF($D26:$H26,"?*")&gt;0),IF(COUNTIF($Q26:$AH26,"?*")&gt;0,", ","")&amp;"sin incisos","")</x:f>
      </x:c>
      <x:c r="AJ26" t="str">
        <x:f>IF(AND($A26="Emparejamiento Ampliado",COUNTIF($D26:$H26,"?*")&lt;2),IF(COUNTIF($Q26:$AI26,"?*")&gt;0,", ","")&amp;"minimo 2 claves","")</x:f>
      </x:c>
      <x:c r="AK26" t="str">
        <x:f>IF(AND($A26="Opción de Emparejamiento Ampliado",NOT(OR(LEFT(TRIM($I26),1)="A",LEFT(TRIM($I26),1)="B",LEFT(TRIM($I26),1)="C",LEFT(TRIM($I26),1)="D",LEFT(TRIM($I26),1)="E"))),IF(COUNTIF($Q26:$AJ26,"?*")&gt;0,", ","")&amp;"respuesta A-E","")</x:f>
      </x:c>
      <x:c r="AL26" t="str">
        <x:f>IF(TRIM($K26)="",IF(COUNTIF($M26:$M26,"?*")&gt;0,", ","")&amp;"parcial","")</x:f>
      </x:c>
      <x:c r="AM26" t="str">
        <x:f>IF(AND(TRIM($K26)&lt;&gt;"",TRIM($K26)&lt;&gt;"1P"),IF(COUNTIF($M26:$N26,"?*")&gt;0,", ","")&amp;"parcial distinto a 1P","")</x:f>
      </x:c>
      <x:c r="AN26" t="str">
        <x:f>IF(AND(OR($A26="Ítems agrupados por caso clínico o problema",$A26="Subítem de caso o problema",$A26="Emparejamiento Ampliado",$A26="Opción de Emparejamiento Ampliado"),TRIM($B26)=""),IF(COUNTIF($M26:$O26,"?*")&gt;0,", ","")&amp;"grupo","")</x:f>
      </x:c>
    </x:row>
    <x:row r="27" ht="24" customHeight="1">
      <x:c r="A27" s="292"/>
      <x:c r="B27" s="292"/>
      <x:c r="C27" s="292"/>
      <x:c r="D27" s="292" t="str">
        <x:f>IF($A27="Verdadero o Falso Simple","Verdadero",IF($A27="Respuesta A/B/Ambas/Ninguna","A. Si la primera es verdadera",IF($A27="Verdadero o Falso Complejas","1. ","")))</x:f>
      </x:c>
      <x:c r="E27" s="292" t="str">
        <x:f>IF($A27="Verdadero o Falso Simple","Falso",IF($A27="Respuesta A/B/Ambas/Ninguna","B. Si la segunda es verdadera",IF($A27="Verdadero o Falso Complejas","2. ","")))</x:f>
      </x:c>
      <x:c r="F27" s="292" t="str">
        <x:f>IF($A27="Respuesta A/B/Ambas/Ninguna","C. Si ambas son verdaderas",IF($A27="Verdadero o Falso Complejas","3. ",""))</x:f>
      </x:c>
      <x:c r="G27" s="292" t="str">
        <x:f>IF($A27="Respuesta A/B/Ambas/Ninguna","D. Si ninguna es verdadera",IF($A27="Verdadero o Falso Complejas","4. ",""))</x:f>
      </x:c>
      <x:c r="H27" s="292" t="str">
        <x:f>IF($A27="Verdadero o Falso Simple","",IF($A27="Respuesta A/B/Ambas/Ninguna","",IF($A27="Verdadero o Falso Complejas","","")))</x:f>
      </x:c>
      <x:c r="I27" s="292"/>
      <x:c r="J27" s="292" t="n">
        <x:v>2</x:v>
      </x:c>
      <x:c r="K27" s="292" t="str">
        <x:v>1P</x:v>
      </x:c>
      <x:c r="L27" s="293"/>
      <x:c r="M27" s="289"/>
      <x:c r="N27"/>
      <x:c r="O27"/>
      <x:c r="P27"/>
      <x:c r="Q27" t="str">
        <x:f>IF(TRIM($C27)="","enunciado","")</x:f>
        <x:v>enunciado</x:v>
      </x:c>
      <x:c r="R27" t="str">
        <x:f>IF(TRIM($K27)="",IF(COUNTIF($Q27:$Q27,"?*")&gt;0,", ","")&amp;"parcial","")</x:f>
      </x:c>
      <x:c r="S27" t="str">
        <x:f>IF(AND(TRIM($K27)&lt;&gt;"",TRIM($K27)&lt;&gt;"1P"),IF(COUNTIF($Q27:$R27,"?*")&gt;0,", ","")&amp;"parcial distinto a 1P","")</x:f>
      </x:c>
      <x:c r="T27" t="str">
        <x:f>IF(AND(OR($A27="Ítems agrupados por caso clínico o problema",$A27="Subítem de caso o problema",$A27="Emparejamiento Ampliado",$A27="Opción de Emparejamiento Ampliado"),TRIM($B27)=""),IF(COUNTIF($Q27:$S27,"?*")&gt;0,", ","")&amp;"grupo","")</x:f>
      </x:c>
      <x:c r="U27" t="str">
        <x:f>IF(AND(OR($A27="Verdadero o Falso Simple",$A27="Respuesta A/B/Ambas/Ninguna",$A27="Verdadero o Falso Complejas",$A27="Selección de la mejor respuesta",$A27="Subítem de caso o problema",$A27="Opción de Emparejamiento Ampliado"),TRIM($I27)=""),IF(COUNTIF($Q27:$T27,"?*")&gt;0,", ","")&amp;"respuesta_correcta","")</x:f>
      </x:c>
      <x:c r="V27" t="str">
        <x:f>IF(AND(OR($A27="Verdadero o Falso Simple",$A27="Respuesta A/B/Ambas/Ninguna",$A27="Verdadero o Falso Complejas",$A27="Selección de la mejor respuesta",$A27="Subítem de caso o problema",$A27="Opción de Emparejamiento Ampliado"),TRIM($J27)=""),IF(COUNTIF($Q27:$U27,"?*")&gt;0,", ","")&amp;"dificultad","")</x:f>
      </x:c>
      <x:c r="W27" t="str">
        <x:f>IF(AND(OR($A27="Ítems agrupados por caso clínico o problema",$A27="Emparejamiento Ampliado"),TRIM($I27)&lt;&gt;""),IF(COUNTIF($Q27:$V27,"?*")&gt;0,", ","")&amp;"respuesta debe ir vacia","")</x:f>
      </x:c>
      <x:c r="X27" t="str">
        <x:f>IF(AND(OR($A27="Ítems agrupados por caso clínico o problema",$A27="Emparejamiento Ampliado"),TRIM($J27)&lt;&gt;""),IF(COUNTIF($Q27:$W27,"?*")&gt;0,", ","")&amp;"dificultad debe ir vacia","")</x:f>
      </x:c>
      <x:c r="Y27" t="str">
        <x:f>IF(AND($A27="Verdadero o Falso Simple",OR(COUNTIF($D27:$E27,"?*")&lt;2,COUNTIF($F27:$H27,"?*")&gt;0)),IF(COUNTIF($Q27:$X27,"?*")&gt;0,", ","")&amp;"incisos A-B","")</x:f>
      </x:c>
      <x:c r="Z27" t="str">
        <x:f>IF(AND($A27="Verdadero o Falso Simple",TRIM($I27)&lt;&gt;"",NOT(OR(LEFT(TRIM($I27),1)="A",LEFT(TRIM($I27),1)="B"))),IF(COUNTIF($Q27:$Y27,"?*")&gt;0,", ","")&amp;"respuesta A-B","")</x:f>
      </x:c>
      <x:c r="AA27" t="str">
        <x:f>IF(AND($A27="Respuesta A/B/Ambas/Ninguna",COUNTIF($D27:$G27,"?*")&lt;4),IF(COUNTIF($Q27:$Z27,"?*")&gt;0,", ","")&amp;"opciones A-D","")</x:f>
      </x:c>
      <x:c r="AB27" t="str">
        <x:f>IF(AND($A27="Respuesta A/B/Ambas/Ninguna",COUNTIF($H27:$H27,"?*")&gt;0),IF(COUNTIF($Q27:$AA27,"?*")&gt;0,", ","")&amp;"opcion E deshabilitada","")</x:f>
      </x:c>
      <x:c r="AC27" t="str">
        <x:f>IF(AND($A27="Respuesta A/B/Ambas/Ninguna",TRIM($I27)&lt;&gt;"",NOT(OR(LEFT(TRIM($I27),1)="A",LEFT(TRIM($I27),1)="B",LEFT(TRIM($I27),1)="C",LEFT(TRIM($I27),1)="D"))),IF(COUNTIF($Q27:$AB27,"?*")&gt;0,", ","")&amp;"respuesta A-D","")</x:f>
      </x:c>
      <x:c r="AD27" t="str">
        <x:f>IF(AND($A27="Verdadero o Falso Complejas",OR(LEN(TRIM(SUBSTITUTE($D27,"1.","")))=0,LEN(TRIM(SUBSTITUTE($E27,"2.","")))=0,LEN(TRIM(SUBSTITUTE($F27,"3.","")))=0,LEN(TRIM(SUBSTITUTE($G27,"4.","")))=0)),IF(COUNTIF($Q27:$AC27,"?*")&gt;0,", ","")&amp;"incisos 1-4","")</x:f>
      </x:c>
      <x:c r="AE27" t="str">
        <x:f>IF(AND($A27="Verdadero o Falso Complejas",COUNTIF($H27:$H27,"?*")&gt;0),IF(COUNTIF($Q27:$AD27,"?*")&gt;0,", ","")&amp;"opcion E deshabilitada","")</x:f>
      </x:c>
      <x:c r="AF27" t="str">
        <x:f>IF(AND($A27="Verdadero o Falso Complejas",TRIM($I27)&lt;&gt;"",NOT(OR(LEFT(TRIM($I27),1)="A",LEFT(TRIM($I27),1)="B",LEFT(TRIM($I27),1)="C",LEFT(TRIM($I27),1)="D",LEFT(TRIM($I27),1)="E"))),IF(COUNTIF($Q27:$AE27,"?*")&gt;0,", ","")&amp;"respuesta A-E","")</x:f>
      </x:c>
      <x:c r="AG27" t="str">
        <x:f>IF(AND(OR($A27="Selección de la mejor respuesta",$A27="Subítem de caso o problema"),COUNTIF($D27:$H27,"?*")&lt;5),IF(COUNTIF($Q27:$AF27,"?*")&gt;0,", ","")&amp;"incisos A-E","")</x:f>
      </x:c>
      <x:c r="AH27" t="str">
        <x:f>IF(AND(OR($A27="Selección de la mejor respuesta",$A27="Subítem de caso o problema"),TRIM($I27)&lt;&gt;"",NOT(OR(LEFT(TRIM($I27),1)="A",LEFT(TRIM($I27),1)="B",LEFT(TRIM($I27),1)="C",LEFT(TRIM($I27),1)="D",LEFT(TRIM($I27),1)="E"))),IF(COUNTIF($Q27:$AG27,"?*")&gt;0,", ","")&amp;"respuesta A-E","")</x:f>
      </x:c>
      <x:c r="AI27" t="str">
        <x:f>IF(AND(OR($A27="Ítems agrupados por caso clínico o problema",$A27="Opción de Emparejamiento Ampliado"),COUNTIF($D27:$H27,"?*")&gt;0),IF(COUNTIF($Q27:$AH27,"?*")&gt;0,", ","")&amp;"sin incisos","")</x:f>
      </x:c>
      <x:c r="AJ27" t="str">
        <x:f>IF(AND($A27="Emparejamiento Ampliado",COUNTIF($D27:$H27,"?*")&lt;2),IF(COUNTIF($Q27:$AI27,"?*")&gt;0,", ","")&amp;"minimo 2 claves","")</x:f>
      </x:c>
      <x:c r="AK27" t="str">
        <x:f>IF(AND($A27="Opción de Emparejamiento Ampliado",NOT(OR(LEFT(TRIM($I27),1)="A",LEFT(TRIM($I27),1)="B",LEFT(TRIM($I27),1)="C",LEFT(TRIM($I27),1)="D",LEFT(TRIM($I27),1)="E"))),IF(COUNTIF($Q27:$AJ27,"?*")&gt;0,", ","")&amp;"respuesta A-E","")</x:f>
      </x:c>
      <x:c r="AL27" t="str">
        <x:f>IF(TRIM($K27)="",IF(COUNTIF($M27:$M27,"?*")&gt;0,", ","")&amp;"parcial","")</x:f>
      </x:c>
      <x:c r="AM27" t="str">
        <x:f>IF(AND(TRIM($K27)&lt;&gt;"",TRIM($K27)&lt;&gt;"1P"),IF(COUNTIF($M27:$N27,"?*")&gt;0,", ","")&amp;"parcial distinto a 1P","")</x:f>
      </x:c>
      <x:c r="AN27" t="str">
        <x:f>IF(AND(OR($A27="Ítems agrupados por caso clínico o problema",$A27="Subítem de caso o problema",$A27="Emparejamiento Ampliado",$A27="Opción de Emparejamiento Ampliado"),TRIM($B27)=""),IF(COUNTIF($M27:$O27,"?*")&gt;0,", ","")&amp;"grupo","")</x:f>
      </x:c>
    </x:row>
    <x:row r="28" ht="24" customHeight="1">
      <x:c r="A28" s="292"/>
      <x:c r="B28" s="292"/>
      <x:c r="C28" s="292"/>
      <x:c r="D28" s="292" t="str">
        <x:f>IF($A28="Verdadero o Falso Simple","Verdadero",IF($A28="Respuesta A/B/Ambas/Ninguna","A. Si la primera es verdadera",IF($A28="Verdadero o Falso Complejas","1. ","")))</x:f>
      </x:c>
      <x:c r="E28" s="292" t="str">
        <x:f>IF($A28="Verdadero o Falso Simple","Falso",IF($A28="Respuesta A/B/Ambas/Ninguna","B. Si la segunda es verdadera",IF($A28="Verdadero o Falso Complejas","2. ","")))</x:f>
      </x:c>
      <x:c r="F28" s="292" t="str">
        <x:f>IF($A28="Respuesta A/B/Ambas/Ninguna","C. Si ambas son verdaderas",IF($A28="Verdadero o Falso Complejas","3. ",""))</x:f>
      </x:c>
      <x:c r="G28" s="292" t="str">
        <x:f>IF($A28="Respuesta A/B/Ambas/Ninguna","D. Si ninguna es verdadera",IF($A28="Verdadero o Falso Complejas","4. ",""))</x:f>
      </x:c>
      <x:c r="H28" s="292" t="str">
        <x:f>IF($A28="Verdadero o Falso Simple","",IF($A28="Respuesta A/B/Ambas/Ninguna","",IF($A28="Verdadero o Falso Complejas","","")))</x:f>
      </x:c>
      <x:c r="I28" s="292"/>
      <x:c r="J28" s="292" t="n">
        <x:v>2</x:v>
      </x:c>
      <x:c r="K28" s="292" t="str">
        <x:v>1P</x:v>
      </x:c>
      <x:c r="L28" s="293"/>
      <x:c r="M28" s="289"/>
      <x:c r="N28"/>
      <x:c r="O28"/>
      <x:c r="P28"/>
      <x:c r="Q28" t="str">
        <x:f>IF(TRIM($C28)="","enunciado","")</x:f>
        <x:v>enunciado</x:v>
      </x:c>
      <x:c r="R28" t="str">
        <x:f>IF(TRIM($K28)="",IF(COUNTIF($Q28:$Q28,"?*")&gt;0,", ","")&amp;"parcial","")</x:f>
      </x:c>
      <x:c r="S28" t="str">
        <x:f>IF(AND(TRIM($K28)&lt;&gt;"",TRIM($K28)&lt;&gt;"1P"),IF(COUNTIF($Q28:$R28,"?*")&gt;0,", ","")&amp;"parcial distinto a 1P","")</x:f>
      </x:c>
      <x:c r="T28" t="str">
        <x:f>IF(AND(OR($A28="Ítems agrupados por caso clínico o problema",$A28="Subítem de caso o problema",$A28="Emparejamiento Ampliado",$A28="Opción de Emparejamiento Ampliado"),TRIM($B28)=""),IF(COUNTIF($Q28:$S28,"?*")&gt;0,", ","")&amp;"grupo","")</x:f>
      </x:c>
      <x:c r="U28" t="str">
        <x:f>IF(AND(OR($A28="Verdadero o Falso Simple",$A28="Respuesta A/B/Ambas/Ninguna",$A28="Verdadero o Falso Complejas",$A28="Selección de la mejor respuesta",$A28="Subítem de caso o problema",$A28="Opción de Emparejamiento Ampliado"),TRIM($I28)=""),IF(COUNTIF($Q28:$T28,"?*")&gt;0,", ","")&amp;"respuesta_correcta","")</x:f>
      </x:c>
      <x:c r="V28" t="str">
        <x:f>IF(AND(OR($A28="Verdadero o Falso Simple",$A28="Respuesta A/B/Ambas/Ninguna",$A28="Verdadero o Falso Complejas",$A28="Selección de la mejor respuesta",$A28="Subítem de caso o problema",$A28="Opción de Emparejamiento Ampliado"),TRIM($J28)=""),IF(COUNTIF($Q28:$U28,"?*")&gt;0,", ","")&amp;"dificultad","")</x:f>
      </x:c>
      <x:c r="W28" t="str">
        <x:f>IF(AND(OR($A28="Ítems agrupados por caso clínico o problema",$A28="Emparejamiento Ampliado"),TRIM($I28)&lt;&gt;""),IF(COUNTIF($Q28:$V28,"?*")&gt;0,", ","")&amp;"respuesta debe ir vacia","")</x:f>
      </x:c>
      <x:c r="X28" t="str">
        <x:f>IF(AND(OR($A28="Ítems agrupados por caso clínico o problema",$A28="Emparejamiento Ampliado"),TRIM($J28)&lt;&gt;""),IF(COUNTIF($Q28:$W28,"?*")&gt;0,", ","")&amp;"dificultad debe ir vacia","")</x:f>
      </x:c>
      <x:c r="Y28" t="str">
        <x:f>IF(AND($A28="Verdadero o Falso Simple",OR(COUNTIF($D28:$E28,"?*")&lt;2,COUNTIF($F28:$H28,"?*")&gt;0)),IF(COUNTIF($Q28:$X28,"?*")&gt;0,", ","")&amp;"incisos A-B","")</x:f>
      </x:c>
      <x:c r="Z28" t="str">
        <x:f>IF(AND($A28="Verdadero o Falso Simple",TRIM($I28)&lt;&gt;"",NOT(OR(LEFT(TRIM($I28),1)="A",LEFT(TRIM($I28),1)="B"))),IF(COUNTIF($Q28:$Y28,"?*")&gt;0,", ","")&amp;"respuesta A-B","")</x:f>
      </x:c>
      <x:c r="AA28" t="str">
        <x:f>IF(AND($A28="Respuesta A/B/Ambas/Ninguna",COUNTIF($D28:$G28,"?*")&lt;4),IF(COUNTIF($Q28:$Z28,"?*")&gt;0,", ","")&amp;"opciones A-D","")</x:f>
      </x:c>
      <x:c r="AB28" t="str">
        <x:f>IF(AND($A28="Respuesta A/B/Ambas/Ninguna",COUNTIF($H28:$H28,"?*")&gt;0),IF(COUNTIF($Q28:$AA28,"?*")&gt;0,", ","")&amp;"opcion E deshabilitada","")</x:f>
      </x:c>
      <x:c r="AC28" t="str">
        <x:f>IF(AND($A28="Respuesta A/B/Ambas/Ninguna",TRIM($I28)&lt;&gt;"",NOT(OR(LEFT(TRIM($I28),1)="A",LEFT(TRIM($I28),1)="B",LEFT(TRIM($I28),1)="C",LEFT(TRIM($I28),1)="D"))),IF(COUNTIF($Q28:$AB28,"?*")&gt;0,", ","")&amp;"respuesta A-D","")</x:f>
      </x:c>
      <x:c r="AD28" t="str">
        <x:f>IF(AND($A28="Verdadero o Falso Complejas",OR(LEN(TRIM(SUBSTITUTE($D28,"1.","")))=0,LEN(TRIM(SUBSTITUTE($E28,"2.","")))=0,LEN(TRIM(SUBSTITUTE($F28,"3.","")))=0,LEN(TRIM(SUBSTITUTE($G28,"4.","")))=0)),IF(COUNTIF($Q28:$AC28,"?*")&gt;0,", ","")&amp;"incisos 1-4","")</x:f>
      </x:c>
      <x:c r="AE28" t="str">
        <x:f>IF(AND($A28="Verdadero o Falso Complejas",COUNTIF($H28:$H28,"?*")&gt;0),IF(COUNTIF($Q28:$AD28,"?*")&gt;0,", ","")&amp;"opcion E deshabilitada","")</x:f>
      </x:c>
      <x:c r="AF28" t="str">
        <x:f>IF(AND($A28="Verdadero o Falso Complejas",TRIM($I28)&lt;&gt;"",NOT(OR(LEFT(TRIM($I28),1)="A",LEFT(TRIM($I28),1)="B",LEFT(TRIM($I28),1)="C",LEFT(TRIM($I28),1)="D",LEFT(TRIM($I28),1)="E"))),IF(COUNTIF($Q28:$AE28,"?*")&gt;0,", ","")&amp;"respuesta A-E","")</x:f>
      </x:c>
      <x:c r="AG28" t="str">
        <x:f>IF(AND(OR($A28="Selección de la mejor respuesta",$A28="Subítem de caso o problema"),COUNTIF($D28:$H28,"?*")&lt;5),IF(COUNTIF($Q28:$AF28,"?*")&gt;0,", ","")&amp;"incisos A-E","")</x:f>
      </x:c>
      <x:c r="AH28" t="str">
        <x:f>IF(AND(OR($A28="Selección de la mejor respuesta",$A28="Subítem de caso o problema"),TRIM($I28)&lt;&gt;"",NOT(OR(LEFT(TRIM($I28),1)="A",LEFT(TRIM($I28),1)="B",LEFT(TRIM($I28),1)="C",LEFT(TRIM($I28),1)="D",LEFT(TRIM($I28),1)="E"))),IF(COUNTIF($Q28:$AG28,"?*")&gt;0,", ","")&amp;"respuesta A-E","")</x:f>
      </x:c>
      <x:c r="AI28" t="str">
        <x:f>IF(AND(OR($A28="Ítems agrupados por caso clínico o problema",$A28="Opción de Emparejamiento Ampliado"),COUNTIF($D28:$H28,"?*")&gt;0),IF(COUNTIF($Q28:$AH28,"?*")&gt;0,", ","")&amp;"sin incisos","")</x:f>
      </x:c>
      <x:c r="AJ28" t="str">
        <x:f>IF(AND($A28="Emparejamiento Ampliado",COUNTIF($D28:$H28,"?*")&lt;2),IF(COUNTIF($Q28:$AI28,"?*")&gt;0,", ","")&amp;"minimo 2 claves","")</x:f>
      </x:c>
      <x:c r="AK28" t="str">
        <x:f>IF(AND($A28="Opción de Emparejamiento Ampliado",NOT(OR(LEFT(TRIM($I28),1)="A",LEFT(TRIM($I28),1)="B",LEFT(TRIM($I28),1)="C",LEFT(TRIM($I28),1)="D",LEFT(TRIM($I28),1)="E"))),IF(COUNTIF($Q28:$AJ28,"?*")&gt;0,", ","")&amp;"respuesta A-E","")</x:f>
      </x:c>
      <x:c r="AL28" t="str">
        <x:f>IF(TRIM($K28)="",IF(COUNTIF($M28:$M28,"?*")&gt;0,", ","")&amp;"parcial","")</x:f>
      </x:c>
      <x:c r="AM28" t="str">
        <x:f>IF(AND(TRIM($K28)&lt;&gt;"",TRIM($K28)&lt;&gt;"1P"),IF(COUNTIF($M28:$N28,"?*")&gt;0,", ","")&amp;"parcial distinto a 1P","")</x:f>
      </x:c>
      <x:c r="AN28" t="str">
        <x:f>IF(AND(OR($A28="Ítems agrupados por caso clínico o problema",$A28="Subítem de caso o problema",$A28="Emparejamiento Ampliado",$A28="Opción de Emparejamiento Ampliado"),TRIM($B28)=""),IF(COUNTIF($M28:$O28,"?*")&gt;0,", ","")&amp;"grupo","")</x:f>
      </x:c>
    </x:row>
    <x:row r="29" ht="24" customHeight="1">
      <x:c r="A29" s="292"/>
      <x:c r="B29" s="292"/>
      <x:c r="C29" s="292"/>
      <x:c r="D29" s="292" t="str">
        <x:f>IF($A29="Verdadero o Falso Simple","Verdadero",IF($A29="Respuesta A/B/Ambas/Ninguna","A. Si la primera es verdadera",IF($A29="Verdadero o Falso Complejas","1. ","")))</x:f>
      </x:c>
      <x:c r="E29" s="292" t="str">
        <x:f>IF($A29="Verdadero o Falso Simple","Falso",IF($A29="Respuesta A/B/Ambas/Ninguna","B. Si la segunda es verdadera",IF($A29="Verdadero o Falso Complejas","2. ","")))</x:f>
      </x:c>
      <x:c r="F29" s="292" t="str">
        <x:f>IF($A29="Respuesta A/B/Ambas/Ninguna","C. Si ambas son verdaderas",IF($A29="Verdadero o Falso Complejas","3. ",""))</x:f>
      </x:c>
      <x:c r="G29" s="292" t="str">
        <x:f>IF($A29="Respuesta A/B/Ambas/Ninguna","D. Si ninguna es verdadera",IF($A29="Verdadero o Falso Complejas","4. ",""))</x:f>
      </x:c>
      <x:c r="H29" s="292" t="str">
        <x:f>IF($A29="Verdadero o Falso Simple","",IF($A29="Respuesta A/B/Ambas/Ninguna","",IF($A29="Verdadero o Falso Complejas","","")))</x:f>
      </x:c>
      <x:c r="I29" s="292"/>
      <x:c r="J29" s="292" t="n">
        <x:v>2</x:v>
      </x:c>
      <x:c r="K29" s="292" t="str">
        <x:v>1P</x:v>
      </x:c>
      <x:c r="L29" s="293"/>
      <x:c r="M29" s="289"/>
      <x:c r="N29"/>
      <x:c r="O29"/>
      <x:c r="P29"/>
      <x:c r="Q29" t="str">
        <x:f>IF(TRIM($C29)="","enunciado","")</x:f>
        <x:v>enunciado</x:v>
      </x:c>
      <x:c r="R29" t="str">
        <x:f>IF(TRIM($K29)="",IF(COUNTIF($Q29:$Q29,"?*")&gt;0,", ","")&amp;"parcial","")</x:f>
      </x:c>
      <x:c r="S29" t="str">
        <x:f>IF(AND(TRIM($K29)&lt;&gt;"",TRIM($K29)&lt;&gt;"1P"),IF(COUNTIF($Q29:$R29,"?*")&gt;0,", ","")&amp;"parcial distinto a 1P","")</x:f>
      </x:c>
      <x:c r="T29" t="str">
        <x:f>IF(AND(OR($A29="Ítems agrupados por caso clínico o problema",$A29="Subítem de caso o problema",$A29="Emparejamiento Ampliado",$A29="Opción de Emparejamiento Ampliado"),TRIM($B29)=""),IF(COUNTIF($Q29:$S29,"?*")&gt;0,", ","")&amp;"grupo","")</x:f>
      </x:c>
      <x:c r="U29" t="str">
        <x:f>IF(AND(OR($A29="Verdadero o Falso Simple",$A29="Respuesta A/B/Ambas/Ninguna",$A29="Verdadero o Falso Complejas",$A29="Selección de la mejor respuesta",$A29="Subítem de caso o problema",$A29="Opción de Emparejamiento Ampliado"),TRIM($I29)=""),IF(COUNTIF($Q29:$T29,"?*")&gt;0,", ","")&amp;"respuesta_correcta","")</x:f>
      </x:c>
      <x:c r="V29" t="str">
        <x:f>IF(AND(OR($A29="Verdadero o Falso Simple",$A29="Respuesta A/B/Ambas/Ninguna",$A29="Verdadero o Falso Complejas",$A29="Selección de la mejor respuesta",$A29="Subítem de caso o problema",$A29="Opción de Emparejamiento Ampliado"),TRIM($J29)=""),IF(COUNTIF($Q29:$U29,"?*")&gt;0,", ","")&amp;"dificultad","")</x:f>
      </x:c>
      <x:c r="W29" t="str">
        <x:f>IF(AND(OR($A29="Ítems agrupados por caso clínico o problema",$A29="Emparejamiento Ampliado"),TRIM($I29)&lt;&gt;""),IF(COUNTIF($Q29:$V29,"?*")&gt;0,", ","")&amp;"respuesta debe ir vacia","")</x:f>
      </x:c>
      <x:c r="X29" t="str">
        <x:f>IF(AND(OR($A29="Ítems agrupados por caso clínico o problema",$A29="Emparejamiento Ampliado"),TRIM($J29)&lt;&gt;""),IF(COUNTIF($Q29:$W29,"?*")&gt;0,", ","")&amp;"dificultad debe ir vacia","")</x:f>
      </x:c>
      <x:c r="Y29" t="str">
        <x:f>IF(AND($A29="Verdadero o Falso Simple",OR(COUNTIF($D29:$E29,"?*")&lt;2,COUNTIF($F29:$H29,"?*")&gt;0)),IF(COUNTIF($Q29:$X29,"?*")&gt;0,", ","")&amp;"incisos A-B","")</x:f>
      </x:c>
      <x:c r="Z29" t="str">
        <x:f>IF(AND($A29="Verdadero o Falso Simple",TRIM($I29)&lt;&gt;"",NOT(OR(LEFT(TRIM($I29),1)="A",LEFT(TRIM($I29),1)="B"))),IF(COUNTIF($Q29:$Y29,"?*")&gt;0,", ","")&amp;"respuesta A-B","")</x:f>
      </x:c>
      <x:c r="AA29" t="str">
        <x:f>IF(AND($A29="Respuesta A/B/Ambas/Ninguna",COUNTIF($D29:$G29,"?*")&lt;4),IF(COUNTIF($Q29:$Z29,"?*")&gt;0,", ","")&amp;"opciones A-D","")</x:f>
      </x:c>
      <x:c r="AB29" t="str">
        <x:f>IF(AND($A29="Respuesta A/B/Ambas/Ninguna",COUNTIF($H29:$H29,"?*")&gt;0),IF(COUNTIF($Q29:$AA29,"?*")&gt;0,", ","")&amp;"opcion E deshabilitada","")</x:f>
      </x:c>
      <x:c r="AC29" t="str">
        <x:f>IF(AND($A29="Respuesta A/B/Ambas/Ninguna",TRIM($I29)&lt;&gt;"",NOT(OR(LEFT(TRIM($I29),1)="A",LEFT(TRIM($I29),1)="B",LEFT(TRIM($I29),1)="C",LEFT(TRIM($I29),1)="D"))),IF(COUNTIF($Q29:$AB29,"?*")&gt;0,", ","")&amp;"respuesta A-D","")</x:f>
      </x:c>
      <x:c r="AD29" t="str">
        <x:f>IF(AND($A29="Verdadero o Falso Complejas",OR(LEN(TRIM(SUBSTITUTE($D29,"1.","")))=0,LEN(TRIM(SUBSTITUTE($E29,"2.","")))=0,LEN(TRIM(SUBSTITUTE($F29,"3.","")))=0,LEN(TRIM(SUBSTITUTE($G29,"4.","")))=0)),IF(COUNTIF($Q29:$AC29,"?*")&gt;0,", ","")&amp;"incisos 1-4","")</x:f>
      </x:c>
      <x:c r="AE29" t="str">
        <x:f>IF(AND($A29="Verdadero o Falso Complejas",COUNTIF($H29:$H29,"?*")&gt;0),IF(COUNTIF($Q29:$AD29,"?*")&gt;0,", ","")&amp;"opcion E deshabilitada","")</x:f>
      </x:c>
      <x:c r="AF29" t="str">
        <x:f>IF(AND($A29="Verdadero o Falso Complejas",TRIM($I29)&lt;&gt;"",NOT(OR(LEFT(TRIM($I29),1)="A",LEFT(TRIM($I29),1)="B",LEFT(TRIM($I29),1)="C",LEFT(TRIM($I29),1)="D",LEFT(TRIM($I29),1)="E"))),IF(COUNTIF($Q29:$AE29,"?*")&gt;0,", ","")&amp;"respuesta A-E","")</x:f>
      </x:c>
      <x:c r="AG29" t="str">
        <x:f>IF(AND(OR($A29="Selección de la mejor respuesta",$A29="Subítem de caso o problema"),COUNTIF($D29:$H29,"?*")&lt;5),IF(COUNTIF($Q29:$AF29,"?*")&gt;0,", ","")&amp;"incisos A-E","")</x:f>
      </x:c>
      <x:c r="AH29" t="str">
        <x:f>IF(AND(OR($A29="Selección de la mejor respuesta",$A29="Subítem de caso o problema"),TRIM($I29)&lt;&gt;"",NOT(OR(LEFT(TRIM($I29),1)="A",LEFT(TRIM($I29),1)="B",LEFT(TRIM($I29),1)="C",LEFT(TRIM($I29),1)="D",LEFT(TRIM($I29),1)="E"))),IF(COUNTIF($Q29:$AG29,"?*")&gt;0,", ","")&amp;"respuesta A-E","")</x:f>
      </x:c>
      <x:c r="AI29" t="str">
        <x:f>IF(AND(OR($A29="Ítems agrupados por caso clínico o problema",$A29="Opción de Emparejamiento Ampliado"),COUNTIF($D29:$H29,"?*")&gt;0),IF(COUNTIF($Q29:$AH29,"?*")&gt;0,", ","")&amp;"sin incisos","")</x:f>
      </x:c>
      <x:c r="AJ29" t="str">
        <x:f>IF(AND($A29="Emparejamiento Ampliado",COUNTIF($D29:$H29,"?*")&lt;2),IF(COUNTIF($Q29:$AI29,"?*")&gt;0,", ","")&amp;"minimo 2 claves","")</x:f>
      </x:c>
      <x:c r="AK29" t="str">
        <x:f>IF(AND($A29="Opción de Emparejamiento Ampliado",NOT(OR(LEFT(TRIM($I29),1)="A",LEFT(TRIM($I29),1)="B",LEFT(TRIM($I29),1)="C",LEFT(TRIM($I29),1)="D",LEFT(TRIM($I29),1)="E"))),IF(COUNTIF($Q29:$AJ29,"?*")&gt;0,", ","")&amp;"respuesta A-E","")</x:f>
      </x:c>
      <x:c r="AL29" t="str">
        <x:f>IF(TRIM($K29)="",IF(COUNTIF($M29:$M29,"?*")&gt;0,", ","")&amp;"parcial","")</x:f>
      </x:c>
      <x:c r="AM29" t="str">
        <x:f>IF(AND(TRIM($K29)&lt;&gt;"",TRIM($K29)&lt;&gt;"1P"),IF(COUNTIF($M29:$N29,"?*")&gt;0,", ","")&amp;"parcial distinto a 1P","")</x:f>
      </x:c>
      <x:c r="AN29" t="str">
        <x:f>IF(AND(OR($A29="Ítems agrupados por caso clínico o problema",$A29="Subítem de caso o problema",$A29="Emparejamiento Ampliado",$A29="Opción de Emparejamiento Ampliado"),TRIM($B29)=""),IF(COUNTIF($M29:$O29,"?*")&gt;0,", ","")&amp;"grupo","")</x:f>
      </x:c>
    </x:row>
    <x:row r="30" ht="24" customHeight="1">
      <x:c r="A30" s="292"/>
      <x:c r="B30" s="292"/>
      <x:c r="C30" s="292"/>
      <x:c r="D30" s="292" t="str">
        <x:f>IF($A30="Verdadero o Falso Simple","Verdadero",IF($A30="Respuesta A/B/Ambas/Ninguna","A. Si la primera es verdadera",IF($A30="Verdadero o Falso Complejas","1. ","")))</x:f>
      </x:c>
      <x:c r="E30" s="292" t="str">
        <x:f>IF($A30="Verdadero o Falso Simple","Falso",IF($A30="Respuesta A/B/Ambas/Ninguna","B. Si la segunda es verdadera",IF($A30="Verdadero o Falso Complejas","2. ","")))</x:f>
      </x:c>
      <x:c r="F30" s="292" t="str">
        <x:f>IF($A30="Respuesta A/B/Ambas/Ninguna","C. Si ambas son verdaderas",IF($A30="Verdadero o Falso Complejas","3. ",""))</x:f>
      </x:c>
      <x:c r="G30" s="292" t="str">
        <x:f>IF($A30="Respuesta A/B/Ambas/Ninguna","D. Si ninguna es verdadera",IF($A30="Verdadero o Falso Complejas","4. ",""))</x:f>
      </x:c>
      <x:c r="H30" s="292" t="str">
        <x:f>IF($A30="Verdadero o Falso Simple","",IF($A30="Respuesta A/B/Ambas/Ninguna","",IF($A30="Verdadero o Falso Complejas","","")))</x:f>
      </x:c>
      <x:c r="I30" s="292"/>
      <x:c r="J30" s="292" t="n">
        <x:v>2</x:v>
      </x:c>
      <x:c r="K30" s="292" t="str">
        <x:v>1P</x:v>
      </x:c>
      <x:c r="L30" s="293"/>
      <x:c r="M30" s="289"/>
      <x:c r="N30"/>
      <x:c r="O30"/>
      <x:c r="P30"/>
      <x:c r="Q30" t="str">
        <x:f>IF(TRIM($C30)="","enunciado","")</x:f>
        <x:v>enunciado</x:v>
      </x:c>
      <x:c r="R30" t="str">
        <x:f>IF(TRIM($K30)="",IF(COUNTIF($Q30:$Q30,"?*")&gt;0,", ","")&amp;"parcial","")</x:f>
      </x:c>
      <x:c r="S30" t="str">
        <x:f>IF(AND(TRIM($K30)&lt;&gt;"",TRIM($K30)&lt;&gt;"1P"),IF(COUNTIF($Q30:$R30,"?*")&gt;0,", ","")&amp;"parcial distinto a 1P","")</x:f>
      </x:c>
      <x:c r="T30" t="str">
        <x:f>IF(AND(OR($A30="Ítems agrupados por caso clínico o problema",$A30="Subítem de caso o problema",$A30="Emparejamiento Ampliado",$A30="Opción de Emparejamiento Ampliado"),TRIM($B30)=""),IF(COUNTIF($Q30:$S30,"?*")&gt;0,", ","")&amp;"grupo","")</x:f>
      </x:c>
      <x:c r="U30" t="str">
        <x:f>IF(AND(OR($A30="Verdadero o Falso Simple",$A30="Respuesta A/B/Ambas/Ninguna",$A30="Verdadero o Falso Complejas",$A30="Selección de la mejor respuesta",$A30="Subítem de caso o problema",$A30="Opción de Emparejamiento Ampliado"),TRIM($I30)=""),IF(COUNTIF($Q30:$T30,"?*")&gt;0,", ","")&amp;"respuesta_correcta","")</x:f>
      </x:c>
      <x:c r="V30" t="str">
        <x:f>IF(AND(OR($A30="Verdadero o Falso Simple",$A30="Respuesta A/B/Ambas/Ninguna",$A30="Verdadero o Falso Complejas",$A30="Selección de la mejor respuesta",$A30="Subítem de caso o problema",$A30="Opción de Emparejamiento Ampliado"),TRIM($J30)=""),IF(COUNTIF($Q30:$U30,"?*")&gt;0,", ","")&amp;"dificultad","")</x:f>
      </x:c>
      <x:c r="W30" t="str">
        <x:f>IF(AND(OR($A30="Ítems agrupados por caso clínico o problema",$A30="Emparejamiento Ampliado"),TRIM($I30)&lt;&gt;""),IF(COUNTIF($Q30:$V30,"?*")&gt;0,", ","")&amp;"respuesta debe ir vacia","")</x:f>
      </x:c>
      <x:c r="X30" t="str">
        <x:f>IF(AND(OR($A30="Ítems agrupados por caso clínico o problema",$A30="Emparejamiento Ampliado"),TRIM($J30)&lt;&gt;""),IF(COUNTIF($Q30:$W30,"?*")&gt;0,", ","")&amp;"dificultad debe ir vacia","")</x:f>
      </x:c>
      <x:c r="Y30" t="str">
        <x:f>IF(AND($A30="Verdadero o Falso Simple",OR(COUNTIF($D30:$E30,"?*")&lt;2,COUNTIF($F30:$H30,"?*")&gt;0)),IF(COUNTIF($Q30:$X30,"?*")&gt;0,", ","")&amp;"incisos A-B","")</x:f>
      </x:c>
      <x:c r="Z30" t="str">
        <x:f>IF(AND($A30="Verdadero o Falso Simple",TRIM($I30)&lt;&gt;"",NOT(OR(LEFT(TRIM($I30),1)="A",LEFT(TRIM($I30),1)="B"))),IF(COUNTIF($Q30:$Y30,"?*")&gt;0,", ","")&amp;"respuesta A-B","")</x:f>
      </x:c>
      <x:c r="AA30" t="str">
        <x:f>IF(AND($A30="Respuesta A/B/Ambas/Ninguna",COUNTIF($D30:$G30,"?*")&lt;4),IF(COUNTIF($Q30:$Z30,"?*")&gt;0,", ","")&amp;"opciones A-D","")</x:f>
      </x:c>
      <x:c r="AB30" t="str">
        <x:f>IF(AND($A30="Respuesta A/B/Ambas/Ninguna",COUNTIF($H30:$H30,"?*")&gt;0),IF(COUNTIF($Q30:$AA30,"?*")&gt;0,", ","")&amp;"opcion E deshabilitada","")</x:f>
      </x:c>
      <x:c r="AC30" t="str">
        <x:f>IF(AND($A30="Respuesta A/B/Ambas/Ninguna",TRIM($I30)&lt;&gt;"",NOT(OR(LEFT(TRIM($I30),1)="A",LEFT(TRIM($I30),1)="B",LEFT(TRIM($I30),1)="C",LEFT(TRIM($I30),1)="D"))),IF(COUNTIF($Q30:$AB30,"?*")&gt;0,", ","")&amp;"respuesta A-D","")</x:f>
      </x:c>
      <x:c r="AD30" t="str">
        <x:f>IF(AND($A30="Verdadero o Falso Complejas",OR(LEN(TRIM(SUBSTITUTE($D30,"1.","")))=0,LEN(TRIM(SUBSTITUTE($E30,"2.","")))=0,LEN(TRIM(SUBSTITUTE($F30,"3.","")))=0,LEN(TRIM(SUBSTITUTE($G30,"4.","")))=0)),IF(COUNTIF($Q30:$AC30,"?*")&gt;0,", ","")&amp;"incisos 1-4","")</x:f>
      </x:c>
      <x:c r="AE30" t="str">
        <x:f>IF(AND($A30="Verdadero o Falso Complejas",COUNTIF($H30:$H30,"?*")&gt;0),IF(COUNTIF($Q30:$AD30,"?*")&gt;0,", ","")&amp;"opcion E deshabilitada","")</x:f>
      </x:c>
      <x:c r="AF30" t="str">
        <x:f>IF(AND($A30="Verdadero o Falso Complejas",TRIM($I30)&lt;&gt;"",NOT(OR(LEFT(TRIM($I30),1)="A",LEFT(TRIM($I30),1)="B",LEFT(TRIM($I30),1)="C",LEFT(TRIM($I30),1)="D",LEFT(TRIM($I30),1)="E"))),IF(COUNTIF($Q30:$AE30,"?*")&gt;0,", ","")&amp;"respuesta A-E","")</x:f>
      </x:c>
      <x:c r="AG30" t="str">
        <x:f>IF(AND(OR($A30="Selección de la mejor respuesta",$A30="Subítem de caso o problema"),COUNTIF($D30:$H30,"?*")&lt;5),IF(COUNTIF($Q30:$AF30,"?*")&gt;0,", ","")&amp;"incisos A-E","")</x:f>
      </x:c>
      <x:c r="AH30" t="str">
        <x:f>IF(AND(OR($A30="Selección de la mejor respuesta",$A30="Subítem de caso o problema"),TRIM($I30)&lt;&gt;"",NOT(OR(LEFT(TRIM($I30),1)="A",LEFT(TRIM($I30),1)="B",LEFT(TRIM($I30),1)="C",LEFT(TRIM($I30),1)="D",LEFT(TRIM($I30),1)="E"))),IF(COUNTIF($Q30:$AG30,"?*")&gt;0,", ","")&amp;"respuesta A-E","")</x:f>
      </x:c>
      <x:c r="AI30" t="str">
        <x:f>IF(AND(OR($A30="Ítems agrupados por caso clínico o problema",$A30="Opción de Emparejamiento Ampliado"),COUNTIF($D30:$H30,"?*")&gt;0),IF(COUNTIF($Q30:$AH30,"?*")&gt;0,", ","")&amp;"sin incisos","")</x:f>
      </x:c>
      <x:c r="AJ30" t="str">
        <x:f>IF(AND($A30="Emparejamiento Ampliado",COUNTIF($D30:$H30,"?*")&lt;2),IF(COUNTIF($Q30:$AI30,"?*")&gt;0,", ","")&amp;"minimo 2 claves","")</x:f>
      </x:c>
      <x:c r="AK30" t="str">
        <x:f>IF(AND($A30="Opción de Emparejamiento Ampliado",NOT(OR(LEFT(TRIM($I30),1)="A",LEFT(TRIM($I30),1)="B",LEFT(TRIM($I30),1)="C",LEFT(TRIM($I30),1)="D",LEFT(TRIM($I30),1)="E"))),IF(COUNTIF($Q30:$AJ30,"?*")&gt;0,", ","")&amp;"respuesta A-E","")</x:f>
      </x:c>
      <x:c r="AL30" t="str">
        <x:f>IF(TRIM($K30)="",IF(COUNTIF($M30:$M30,"?*")&gt;0,", ","")&amp;"parcial","")</x:f>
      </x:c>
      <x:c r="AM30" t="str">
        <x:f>IF(AND(TRIM($K30)&lt;&gt;"",TRIM($K30)&lt;&gt;"1P"),IF(COUNTIF($M30:$N30,"?*")&gt;0,", ","")&amp;"parcial distinto a 1P","")</x:f>
      </x:c>
      <x:c r="AN30" t="str">
        <x:f>IF(AND(OR($A30="Ítems agrupados por caso clínico o problema",$A30="Subítem de caso o problema",$A30="Emparejamiento Ampliado",$A30="Opción de Emparejamiento Ampliado"),TRIM($B30)=""),IF(COUNTIF($M30:$O30,"?*")&gt;0,", ","")&amp;"grupo","")</x:f>
      </x:c>
    </x:row>
    <x:row r="31" ht="24" customHeight="1">
      <x:c r="A31" s="292"/>
      <x:c r="B31" s="292"/>
      <x:c r="C31" s="292"/>
      <x:c r="D31" s="292" t="str">
        <x:f>IF($A31="Verdadero o Falso Simple","Verdadero",IF($A31="Respuesta A/B/Ambas/Ninguna","A. Si la primera es verdadera",IF($A31="Verdadero o Falso Complejas","1. ","")))</x:f>
      </x:c>
      <x:c r="E31" s="292" t="str">
        <x:f>IF($A31="Verdadero o Falso Simple","Falso",IF($A31="Respuesta A/B/Ambas/Ninguna","B. Si la segunda es verdadera",IF($A31="Verdadero o Falso Complejas","2. ","")))</x:f>
      </x:c>
      <x:c r="F31" s="292" t="str">
        <x:f>IF($A31="Respuesta A/B/Ambas/Ninguna","C. Si ambas son verdaderas",IF($A31="Verdadero o Falso Complejas","3. ",""))</x:f>
      </x:c>
      <x:c r="G31" s="292" t="str">
        <x:f>IF($A31="Respuesta A/B/Ambas/Ninguna","D. Si ninguna es verdadera",IF($A31="Verdadero o Falso Complejas","4. ",""))</x:f>
      </x:c>
      <x:c r="H31" s="292" t="str">
        <x:f>IF($A31="Verdadero o Falso Simple","",IF($A31="Respuesta A/B/Ambas/Ninguna","",IF($A31="Verdadero o Falso Complejas","","")))</x:f>
      </x:c>
      <x:c r="I31" s="292"/>
      <x:c r="J31" s="292" t="n">
        <x:v>2</x:v>
      </x:c>
      <x:c r="K31" s="292" t="str">
        <x:v>1P</x:v>
      </x:c>
      <x:c r="L31" s="293"/>
      <x:c r="M31" s="289"/>
      <x:c r="N31"/>
      <x:c r="O31"/>
      <x:c r="P31"/>
      <x:c r="Q31" t="str">
        <x:f>IF(TRIM($C31)="","enunciado","")</x:f>
        <x:v>enunciado</x:v>
      </x:c>
      <x:c r="R31" t="str">
        <x:f>IF(TRIM($K31)="",IF(COUNTIF($Q31:$Q31,"?*")&gt;0,", ","")&amp;"parcial","")</x:f>
      </x:c>
      <x:c r="S31" t="str">
        <x:f>IF(AND(TRIM($K31)&lt;&gt;"",TRIM($K31)&lt;&gt;"1P"),IF(COUNTIF($Q31:$R31,"?*")&gt;0,", ","")&amp;"parcial distinto a 1P","")</x:f>
      </x:c>
      <x:c r="T31" t="str">
        <x:f>IF(AND(OR($A31="Ítems agrupados por caso clínico o problema",$A31="Subítem de caso o problema",$A31="Emparejamiento Ampliado",$A31="Opción de Emparejamiento Ampliado"),TRIM($B31)=""),IF(COUNTIF($Q31:$S31,"?*")&gt;0,", ","")&amp;"grupo","")</x:f>
      </x:c>
      <x:c r="U31" t="str">
        <x:f>IF(AND(OR($A31="Verdadero o Falso Simple",$A31="Respuesta A/B/Ambas/Ninguna",$A31="Verdadero o Falso Complejas",$A31="Selección de la mejor respuesta",$A31="Subítem de caso o problema",$A31="Opción de Emparejamiento Ampliado"),TRIM($I31)=""),IF(COUNTIF($Q31:$T31,"?*")&gt;0,", ","")&amp;"respuesta_correcta","")</x:f>
      </x:c>
      <x:c r="V31" t="str">
        <x:f>IF(AND(OR($A31="Verdadero o Falso Simple",$A31="Respuesta A/B/Ambas/Ninguna",$A31="Verdadero o Falso Complejas",$A31="Selección de la mejor respuesta",$A31="Subítem de caso o problema",$A31="Opción de Emparejamiento Ampliado"),TRIM($J31)=""),IF(COUNTIF($Q31:$U31,"?*")&gt;0,", ","")&amp;"dificultad","")</x:f>
      </x:c>
      <x:c r="W31" t="str">
        <x:f>IF(AND(OR($A31="Ítems agrupados por caso clínico o problema",$A31="Emparejamiento Ampliado"),TRIM($I31)&lt;&gt;""),IF(COUNTIF($Q31:$V31,"?*")&gt;0,", ","")&amp;"respuesta debe ir vacia","")</x:f>
      </x:c>
      <x:c r="X31" t="str">
        <x:f>IF(AND(OR($A31="Ítems agrupados por caso clínico o problema",$A31="Emparejamiento Ampliado"),TRIM($J31)&lt;&gt;""),IF(COUNTIF($Q31:$W31,"?*")&gt;0,", ","")&amp;"dificultad debe ir vacia","")</x:f>
      </x:c>
      <x:c r="Y31" t="str">
        <x:f>IF(AND($A31="Verdadero o Falso Simple",OR(COUNTIF($D31:$E31,"?*")&lt;2,COUNTIF($F31:$H31,"?*")&gt;0)),IF(COUNTIF($Q31:$X31,"?*")&gt;0,", ","")&amp;"incisos A-B","")</x:f>
      </x:c>
      <x:c r="Z31" t="str">
        <x:f>IF(AND($A31="Verdadero o Falso Simple",TRIM($I31)&lt;&gt;"",NOT(OR(LEFT(TRIM($I31),1)="A",LEFT(TRIM($I31),1)="B"))),IF(COUNTIF($Q31:$Y31,"?*")&gt;0,", ","")&amp;"respuesta A-B","")</x:f>
      </x:c>
      <x:c r="AA31" t="str">
        <x:f>IF(AND($A31="Respuesta A/B/Ambas/Ninguna",COUNTIF($D31:$G31,"?*")&lt;4),IF(COUNTIF($Q31:$Z31,"?*")&gt;0,", ","")&amp;"opciones A-D","")</x:f>
      </x:c>
      <x:c r="AB31" t="str">
        <x:f>IF(AND($A31="Respuesta A/B/Ambas/Ninguna",COUNTIF($H31:$H31,"?*")&gt;0),IF(COUNTIF($Q31:$AA31,"?*")&gt;0,", ","")&amp;"opcion E deshabilitada","")</x:f>
      </x:c>
      <x:c r="AC31" t="str">
        <x:f>IF(AND($A31="Respuesta A/B/Ambas/Ninguna",TRIM($I31)&lt;&gt;"",NOT(OR(LEFT(TRIM($I31),1)="A",LEFT(TRIM($I31),1)="B",LEFT(TRIM($I31),1)="C",LEFT(TRIM($I31),1)="D"))),IF(COUNTIF($Q31:$AB31,"?*")&gt;0,", ","")&amp;"respuesta A-D","")</x:f>
      </x:c>
      <x:c r="AD31" t="str">
        <x:f>IF(AND($A31="Verdadero o Falso Complejas",OR(LEN(TRIM(SUBSTITUTE($D31,"1.","")))=0,LEN(TRIM(SUBSTITUTE($E31,"2.","")))=0,LEN(TRIM(SUBSTITUTE($F31,"3.","")))=0,LEN(TRIM(SUBSTITUTE($G31,"4.","")))=0)),IF(COUNTIF($Q31:$AC31,"?*")&gt;0,", ","")&amp;"incisos 1-4","")</x:f>
      </x:c>
      <x:c r="AE31" t="str">
        <x:f>IF(AND($A31="Verdadero o Falso Complejas",COUNTIF($H31:$H31,"?*")&gt;0),IF(COUNTIF($Q31:$AD31,"?*")&gt;0,", ","")&amp;"opcion E deshabilitada","")</x:f>
      </x:c>
      <x:c r="AF31" t="str">
        <x:f>IF(AND($A31="Verdadero o Falso Complejas",TRIM($I31)&lt;&gt;"",NOT(OR(LEFT(TRIM($I31),1)="A",LEFT(TRIM($I31),1)="B",LEFT(TRIM($I31),1)="C",LEFT(TRIM($I31),1)="D",LEFT(TRIM($I31),1)="E"))),IF(COUNTIF($Q31:$AE31,"?*")&gt;0,", ","")&amp;"respuesta A-E","")</x:f>
      </x:c>
      <x:c r="AG31" t="str">
        <x:f>IF(AND(OR($A31="Selección de la mejor respuesta",$A31="Subítem de caso o problema"),COUNTIF($D31:$H31,"?*")&lt;5),IF(COUNTIF($Q31:$AF31,"?*")&gt;0,", ","")&amp;"incisos A-E","")</x:f>
      </x:c>
      <x:c r="AH31" t="str">
        <x:f>IF(AND(OR($A31="Selección de la mejor respuesta",$A31="Subítem de caso o problema"),TRIM($I31)&lt;&gt;"",NOT(OR(LEFT(TRIM($I31),1)="A",LEFT(TRIM($I31),1)="B",LEFT(TRIM($I31),1)="C",LEFT(TRIM($I31),1)="D",LEFT(TRIM($I31),1)="E"))),IF(COUNTIF($Q31:$AG31,"?*")&gt;0,", ","")&amp;"respuesta A-E","")</x:f>
      </x:c>
      <x:c r="AI31" t="str">
        <x:f>IF(AND(OR($A31="Ítems agrupados por caso clínico o problema",$A31="Opción de Emparejamiento Ampliado"),COUNTIF($D31:$H31,"?*")&gt;0),IF(COUNTIF($Q31:$AH31,"?*")&gt;0,", ","")&amp;"sin incisos","")</x:f>
      </x:c>
      <x:c r="AJ31" t="str">
        <x:f>IF(AND($A31="Emparejamiento Ampliado",COUNTIF($D31:$H31,"?*")&lt;2),IF(COUNTIF($Q31:$AI31,"?*")&gt;0,", ","")&amp;"minimo 2 claves","")</x:f>
      </x:c>
      <x:c r="AK31" t="str">
        <x:f>IF(AND($A31="Opción de Emparejamiento Ampliado",NOT(OR(LEFT(TRIM($I31),1)="A",LEFT(TRIM($I31),1)="B",LEFT(TRIM($I31),1)="C",LEFT(TRIM($I31),1)="D",LEFT(TRIM($I31),1)="E"))),IF(COUNTIF($Q31:$AJ31,"?*")&gt;0,", ","")&amp;"respuesta A-E","")</x:f>
      </x:c>
      <x:c r="AL31" t="str">
        <x:f>IF(TRIM($K31)="",IF(COUNTIF($M31:$M31,"?*")&gt;0,", ","")&amp;"parcial","")</x:f>
      </x:c>
      <x:c r="AM31" t="str">
        <x:f>IF(AND(TRIM($K31)&lt;&gt;"",TRIM($K31)&lt;&gt;"1P"),IF(COUNTIF($M31:$N31,"?*")&gt;0,", ","")&amp;"parcial distinto a 1P","")</x:f>
      </x:c>
      <x:c r="AN31" t="str">
        <x:f>IF(AND(OR($A31="Ítems agrupados por caso clínico o problema",$A31="Subítem de caso o problema",$A31="Emparejamiento Ampliado",$A31="Opción de Emparejamiento Ampliado"),TRIM($B31)=""),IF(COUNTIF($M31:$O31,"?*")&gt;0,", ","")&amp;"grupo","")</x:f>
      </x:c>
    </x:row>
    <x:row r="32" ht="24" customHeight="1">
      <x:c r="A32" s="292"/>
      <x:c r="B32" s="292"/>
      <x:c r="C32" s="292"/>
      <x:c r="D32" s="292" t="str">
        <x:f>IF($A32="Verdadero o Falso Simple","Verdadero",IF($A32="Respuesta A/B/Ambas/Ninguna","A. Si la primera es verdadera",IF($A32="Verdadero o Falso Complejas","1. ","")))</x:f>
      </x:c>
      <x:c r="E32" s="292" t="str">
        <x:f>IF($A32="Verdadero o Falso Simple","Falso",IF($A32="Respuesta A/B/Ambas/Ninguna","B. Si la segunda es verdadera",IF($A32="Verdadero o Falso Complejas","2. ","")))</x:f>
      </x:c>
      <x:c r="F32" s="292" t="str">
        <x:f>IF($A32="Respuesta A/B/Ambas/Ninguna","C. Si ambas son verdaderas",IF($A32="Verdadero o Falso Complejas","3. ",""))</x:f>
      </x:c>
      <x:c r="G32" s="292" t="str">
        <x:f>IF($A32="Respuesta A/B/Ambas/Ninguna","D. Si ninguna es verdadera",IF($A32="Verdadero o Falso Complejas","4. ",""))</x:f>
      </x:c>
      <x:c r="H32" s="292" t="str">
        <x:f>IF($A32="Verdadero o Falso Simple","",IF($A32="Respuesta A/B/Ambas/Ninguna","",IF($A32="Verdadero o Falso Complejas","","")))</x:f>
      </x:c>
      <x:c r="I32" s="292"/>
      <x:c r="J32" s="292" t="n">
        <x:v>2</x:v>
      </x:c>
      <x:c r="K32" s="292" t="str">
        <x:v>1P</x:v>
      </x:c>
      <x:c r="L32" s="293"/>
      <x:c r="M32" s="289"/>
      <x:c r="N32"/>
      <x:c r="O32"/>
      <x:c r="P32"/>
      <x:c r="Q32" t="str">
        <x:f>IF(TRIM($C32)="","enunciado","")</x:f>
        <x:v>enunciado</x:v>
      </x:c>
      <x:c r="R32" t="str">
        <x:f>IF(TRIM($K32)="",IF(COUNTIF($Q32:$Q32,"?*")&gt;0,", ","")&amp;"parcial","")</x:f>
      </x:c>
      <x:c r="S32" t="str">
        <x:f>IF(AND(TRIM($K32)&lt;&gt;"",TRIM($K32)&lt;&gt;"1P"),IF(COUNTIF($Q32:$R32,"?*")&gt;0,", ","")&amp;"parcial distinto a 1P","")</x:f>
      </x:c>
      <x:c r="T32" t="str">
        <x:f>IF(AND(OR($A32="Ítems agrupados por caso clínico o problema",$A32="Subítem de caso o problema",$A32="Emparejamiento Ampliado",$A32="Opción de Emparejamiento Ampliado"),TRIM($B32)=""),IF(COUNTIF($Q32:$S32,"?*")&gt;0,", ","")&amp;"grupo","")</x:f>
      </x:c>
      <x:c r="U32" t="str">
        <x:f>IF(AND(OR($A32="Verdadero o Falso Simple",$A32="Respuesta A/B/Ambas/Ninguna",$A32="Verdadero o Falso Complejas",$A32="Selección de la mejor respuesta",$A32="Subítem de caso o problema",$A32="Opción de Emparejamiento Ampliado"),TRIM($I32)=""),IF(COUNTIF($Q32:$T32,"?*")&gt;0,", ","")&amp;"respuesta_correcta","")</x:f>
      </x:c>
      <x:c r="V32" t="str">
        <x:f>IF(AND(OR($A32="Verdadero o Falso Simple",$A32="Respuesta A/B/Ambas/Ninguna",$A32="Verdadero o Falso Complejas",$A32="Selección de la mejor respuesta",$A32="Subítem de caso o problema",$A32="Opción de Emparejamiento Ampliado"),TRIM($J32)=""),IF(COUNTIF($Q32:$U32,"?*")&gt;0,", ","")&amp;"dificultad","")</x:f>
      </x:c>
      <x:c r="W32" t="str">
        <x:f>IF(AND(OR($A32="Ítems agrupados por caso clínico o problema",$A32="Emparejamiento Ampliado"),TRIM($I32)&lt;&gt;""),IF(COUNTIF($Q32:$V32,"?*")&gt;0,", ","")&amp;"respuesta debe ir vacia","")</x:f>
      </x:c>
      <x:c r="X32" t="str">
        <x:f>IF(AND(OR($A32="Ítems agrupados por caso clínico o problema",$A32="Emparejamiento Ampliado"),TRIM($J32)&lt;&gt;""),IF(COUNTIF($Q32:$W32,"?*")&gt;0,", ","")&amp;"dificultad debe ir vacia","")</x:f>
      </x:c>
      <x:c r="Y32" t="str">
        <x:f>IF(AND($A32="Verdadero o Falso Simple",OR(COUNTIF($D32:$E32,"?*")&lt;2,COUNTIF($F32:$H32,"?*")&gt;0)),IF(COUNTIF($Q32:$X32,"?*")&gt;0,", ","")&amp;"incisos A-B","")</x:f>
      </x:c>
      <x:c r="Z32" t="str">
        <x:f>IF(AND($A32="Verdadero o Falso Simple",TRIM($I32)&lt;&gt;"",NOT(OR(LEFT(TRIM($I32),1)="A",LEFT(TRIM($I32),1)="B"))),IF(COUNTIF($Q32:$Y32,"?*")&gt;0,", ","")&amp;"respuesta A-B","")</x:f>
      </x:c>
      <x:c r="AA32" t="str">
        <x:f>IF(AND($A32="Respuesta A/B/Ambas/Ninguna",COUNTIF($D32:$G32,"?*")&lt;4),IF(COUNTIF($Q32:$Z32,"?*")&gt;0,", ","")&amp;"opciones A-D","")</x:f>
      </x:c>
      <x:c r="AB32" t="str">
        <x:f>IF(AND($A32="Respuesta A/B/Ambas/Ninguna",COUNTIF($H32:$H32,"?*")&gt;0),IF(COUNTIF($Q32:$AA32,"?*")&gt;0,", ","")&amp;"opcion E deshabilitada","")</x:f>
      </x:c>
      <x:c r="AC32" t="str">
        <x:f>IF(AND($A32="Respuesta A/B/Ambas/Ninguna",TRIM($I32)&lt;&gt;"",NOT(OR(LEFT(TRIM($I32),1)="A",LEFT(TRIM($I32),1)="B",LEFT(TRIM($I32),1)="C",LEFT(TRIM($I32),1)="D"))),IF(COUNTIF($Q32:$AB32,"?*")&gt;0,", ","")&amp;"respuesta A-D","")</x:f>
      </x:c>
      <x:c r="AD32" t="str">
        <x:f>IF(AND($A32="Verdadero o Falso Complejas",OR(LEN(TRIM(SUBSTITUTE($D32,"1.","")))=0,LEN(TRIM(SUBSTITUTE($E32,"2.","")))=0,LEN(TRIM(SUBSTITUTE($F32,"3.","")))=0,LEN(TRIM(SUBSTITUTE($G32,"4.","")))=0)),IF(COUNTIF($Q32:$AC32,"?*")&gt;0,", ","")&amp;"incisos 1-4","")</x:f>
      </x:c>
      <x:c r="AE32" t="str">
        <x:f>IF(AND($A32="Verdadero o Falso Complejas",COUNTIF($H32:$H32,"?*")&gt;0),IF(COUNTIF($Q32:$AD32,"?*")&gt;0,", ","")&amp;"opcion E deshabilitada","")</x:f>
      </x:c>
      <x:c r="AF32" t="str">
        <x:f>IF(AND($A32="Verdadero o Falso Complejas",TRIM($I32)&lt;&gt;"",NOT(OR(LEFT(TRIM($I32),1)="A",LEFT(TRIM($I32),1)="B",LEFT(TRIM($I32),1)="C",LEFT(TRIM($I32),1)="D",LEFT(TRIM($I32),1)="E"))),IF(COUNTIF($Q32:$AE32,"?*")&gt;0,", ","")&amp;"respuesta A-E","")</x:f>
      </x:c>
      <x:c r="AG32" t="str">
        <x:f>IF(AND(OR($A32="Selección de la mejor respuesta",$A32="Subítem de caso o problema"),COUNTIF($D32:$H32,"?*")&lt;5),IF(COUNTIF($Q32:$AF32,"?*")&gt;0,", ","")&amp;"incisos A-E","")</x:f>
      </x:c>
      <x:c r="AH32" t="str">
        <x:f>IF(AND(OR($A32="Selección de la mejor respuesta",$A32="Subítem de caso o problema"),TRIM($I32)&lt;&gt;"",NOT(OR(LEFT(TRIM($I32),1)="A",LEFT(TRIM($I32),1)="B",LEFT(TRIM($I32),1)="C",LEFT(TRIM($I32),1)="D",LEFT(TRIM($I32),1)="E"))),IF(COUNTIF($Q32:$AG32,"?*")&gt;0,", ","")&amp;"respuesta A-E","")</x:f>
      </x:c>
      <x:c r="AI32" t="str">
        <x:f>IF(AND(OR($A32="Ítems agrupados por caso clínico o problema",$A32="Opción de Emparejamiento Ampliado"),COUNTIF($D32:$H32,"?*")&gt;0),IF(COUNTIF($Q32:$AH32,"?*")&gt;0,", ","")&amp;"sin incisos","")</x:f>
      </x:c>
      <x:c r="AJ32" t="str">
        <x:f>IF(AND($A32="Emparejamiento Ampliado",COUNTIF($D32:$H32,"?*")&lt;2),IF(COUNTIF($Q32:$AI32,"?*")&gt;0,", ","")&amp;"minimo 2 claves","")</x:f>
      </x:c>
      <x:c r="AK32" t="str">
        <x:f>IF(AND($A32="Opción de Emparejamiento Ampliado",NOT(OR(LEFT(TRIM($I32),1)="A",LEFT(TRIM($I32),1)="B",LEFT(TRIM($I32),1)="C",LEFT(TRIM($I32),1)="D",LEFT(TRIM($I32),1)="E"))),IF(COUNTIF($Q32:$AJ32,"?*")&gt;0,", ","")&amp;"respuesta A-E","")</x:f>
      </x:c>
      <x:c r="AL32" t="str">
        <x:f>IF(TRIM($K32)="",IF(COUNTIF($M32:$M32,"?*")&gt;0,", ","")&amp;"parcial","")</x:f>
      </x:c>
      <x:c r="AM32" t="str">
        <x:f>IF(AND(TRIM($K32)&lt;&gt;"",TRIM($K32)&lt;&gt;"1P"),IF(COUNTIF($M32:$N32,"?*")&gt;0,", ","")&amp;"parcial distinto a 1P","")</x:f>
      </x:c>
      <x:c r="AN32" t="str">
        <x:f>IF(AND(OR($A32="Ítems agrupados por caso clínico o problema",$A32="Subítem de caso o problema",$A32="Emparejamiento Ampliado",$A32="Opción de Emparejamiento Ampliado"),TRIM($B32)=""),IF(COUNTIF($M32:$O32,"?*")&gt;0,", ","")&amp;"grupo","")</x:f>
      </x:c>
    </x:row>
    <x:row r="33" ht="24" customHeight="1">
      <x:c r="A33" s="292"/>
      <x:c r="B33" s="292"/>
      <x:c r="C33" s="292"/>
      <x:c r="D33" s="292" t="str">
        <x:f>IF($A33="Verdadero o Falso Simple","Verdadero",IF($A33="Respuesta A/B/Ambas/Ninguna","A. Si la primera es verdadera",IF($A33="Verdadero o Falso Complejas","1. ","")))</x:f>
      </x:c>
      <x:c r="E33" s="292" t="str">
        <x:f>IF($A33="Verdadero o Falso Simple","Falso",IF($A33="Respuesta A/B/Ambas/Ninguna","B. Si la segunda es verdadera",IF($A33="Verdadero o Falso Complejas","2. ","")))</x:f>
      </x:c>
      <x:c r="F33" s="292" t="str">
        <x:f>IF($A33="Respuesta A/B/Ambas/Ninguna","C. Si ambas son verdaderas",IF($A33="Verdadero o Falso Complejas","3. ",""))</x:f>
      </x:c>
      <x:c r="G33" s="292" t="str">
        <x:f>IF($A33="Respuesta A/B/Ambas/Ninguna","D. Si ninguna es verdadera",IF($A33="Verdadero o Falso Complejas","4. ",""))</x:f>
      </x:c>
      <x:c r="H33" s="292" t="str">
        <x:f>IF($A33="Verdadero o Falso Simple","",IF($A33="Respuesta A/B/Ambas/Ninguna","",IF($A33="Verdadero o Falso Complejas","","")))</x:f>
      </x:c>
      <x:c r="I33" s="292"/>
      <x:c r="J33" s="292" t="n">
        <x:v>2</x:v>
      </x:c>
      <x:c r="K33" s="292" t="str">
        <x:v>1P</x:v>
      </x:c>
      <x:c r="L33" s="293"/>
      <x:c r="M33" s="289"/>
      <x:c r="N33"/>
      <x:c r="O33"/>
      <x:c r="P33"/>
      <x:c r="Q33" t="str">
        <x:f>IF(TRIM($C33)="","enunciado","")</x:f>
        <x:v>enunciado</x:v>
      </x:c>
      <x:c r="R33" t="str">
        <x:f>IF(TRIM($K33)="",IF(COUNTIF($Q33:$Q33,"?*")&gt;0,", ","")&amp;"parcial","")</x:f>
      </x:c>
      <x:c r="S33" t="str">
        <x:f>IF(AND(TRIM($K33)&lt;&gt;"",TRIM($K33)&lt;&gt;"1P"),IF(COUNTIF($Q33:$R33,"?*")&gt;0,", ","")&amp;"parcial distinto a 1P","")</x:f>
      </x:c>
      <x:c r="T33" t="str">
        <x:f>IF(AND(OR($A33="Ítems agrupados por caso clínico o problema",$A33="Subítem de caso o problema",$A33="Emparejamiento Ampliado",$A33="Opción de Emparejamiento Ampliado"),TRIM($B33)=""),IF(COUNTIF($Q33:$S33,"?*")&gt;0,", ","")&amp;"grupo","")</x:f>
      </x:c>
      <x:c r="U33" t="str">
        <x:f>IF(AND(OR($A33="Verdadero o Falso Simple",$A33="Respuesta A/B/Ambas/Ninguna",$A33="Verdadero o Falso Complejas",$A33="Selección de la mejor respuesta",$A33="Subítem de caso o problema",$A33="Opción de Emparejamiento Ampliado"),TRIM($I33)=""),IF(COUNTIF($Q33:$T33,"?*")&gt;0,", ","")&amp;"respuesta_correcta","")</x:f>
      </x:c>
      <x:c r="V33" t="str">
        <x:f>IF(AND(OR($A33="Verdadero o Falso Simple",$A33="Respuesta A/B/Ambas/Ninguna",$A33="Verdadero o Falso Complejas",$A33="Selección de la mejor respuesta",$A33="Subítem de caso o problema",$A33="Opción de Emparejamiento Ampliado"),TRIM($J33)=""),IF(COUNTIF($Q33:$U33,"?*")&gt;0,", ","")&amp;"dificultad","")</x:f>
      </x:c>
      <x:c r="W33" t="str">
        <x:f>IF(AND(OR($A33="Ítems agrupados por caso clínico o problema",$A33="Emparejamiento Ampliado"),TRIM($I33)&lt;&gt;""),IF(COUNTIF($Q33:$V33,"?*")&gt;0,", ","")&amp;"respuesta debe ir vacia","")</x:f>
      </x:c>
      <x:c r="X33" t="str">
        <x:f>IF(AND(OR($A33="Ítems agrupados por caso clínico o problema",$A33="Emparejamiento Ampliado"),TRIM($J33)&lt;&gt;""),IF(COUNTIF($Q33:$W33,"?*")&gt;0,", ","")&amp;"dificultad debe ir vacia","")</x:f>
      </x:c>
      <x:c r="Y33" t="str">
        <x:f>IF(AND($A33="Verdadero o Falso Simple",OR(COUNTIF($D33:$E33,"?*")&lt;2,COUNTIF($F33:$H33,"?*")&gt;0)),IF(COUNTIF($Q33:$X33,"?*")&gt;0,", ","")&amp;"incisos A-B","")</x:f>
      </x:c>
      <x:c r="Z33" t="str">
        <x:f>IF(AND($A33="Verdadero o Falso Simple",TRIM($I33)&lt;&gt;"",NOT(OR(LEFT(TRIM($I33),1)="A",LEFT(TRIM($I33),1)="B"))),IF(COUNTIF($Q33:$Y33,"?*")&gt;0,", ","")&amp;"respuesta A-B","")</x:f>
      </x:c>
      <x:c r="AA33" t="str">
        <x:f>IF(AND($A33="Respuesta A/B/Ambas/Ninguna",COUNTIF($D33:$G33,"?*")&lt;4),IF(COUNTIF($Q33:$Z33,"?*")&gt;0,", ","")&amp;"opciones A-D","")</x:f>
      </x:c>
      <x:c r="AB33" t="str">
        <x:f>IF(AND($A33="Respuesta A/B/Ambas/Ninguna",COUNTIF($H33:$H33,"?*")&gt;0),IF(COUNTIF($Q33:$AA33,"?*")&gt;0,", ","")&amp;"opcion E deshabilitada","")</x:f>
      </x:c>
      <x:c r="AC33" t="str">
        <x:f>IF(AND($A33="Respuesta A/B/Ambas/Ninguna",TRIM($I33)&lt;&gt;"",NOT(OR(LEFT(TRIM($I33),1)="A",LEFT(TRIM($I33),1)="B",LEFT(TRIM($I33),1)="C",LEFT(TRIM($I33),1)="D"))),IF(COUNTIF($Q33:$AB33,"?*")&gt;0,", ","")&amp;"respuesta A-D","")</x:f>
      </x:c>
      <x:c r="AD33" t="str">
        <x:f>IF(AND($A33="Verdadero o Falso Complejas",OR(LEN(TRIM(SUBSTITUTE($D33,"1.","")))=0,LEN(TRIM(SUBSTITUTE($E33,"2.","")))=0,LEN(TRIM(SUBSTITUTE($F33,"3.","")))=0,LEN(TRIM(SUBSTITUTE($G33,"4.","")))=0)),IF(COUNTIF($Q33:$AC33,"?*")&gt;0,", ","")&amp;"incisos 1-4","")</x:f>
      </x:c>
      <x:c r="AE33" t="str">
        <x:f>IF(AND($A33="Verdadero o Falso Complejas",COUNTIF($H33:$H33,"?*")&gt;0),IF(COUNTIF($Q33:$AD33,"?*")&gt;0,", ","")&amp;"opcion E deshabilitada","")</x:f>
      </x:c>
      <x:c r="AF33" t="str">
        <x:f>IF(AND($A33="Verdadero o Falso Complejas",TRIM($I33)&lt;&gt;"",NOT(OR(LEFT(TRIM($I33),1)="A",LEFT(TRIM($I33),1)="B",LEFT(TRIM($I33),1)="C",LEFT(TRIM($I33),1)="D",LEFT(TRIM($I33),1)="E"))),IF(COUNTIF($Q33:$AE33,"?*")&gt;0,", ","")&amp;"respuesta A-E","")</x:f>
      </x:c>
      <x:c r="AG33" t="str">
        <x:f>IF(AND(OR($A33="Selección de la mejor respuesta",$A33="Subítem de caso o problema"),COUNTIF($D33:$H33,"?*")&lt;5),IF(COUNTIF($Q33:$AF33,"?*")&gt;0,", ","")&amp;"incisos A-E","")</x:f>
      </x:c>
      <x:c r="AH33" t="str">
        <x:f>IF(AND(OR($A33="Selección de la mejor respuesta",$A33="Subítem de caso o problema"),TRIM($I33)&lt;&gt;"",NOT(OR(LEFT(TRIM($I33),1)="A",LEFT(TRIM($I33),1)="B",LEFT(TRIM($I33),1)="C",LEFT(TRIM($I33),1)="D",LEFT(TRIM($I33),1)="E"))),IF(COUNTIF($Q33:$AG33,"?*")&gt;0,", ","")&amp;"respuesta A-E","")</x:f>
      </x:c>
      <x:c r="AI33" t="str">
        <x:f>IF(AND(OR($A33="Ítems agrupados por caso clínico o problema",$A33="Opción de Emparejamiento Ampliado"),COUNTIF($D33:$H33,"?*")&gt;0),IF(COUNTIF($Q33:$AH33,"?*")&gt;0,", ","")&amp;"sin incisos","")</x:f>
      </x:c>
      <x:c r="AJ33" t="str">
        <x:f>IF(AND($A33="Emparejamiento Ampliado",COUNTIF($D33:$H33,"?*")&lt;2),IF(COUNTIF($Q33:$AI33,"?*")&gt;0,", ","")&amp;"minimo 2 claves","")</x:f>
      </x:c>
      <x:c r="AK33" t="str">
        <x:f>IF(AND($A33="Opción de Emparejamiento Ampliado",NOT(OR(LEFT(TRIM($I33),1)="A",LEFT(TRIM($I33),1)="B",LEFT(TRIM($I33),1)="C",LEFT(TRIM($I33),1)="D",LEFT(TRIM($I33),1)="E"))),IF(COUNTIF($Q33:$AJ33,"?*")&gt;0,", ","")&amp;"respuesta A-E","")</x:f>
      </x:c>
      <x:c r="AL33" t="str">
        <x:f>IF(TRIM($K33)="",IF(COUNTIF($M33:$M33,"?*")&gt;0,", ","")&amp;"parcial","")</x:f>
      </x:c>
      <x:c r="AM33" t="str">
        <x:f>IF(AND(TRIM($K33)&lt;&gt;"",TRIM($K33)&lt;&gt;"1P"),IF(COUNTIF($M33:$N33,"?*")&gt;0,", ","")&amp;"parcial distinto a 1P","")</x:f>
      </x:c>
      <x:c r="AN33" t="str">
        <x:f>IF(AND(OR($A33="Ítems agrupados por caso clínico o problema",$A33="Subítem de caso o problema",$A33="Emparejamiento Ampliado",$A33="Opción de Emparejamiento Ampliado"),TRIM($B33)=""),IF(COUNTIF($M33:$O33,"?*")&gt;0,", ","")&amp;"grupo","")</x:f>
      </x:c>
    </x:row>
    <x:row r="34" ht="24" customHeight="1">
      <x:c r="A34" s="292"/>
      <x:c r="B34" s="292"/>
      <x:c r="C34" s="292"/>
      <x:c r="D34" s="292" t="str">
        <x:f>IF($A34="Verdadero o Falso Simple","Verdadero",IF($A34="Respuesta A/B/Ambas/Ninguna","A. Si la primera es verdadera",IF($A34="Verdadero o Falso Complejas","1. ","")))</x:f>
      </x:c>
      <x:c r="E34" s="292" t="str">
        <x:f>IF($A34="Verdadero o Falso Simple","Falso",IF($A34="Respuesta A/B/Ambas/Ninguna","B. Si la segunda es verdadera",IF($A34="Verdadero o Falso Complejas","2. ","")))</x:f>
      </x:c>
      <x:c r="F34" s="292" t="str">
        <x:f>IF($A34="Respuesta A/B/Ambas/Ninguna","C. Si ambas son verdaderas",IF($A34="Verdadero o Falso Complejas","3. ",""))</x:f>
      </x:c>
      <x:c r="G34" s="292" t="str">
        <x:f>IF($A34="Respuesta A/B/Ambas/Ninguna","D. Si ninguna es verdadera",IF($A34="Verdadero o Falso Complejas","4. ",""))</x:f>
      </x:c>
      <x:c r="H34" s="292" t="str">
        <x:f>IF($A34="Verdadero o Falso Simple","",IF($A34="Respuesta A/B/Ambas/Ninguna","",IF($A34="Verdadero o Falso Complejas","","")))</x:f>
      </x:c>
      <x:c r="I34" s="292"/>
      <x:c r="J34" s="292" t="n">
        <x:v>2</x:v>
      </x:c>
      <x:c r="K34" s="292" t="str">
        <x:v>1P</x:v>
      </x:c>
      <x:c r="L34" s="293"/>
      <x:c r="M34" s="289"/>
      <x:c r="N34"/>
      <x:c r="O34"/>
      <x:c r="P34"/>
      <x:c r="Q34" t="str">
        <x:f>IF(TRIM($C34)="","enunciado","")</x:f>
        <x:v>enunciado</x:v>
      </x:c>
      <x:c r="R34" t="str">
        <x:f>IF(TRIM($K34)="",IF(COUNTIF($Q34:$Q34,"?*")&gt;0,", ","")&amp;"parcial","")</x:f>
      </x:c>
      <x:c r="S34" t="str">
        <x:f>IF(AND(TRIM($K34)&lt;&gt;"",TRIM($K34)&lt;&gt;"1P"),IF(COUNTIF($Q34:$R34,"?*")&gt;0,", ","")&amp;"parcial distinto a 1P","")</x:f>
      </x:c>
      <x:c r="T34" t="str">
        <x:f>IF(AND(OR($A34="Ítems agrupados por caso clínico o problema",$A34="Subítem de caso o problema",$A34="Emparejamiento Ampliado",$A34="Opción de Emparejamiento Ampliado"),TRIM($B34)=""),IF(COUNTIF($Q34:$S34,"?*")&gt;0,", ","")&amp;"grupo","")</x:f>
      </x:c>
      <x:c r="U34" t="str">
        <x:f>IF(AND(OR($A34="Verdadero o Falso Simple",$A34="Respuesta A/B/Ambas/Ninguna",$A34="Verdadero o Falso Complejas",$A34="Selección de la mejor respuesta",$A34="Subítem de caso o problema",$A34="Opción de Emparejamiento Ampliado"),TRIM($I34)=""),IF(COUNTIF($Q34:$T34,"?*")&gt;0,", ","")&amp;"respuesta_correcta","")</x:f>
      </x:c>
      <x:c r="V34" t="str">
        <x:f>IF(AND(OR($A34="Verdadero o Falso Simple",$A34="Respuesta A/B/Ambas/Ninguna",$A34="Verdadero o Falso Complejas",$A34="Selección de la mejor respuesta",$A34="Subítem de caso o problema",$A34="Opción de Emparejamiento Ampliado"),TRIM($J34)=""),IF(COUNTIF($Q34:$U34,"?*")&gt;0,", ","")&amp;"dificultad","")</x:f>
      </x:c>
      <x:c r="W34" t="str">
        <x:f>IF(AND(OR($A34="Ítems agrupados por caso clínico o problema",$A34="Emparejamiento Ampliado"),TRIM($I34)&lt;&gt;""),IF(COUNTIF($Q34:$V34,"?*")&gt;0,", ","")&amp;"respuesta debe ir vacia","")</x:f>
      </x:c>
      <x:c r="X34" t="str">
        <x:f>IF(AND(OR($A34="Ítems agrupados por caso clínico o problema",$A34="Emparejamiento Ampliado"),TRIM($J34)&lt;&gt;""),IF(COUNTIF($Q34:$W34,"?*")&gt;0,", ","")&amp;"dificultad debe ir vacia","")</x:f>
      </x:c>
      <x:c r="Y34" t="str">
        <x:f>IF(AND($A34="Verdadero o Falso Simple",OR(COUNTIF($D34:$E34,"?*")&lt;2,COUNTIF($F34:$H34,"?*")&gt;0)),IF(COUNTIF($Q34:$X34,"?*")&gt;0,", ","")&amp;"incisos A-B","")</x:f>
      </x:c>
      <x:c r="Z34" t="str">
        <x:f>IF(AND($A34="Verdadero o Falso Simple",TRIM($I34)&lt;&gt;"",NOT(OR(LEFT(TRIM($I34),1)="A",LEFT(TRIM($I34),1)="B"))),IF(COUNTIF($Q34:$Y34,"?*")&gt;0,", ","")&amp;"respuesta A-B","")</x:f>
      </x:c>
      <x:c r="AA34" t="str">
        <x:f>IF(AND($A34="Respuesta A/B/Ambas/Ninguna",COUNTIF($D34:$G34,"?*")&lt;4),IF(COUNTIF($Q34:$Z34,"?*")&gt;0,", ","")&amp;"opciones A-D","")</x:f>
      </x:c>
      <x:c r="AB34" t="str">
        <x:f>IF(AND($A34="Respuesta A/B/Ambas/Ninguna",COUNTIF($H34:$H34,"?*")&gt;0),IF(COUNTIF($Q34:$AA34,"?*")&gt;0,", ","")&amp;"opcion E deshabilitada","")</x:f>
      </x:c>
      <x:c r="AC34" t="str">
        <x:f>IF(AND($A34="Respuesta A/B/Ambas/Ninguna",TRIM($I34)&lt;&gt;"",NOT(OR(LEFT(TRIM($I34),1)="A",LEFT(TRIM($I34),1)="B",LEFT(TRIM($I34),1)="C",LEFT(TRIM($I34),1)="D"))),IF(COUNTIF($Q34:$AB34,"?*")&gt;0,", ","")&amp;"respuesta A-D","")</x:f>
      </x:c>
      <x:c r="AD34" t="str">
        <x:f>IF(AND($A34="Verdadero o Falso Complejas",OR(LEN(TRIM(SUBSTITUTE($D34,"1.","")))=0,LEN(TRIM(SUBSTITUTE($E34,"2.","")))=0,LEN(TRIM(SUBSTITUTE($F34,"3.","")))=0,LEN(TRIM(SUBSTITUTE($G34,"4.","")))=0)),IF(COUNTIF($Q34:$AC34,"?*")&gt;0,", ","")&amp;"incisos 1-4","")</x:f>
      </x:c>
      <x:c r="AE34" t="str">
        <x:f>IF(AND($A34="Verdadero o Falso Complejas",COUNTIF($H34:$H34,"?*")&gt;0),IF(COUNTIF($Q34:$AD34,"?*")&gt;0,", ","")&amp;"opcion E deshabilitada","")</x:f>
      </x:c>
      <x:c r="AF34" t="str">
        <x:f>IF(AND($A34="Verdadero o Falso Complejas",TRIM($I34)&lt;&gt;"",NOT(OR(LEFT(TRIM($I34),1)="A",LEFT(TRIM($I34),1)="B",LEFT(TRIM($I34),1)="C",LEFT(TRIM($I34),1)="D",LEFT(TRIM($I34),1)="E"))),IF(COUNTIF($Q34:$AE34,"?*")&gt;0,", ","")&amp;"respuesta A-E","")</x:f>
      </x:c>
      <x:c r="AG34" t="str">
        <x:f>IF(AND(OR($A34="Selección de la mejor respuesta",$A34="Subítem de caso o problema"),COUNTIF($D34:$H34,"?*")&lt;5),IF(COUNTIF($Q34:$AF34,"?*")&gt;0,", ","")&amp;"incisos A-E","")</x:f>
      </x:c>
      <x:c r="AH34" t="str">
        <x:f>IF(AND(OR($A34="Selección de la mejor respuesta",$A34="Subítem de caso o problema"),TRIM($I34)&lt;&gt;"",NOT(OR(LEFT(TRIM($I34),1)="A",LEFT(TRIM($I34),1)="B",LEFT(TRIM($I34),1)="C",LEFT(TRIM($I34),1)="D",LEFT(TRIM($I34),1)="E"))),IF(COUNTIF($Q34:$AG34,"?*")&gt;0,", ","")&amp;"respuesta A-E","")</x:f>
      </x:c>
      <x:c r="AI34" t="str">
        <x:f>IF(AND(OR($A34="Ítems agrupados por caso clínico o problema",$A34="Opción de Emparejamiento Ampliado"),COUNTIF($D34:$H34,"?*")&gt;0),IF(COUNTIF($Q34:$AH34,"?*")&gt;0,", ","")&amp;"sin incisos","")</x:f>
      </x:c>
      <x:c r="AJ34" t="str">
        <x:f>IF(AND($A34="Emparejamiento Ampliado",COUNTIF($D34:$H34,"?*")&lt;2),IF(COUNTIF($Q34:$AI34,"?*")&gt;0,", ","")&amp;"minimo 2 claves","")</x:f>
      </x:c>
      <x:c r="AK34" t="str">
        <x:f>IF(AND($A34="Opción de Emparejamiento Ampliado",NOT(OR(LEFT(TRIM($I34),1)="A",LEFT(TRIM($I34),1)="B",LEFT(TRIM($I34),1)="C",LEFT(TRIM($I34),1)="D",LEFT(TRIM($I34),1)="E"))),IF(COUNTIF($Q34:$AJ34,"?*")&gt;0,", ","")&amp;"respuesta A-E","")</x:f>
      </x:c>
      <x:c r="AL34" t="str">
        <x:f>IF(TRIM($K34)="",IF(COUNTIF($M34:$M34,"?*")&gt;0,", ","")&amp;"parcial","")</x:f>
      </x:c>
      <x:c r="AM34" t="str">
        <x:f>IF(AND(TRIM($K34)&lt;&gt;"",TRIM($K34)&lt;&gt;"1P"),IF(COUNTIF($M34:$N34,"?*")&gt;0,", ","")&amp;"parcial distinto a 1P","")</x:f>
      </x:c>
      <x:c r="AN34" t="str">
        <x:f>IF(AND(OR($A34="Ítems agrupados por caso clínico o problema",$A34="Subítem de caso o problema",$A34="Emparejamiento Ampliado",$A34="Opción de Emparejamiento Ampliado"),TRIM($B34)=""),IF(COUNTIF($M34:$O34,"?*")&gt;0,", ","")&amp;"grupo","")</x:f>
      </x:c>
    </x:row>
    <x:row r="35" ht="24" customHeight="1">
      <x:c r="A35" s="292"/>
      <x:c r="B35" s="292"/>
      <x:c r="C35" s="292"/>
      <x:c r="D35" s="292" t="str">
        <x:f>IF($A35="Verdadero o Falso Simple","Verdadero",IF($A35="Respuesta A/B/Ambas/Ninguna","A. Si la primera es verdadera",IF($A35="Verdadero o Falso Complejas","1. ","")))</x:f>
      </x:c>
      <x:c r="E35" s="292" t="str">
        <x:f>IF($A35="Verdadero o Falso Simple","Falso",IF($A35="Respuesta A/B/Ambas/Ninguna","B. Si la segunda es verdadera",IF($A35="Verdadero o Falso Complejas","2. ","")))</x:f>
      </x:c>
      <x:c r="F35" s="292" t="str">
        <x:f>IF($A35="Respuesta A/B/Ambas/Ninguna","C. Si ambas son verdaderas",IF($A35="Verdadero o Falso Complejas","3. ",""))</x:f>
      </x:c>
      <x:c r="G35" s="292" t="str">
        <x:f>IF($A35="Respuesta A/B/Ambas/Ninguna","D. Si ninguna es verdadera",IF($A35="Verdadero o Falso Complejas","4. ",""))</x:f>
      </x:c>
      <x:c r="H35" s="292" t="str">
        <x:f>IF($A35="Verdadero o Falso Simple","",IF($A35="Respuesta A/B/Ambas/Ninguna","",IF($A35="Verdadero o Falso Complejas","","")))</x:f>
      </x:c>
      <x:c r="I35" s="292"/>
      <x:c r="J35" s="292" t="n">
        <x:v>2</x:v>
      </x:c>
      <x:c r="K35" s="292" t="str">
        <x:v>1P</x:v>
      </x:c>
      <x:c r="L35" s="293"/>
      <x:c r="M35" s="289"/>
      <x:c r="N35"/>
      <x:c r="O35"/>
      <x:c r="P35"/>
      <x:c r="Q35" t="str">
        <x:f>IF(TRIM($C35)="","enunciado","")</x:f>
        <x:v>enunciado</x:v>
      </x:c>
      <x:c r="R35" t="str">
        <x:f>IF(TRIM($K35)="",IF(COUNTIF($Q35:$Q35,"?*")&gt;0,", ","")&amp;"parcial","")</x:f>
      </x:c>
      <x:c r="S35" t="str">
        <x:f>IF(AND(TRIM($K35)&lt;&gt;"",TRIM($K35)&lt;&gt;"1P"),IF(COUNTIF($Q35:$R35,"?*")&gt;0,", ","")&amp;"parcial distinto a 1P","")</x:f>
      </x:c>
      <x:c r="T35" t="str">
        <x:f>IF(AND(OR($A35="Ítems agrupados por caso clínico o problema",$A35="Subítem de caso o problema",$A35="Emparejamiento Ampliado",$A35="Opción de Emparejamiento Ampliado"),TRIM($B35)=""),IF(COUNTIF($Q35:$S35,"?*")&gt;0,", ","")&amp;"grupo","")</x:f>
      </x:c>
      <x:c r="U35" t="str">
        <x:f>IF(AND(OR($A35="Verdadero o Falso Simple",$A35="Respuesta A/B/Ambas/Ninguna",$A35="Verdadero o Falso Complejas",$A35="Selección de la mejor respuesta",$A35="Subítem de caso o problema",$A35="Opción de Emparejamiento Ampliado"),TRIM($I35)=""),IF(COUNTIF($Q35:$T35,"?*")&gt;0,", ","")&amp;"respuesta_correcta","")</x:f>
      </x:c>
      <x:c r="V35" t="str">
        <x:f>IF(AND(OR($A35="Verdadero o Falso Simple",$A35="Respuesta A/B/Ambas/Ninguna",$A35="Verdadero o Falso Complejas",$A35="Selección de la mejor respuesta",$A35="Subítem de caso o problema",$A35="Opción de Emparejamiento Ampliado"),TRIM($J35)=""),IF(COUNTIF($Q35:$U35,"?*")&gt;0,", ","")&amp;"dificultad","")</x:f>
      </x:c>
      <x:c r="W35" t="str">
        <x:f>IF(AND(OR($A35="Ítems agrupados por caso clínico o problema",$A35="Emparejamiento Ampliado"),TRIM($I35)&lt;&gt;""),IF(COUNTIF($Q35:$V35,"?*")&gt;0,", ","")&amp;"respuesta debe ir vacia","")</x:f>
      </x:c>
      <x:c r="X35" t="str">
        <x:f>IF(AND(OR($A35="Ítems agrupados por caso clínico o problema",$A35="Emparejamiento Ampliado"),TRIM($J35)&lt;&gt;""),IF(COUNTIF($Q35:$W35,"?*")&gt;0,", ","")&amp;"dificultad debe ir vacia","")</x:f>
      </x:c>
      <x:c r="Y35" t="str">
        <x:f>IF(AND($A35="Verdadero o Falso Simple",OR(COUNTIF($D35:$E35,"?*")&lt;2,COUNTIF($F35:$H35,"?*")&gt;0)),IF(COUNTIF($Q35:$X35,"?*")&gt;0,", ","")&amp;"incisos A-B","")</x:f>
      </x:c>
      <x:c r="Z35" t="str">
        <x:f>IF(AND($A35="Verdadero o Falso Simple",TRIM($I35)&lt;&gt;"",NOT(OR(LEFT(TRIM($I35),1)="A",LEFT(TRIM($I35),1)="B"))),IF(COUNTIF($Q35:$Y35,"?*")&gt;0,", ","")&amp;"respuesta A-B","")</x:f>
      </x:c>
      <x:c r="AA35" t="str">
        <x:f>IF(AND($A35="Respuesta A/B/Ambas/Ninguna",COUNTIF($D35:$G35,"?*")&lt;4),IF(COUNTIF($Q35:$Z35,"?*")&gt;0,", ","")&amp;"opciones A-D","")</x:f>
      </x:c>
      <x:c r="AB35" t="str">
        <x:f>IF(AND($A35="Respuesta A/B/Ambas/Ninguna",COUNTIF($H35:$H35,"?*")&gt;0),IF(COUNTIF($Q35:$AA35,"?*")&gt;0,", ","")&amp;"opcion E deshabilitada","")</x:f>
      </x:c>
      <x:c r="AC35" t="str">
        <x:f>IF(AND($A35="Respuesta A/B/Ambas/Ninguna",TRIM($I35)&lt;&gt;"",NOT(OR(LEFT(TRIM($I35),1)="A",LEFT(TRIM($I35),1)="B",LEFT(TRIM($I35),1)="C",LEFT(TRIM($I35),1)="D"))),IF(COUNTIF($Q35:$AB35,"?*")&gt;0,", ","")&amp;"respuesta A-D","")</x:f>
      </x:c>
      <x:c r="AD35" t="str">
        <x:f>IF(AND($A35="Verdadero o Falso Complejas",OR(LEN(TRIM(SUBSTITUTE($D35,"1.","")))=0,LEN(TRIM(SUBSTITUTE($E35,"2.","")))=0,LEN(TRIM(SUBSTITUTE($F35,"3.","")))=0,LEN(TRIM(SUBSTITUTE($G35,"4.","")))=0)),IF(COUNTIF($Q35:$AC35,"?*")&gt;0,", ","")&amp;"incisos 1-4","")</x:f>
      </x:c>
      <x:c r="AE35" t="str">
        <x:f>IF(AND($A35="Verdadero o Falso Complejas",COUNTIF($H35:$H35,"?*")&gt;0),IF(COUNTIF($Q35:$AD35,"?*")&gt;0,", ","")&amp;"opcion E deshabilitada","")</x:f>
      </x:c>
      <x:c r="AF35" t="str">
        <x:f>IF(AND($A35="Verdadero o Falso Complejas",TRIM($I35)&lt;&gt;"",NOT(OR(LEFT(TRIM($I35),1)="A",LEFT(TRIM($I35),1)="B",LEFT(TRIM($I35),1)="C",LEFT(TRIM($I35),1)="D",LEFT(TRIM($I35),1)="E"))),IF(COUNTIF($Q35:$AE35,"?*")&gt;0,", ","")&amp;"respuesta A-E","")</x:f>
      </x:c>
      <x:c r="AG35" t="str">
        <x:f>IF(AND(OR($A35="Selección de la mejor respuesta",$A35="Subítem de caso o problema"),COUNTIF($D35:$H35,"?*")&lt;5),IF(COUNTIF($Q35:$AF35,"?*")&gt;0,", ","")&amp;"incisos A-E","")</x:f>
      </x:c>
      <x:c r="AH35" t="str">
        <x:f>IF(AND(OR($A35="Selección de la mejor respuesta",$A35="Subítem de caso o problema"),TRIM($I35)&lt;&gt;"",NOT(OR(LEFT(TRIM($I35),1)="A",LEFT(TRIM($I35),1)="B",LEFT(TRIM($I35),1)="C",LEFT(TRIM($I35),1)="D",LEFT(TRIM($I35),1)="E"))),IF(COUNTIF($Q35:$AG35,"?*")&gt;0,", ","")&amp;"respuesta A-E","")</x:f>
      </x:c>
      <x:c r="AI35" t="str">
        <x:f>IF(AND(OR($A35="Ítems agrupados por caso clínico o problema",$A35="Opción de Emparejamiento Ampliado"),COUNTIF($D35:$H35,"?*")&gt;0),IF(COUNTIF($Q35:$AH35,"?*")&gt;0,", ","")&amp;"sin incisos","")</x:f>
      </x:c>
      <x:c r="AJ35" t="str">
        <x:f>IF(AND($A35="Emparejamiento Ampliado",COUNTIF($D35:$H35,"?*")&lt;2),IF(COUNTIF($Q35:$AI35,"?*")&gt;0,", ","")&amp;"minimo 2 claves","")</x:f>
      </x:c>
      <x:c r="AK35" t="str">
        <x:f>IF(AND($A35="Opción de Emparejamiento Ampliado",NOT(OR(LEFT(TRIM($I35),1)="A",LEFT(TRIM($I35),1)="B",LEFT(TRIM($I35),1)="C",LEFT(TRIM($I35),1)="D",LEFT(TRIM($I35),1)="E"))),IF(COUNTIF($Q35:$AJ35,"?*")&gt;0,", ","")&amp;"respuesta A-E","")</x:f>
      </x:c>
      <x:c r="AL35" t="str">
        <x:f>IF(TRIM($K35)="",IF(COUNTIF($M35:$M35,"?*")&gt;0,", ","")&amp;"parcial","")</x:f>
      </x:c>
      <x:c r="AM35" t="str">
        <x:f>IF(AND(TRIM($K35)&lt;&gt;"",TRIM($K35)&lt;&gt;"1P"),IF(COUNTIF($M35:$N35,"?*")&gt;0,", ","")&amp;"parcial distinto a 1P","")</x:f>
      </x:c>
      <x:c r="AN35" t="str">
        <x:f>IF(AND(OR($A35="Ítems agrupados por caso clínico o problema",$A35="Subítem de caso o problema",$A35="Emparejamiento Ampliado",$A35="Opción de Emparejamiento Ampliado"),TRIM($B35)=""),IF(COUNTIF($M35:$O35,"?*")&gt;0,", ","")&amp;"grupo","")</x:f>
      </x:c>
    </x:row>
    <x:row r="36" ht="24" customHeight="1">
      <x:c r="A36" s="292"/>
      <x:c r="B36" s="292"/>
      <x:c r="C36" s="292"/>
      <x:c r="D36" s="292" t="str">
        <x:f>IF($A36="Verdadero o Falso Simple","Verdadero",IF($A36="Respuesta A/B/Ambas/Ninguna","A. Si la primera es verdadera",IF($A36="Verdadero o Falso Complejas","1. ","")))</x:f>
      </x:c>
      <x:c r="E36" s="292" t="str">
        <x:f>IF($A36="Verdadero o Falso Simple","Falso",IF($A36="Respuesta A/B/Ambas/Ninguna","B. Si la segunda es verdadera",IF($A36="Verdadero o Falso Complejas","2. ","")))</x:f>
      </x:c>
      <x:c r="F36" s="292" t="str">
        <x:f>IF($A36="Respuesta A/B/Ambas/Ninguna","C. Si ambas son verdaderas",IF($A36="Verdadero o Falso Complejas","3. ",""))</x:f>
      </x:c>
      <x:c r="G36" s="292" t="str">
        <x:f>IF($A36="Respuesta A/B/Ambas/Ninguna","D. Si ninguna es verdadera",IF($A36="Verdadero o Falso Complejas","4. ",""))</x:f>
      </x:c>
      <x:c r="H36" s="292" t="str">
        <x:f>IF($A36="Verdadero o Falso Simple","",IF($A36="Respuesta A/B/Ambas/Ninguna","",IF($A36="Verdadero o Falso Complejas","","")))</x:f>
      </x:c>
      <x:c r="I36" s="292"/>
      <x:c r="J36" s="292" t="n">
        <x:v>2</x:v>
      </x:c>
      <x:c r="K36" s="292" t="str">
        <x:v>1P</x:v>
      </x:c>
      <x:c r="L36" s="293"/>
      <x:c r="M36" s="289"/>
      <x:c r="N36"/>
      <x:c r="O36"/>
      <x:c r="P36"/>
      <x:c r="Q36" t="str">
        <x:f>IF(TRIM($C36)="","enunciado","")</x:f>
        <x:v>enunciado</x:v>
      </x:c>
      <x:c r="R36" t="str">
        <x:f>IF(TRIM($K36)="",IF(COUNTIF($Q36:$Q36,"?*")&gt;0,", ","")&amp;"parcial","")</x:f>
      </x:c>
      <x:c r="S36" t="str">
        <x:f>IF(AND(TRIM($K36)&lt;&gt;"",TRIM($K36)&lt;&gt;"1P"),IF(COUNTIF($Q36:$R36,"?*")&gt;0,", ","")&amp;"parcial distinto a 1P","")</x:f>
      </x:c>
      <x:c r="T36" t="str">
        <x:f>IF(AND(OR($A36="Ítems agrupados por caso clínico o problema",$A36="Subítem de caso o problema",$A36="Emparejamiento Ampliado",$A36="Opción de Emparejamiento Ampliado"),TRIM($B36)=""),IF(COUNTIF($Q36:$S36,"?*")&gt;0,", ","")&amp;"grupo","")</x:f>
      </x:c>
      <x:c r="U36" t="str">
        <x:f>IF(AND(OR($A36="Verdadero o Falso Simple",$A36="Respuesta A/B/Ambas/Ninguna",$A36="Verdadero o Falso Complejas",$A36="Selección de la mejor respuesta",$A36="Subítem de caso o problema",$A36="Opción de Emparejamiento Ampliado"),TRIM($I36)=""),IF(COUNTIF($Q36:$T36,"?*")&gt;0,", ","")&amp;"respuesta_correcta","")</x:f>
      </x:c>
      <x:c r="V36" t="str">
        <x:f>IF(AND(OR($A36="Verdadero o Falso Simple",$A36="Respuesta A/B/Ambas/Ninguna",$A36="Verdadero o Falso Complejas",$A36="Selección de la mejor respuesta",$A36="Subítem de caso o problema",$A36="Opción de Emparejamiento Ampliado"),TRIM($J36)=""),IF(COUNTIF($Q36:$U36,"?*")&gt;0,", ","")&amp;"dificultad","")</x:f>
      </x:c>
      <x:c r="W36" t="str">
        <x:f>IF(AND(OR($A36="Ítems agrupados por caso clínico o problema",$A36="Emparejamiento Ampliado"),TRIM($I36)&lt;&gt;""),IF(COUNTIF($Q36:$V36,"?*")&gt;0,", ","")&amp;"respuesta debe ir vacia","")</x:f>
      </x:c>
      <x:c r="X36" t="str">
        <x:f>IF(AND(OR($A36="Ítems agrupados por caso clínico o problema",$A36="Emparejamiento Ampliado"),TRIM($J36)&lt;&gt;""),IF(COUNTIF($Q36:$W36,"?*")&gt;0,", ","")&amp;"dificultad debe ir vacia","")</x:f>
      </x:c>
      <x:c r="Y36" t="str">
        <x:f>IF(AND($A36="Verdadero o Falso Simple",OR(COUNTIF($D36:$E36,"?*")&lt;2,COUNTIF($F36:$H36,"?*")&gt;0)),IF(COUNTIF($Q36:$X36,"?*")&gt;0,", ","")&amp;"incisos A-B","")</x:f>
      </x:c>
      <x:c r="Z36" t="str">
        <x:f>IF(AND($A36="Verdadero o Falso Simple",TRIM($I36)&lt;&gt;"",NOT(OR(LEFT(TRIM($I36),1)="A",LEFT(TRIM($I36),1)="B"))),IF(COUNTIF($Q36:$Y36,"?*")&gt;0,", ","")&amp;"respuesta A-B","")</x:f>
      </x:c>
      <x:c r="AA36" t="str">
        <x:f>IF(AND($A36="Respuesta A/B/Ambas/Ninguna",COUNTIF($D36:$G36,"?*")&lt;4),IF(COUNTIF($Q36:$Z36,"?*")&gt;0,", ","")&amp;"opciones A-D","")</x:f>
      </x:c>
      <x:c r="AB36" t="str">
        <x:f>IF(AND($A36="Respuesta A/B/Ambas/Ninguna",COUNTIF($H36:$H36,"?*")&gt;0),IF(COUNTIF($Q36:$AA36,"?*")&gt;0,", ","")&amp;"opcion E deshabilitada","")</x:f>
      </x:c>
      <x:c r="AC36" t="str">
        <x:f>IF(AND($A36="Respuesta A/B/Ambas/Ninguna",TRIM($I36)&lt;&gt;"",NOT(OR(LEFT(TRIM($I36),1)="A",LEFT(TRIM($I36),1)="B",LEFT(TRIM($I36),1)="C",LEFT(TRIM($I36),1)="D"))),IF(COUNTIF($Q36:$AB36,"?*")&gt;0,", ","")&amp;"respuesta A-D","")</x:f>
      </x:c>
      <x:c r="AD36" t="str">
        <x:f>IF(AND($A36="Verdadero o Falso Complejas",OR(LEN(TRIM(SUBSTITUTE($D36,"1.","")))=0,LEN(TRIM(SUBSTITUTE($E36,"2.","")))=0,LEN(TRIM(SUBSTITUTE($F36,"3.","")))=0,LEN(TRIM(SUBSTITUTE($G36,"4.","")))=0)),IF(COUNTIF($Q36:$AC36,"?*")&gt;0,", ","")&amp;"incisos 1-4","")</x:f>
      </x:c>
      <x:c r="AE36" t="str">
        <x:f>IF(AND($A36="Verdadero o Falso Complejas",COUNTIF($H36:$H36,"?*")&gt;0),IF(COUNTIF($Q36:$AD36,"?*")&gt;0,", ","")&amp;"opcion E deshabilitada","")</x:f>
      </x:c>
      <x:c r="AF36" t="str">
        <x:f>IF(AND($A36="Verdadero o Falso Complejas",TRIM($I36)&lt;&gt;"",NOT(OR(LEFT(TRIM($I36),1)="A",LEFT(TRIM($I36),1)="B",LEFT(TRIM($I36),1)="C",LEFT(TRIM($I36),1)="D",LEFT(TRIM($I36),1)="E"))),IF(COUNTIF($Q36:$AE36,"?*")&gt;0,", ","")&amp;"respuesta A-E","")</x:f>
      </x:c>
      <x:c r="AG36" t="str">
        <x:f>IF(AND(OR($A36="Selección de la mejor respuesta",$A36="Subítem de caso o problema"),COUNTIF($D36:$H36,"?*")&lt;5),IF(COUNTIF($Q36:$AF36,"?*")&gt;0,", ","")&amp;"incisos A-E","")</x:f>
      </x:c>
      <x:c r="AH36" t="str">
        <x:f>IF(AND(OR($A36="Selección de la mejor respuesta",$A36="Subítem de caso o problema"),TRIM($I36)&lt;&gt;"",NOT(OR(LEFT(TRIM($I36),1)="A",LEFT(TRIM($I36),1)="B",LEFT(TRIM($I36),1)="C",LEFT(TRIM($I36),1)="D",LEFT(TRIM($I36),1)="E"))),IF(COUNTIF($Q36:$AG36,"?*")&gt;0,", ","")&amp;"respuesta A-E","")</x:f>
      </x:c>
      <x:c r="AI36" t="str">
        <x:f>IF(AND(OR($A36="Ítems agrupados por caso clínico o problema",$A36="Opción de Emparejamiento Ampliado"),COUNTIF($D36:$H36,"?*")&gt;0),IF(COUNTIF($Q36:$AH36,"?*")&gt;0,", ","")&amp;"sin incisos","")</x:f>
      </x:c>
      <x:c r="AJ36" t="str">
        <x:f>IF(AND($A36="Emparejamiento Ampliado",COUNTIF($D36:$H36,"?*")&lt;2),IF(COUNTIF($Q36:$AI36,"?*")&gt;0,", ","")&amp;"minimo 2 claves","")</x:f>
      </x:c>
      <x:c r="AK36" t="str">
        <x:f>IF(AND($A36="Opción de Emparejamiento Ampliado",NOT(OR(LEFT(TRIM($I36),1)="A",LEFT(TRIM($I36),1)="B",LEFT(TRIM($I36),1)="C",LEFT(TRIM($I36),1)="D",LEFT(TRIM($I36),1)="E"))),IF(COUNTIF($Q36:$AJ36,"?*")&gt;0,", ","")&amp;"respuesta A-E","")</x:f>
      </x:c>
      <x:c r="AL36" t="str">
        <x:f>IF(TRIM($K36)="",IF(COUNTIF($M36:$M36,"?*")&gt;0,", ","")&amp;"parcial","")</x:f>
      </x:c>
      <x:c r="AM36" t="str">
        <x:f>IF(AND(TRIM($K36)&lt;&gt;"",TRIM($K36)&lt;&gt;"1P"),IF(COUNTIF($M36:$N36,"?*")&gt;0,", ","")&amp;"parcial distinto a 1P","")</x:f>
      </x:c>
      <x:c r="AN36" t="str">
        <x:f>IF(AND(OR($A36="Ítems agrupados por caso clínico o problema",$A36="Subítem de caso o problema",$A36="Emparejamiento Ampliado",$A36="Opción de Emparejamiento Ampliado"),TRIM($B36)=""),IF(COUNTIF($M36:$O36,"?*")&gt;0,", ","")&amp;"grupo","")</x:f>
      </x:c>
    </x:row>
    <x:row r="37" ht="24" customHeight="1">
      <x:c r="A37" s="292"/>
      <x:c r="B37" s="292"/>
      <x:c r="C37" s="292"/>
      <x:c r="D37" s="292" t="str">
        <x:f>IF($A37="Verdadero o Falso Simple","Verdadero",IF($A37="Respuesta A/B/Ambas/Ninguna","A. Si la primera es verdadera",IF($A37="Verdadero o Falso Complejas","1. ","")))</x:f>
      </x:c>
      <x:c r="E37" s="292" t="str">
        <x:f>IF($A37="Verdadero o Falso Simple","Falso",IF($A37="Respuesta A/B/Ambas/Ninguna","B. Si la segunda es verdadera",IF($A37="Verdadero o Falso Complejas","2. ","")))</x:f>
      </x:c>
      <x:c r="F37" s="292" t="str">
        <x:f>IF($A37="Respuesta A/B/Ambas/Ninguna","C. Si ambas son verdaderas",IF($A37="Verdadero o Falso Complejas","3. ",""))</x:f>
      </x:c>
      <x:c r="G37" s="292" t="str">
        <x:f>IF($A37="Respuesta A/B/Ambas/Ninguna","D. Si ninguna es verdadera",IF($A37="Verdadero o Falso Complejas","4. ",""))</x:f>
      </x:c>
      <x:c r="H37" s="292" t="str">
        <x:f>IF($A37="Verdadero o Falso Simple","",IF($A37="Respuesta A/B/Ambas/Ninguna","",IF($A37="Verdadero o Falso Complejas","","")))</x:f>
      </x:c>
      <x:c r="I37" s="292"/>
      <x:c r="J37" s="292" t="n">
        <x:v>2</x:v>
      </x:c>
      <x:c r="K37" s="292" t="str">
        <x:v>1P</x:v>
      </x:c>
      <x:c r="L37" s="293"/>
      <x:c r="M37" s="289"/>
      <x:c r="N37"/>
      <x:c r="O37"/>
      <x:c r="P37"/>
      <x:c r="Q37" t="str">
        <x:f>IF(TRIM($C37)="","enunciado","")</x:f>
        <x:v>enunciado</x:v>
      </x:c>
      <x:c r="R37" t="str">
        <x:f>IF(TRIM($K37)="",IF(COUNTIF($Q37:$Q37,"?*")&gt;0,", ","")&amp;"parcial","")</x:f>
      </x:c>
      <x:c r="S37" t="str">
        <x:f>IF(AND(TRIM($K37)&lt;&gt;"",TRIM($K37)&lt;&gt;"1P"),IF(COUNTIF($Q37:$R37,"?*")&gt;0,", ","")&amp;"parcial distinto a 1P","")</x:f>
      </x:c>
      <x:c r="T37" t="str">
        <x:f>IF(AND(OR($A37="Ítems agrupados por caso clínico o problema",$A37="Subítem de caso o problema",$A37="Emparejamiento Ampliado",$A37="Opción de Emparejamiento Ampliado"),TRIM($B37)=""),IF(COUNTIF($Q37:$S37,"?*")&gt;0,", ","")&amp;"grupo","")</x:f>
      </x:c>
      <x:c r="U37" t="str">
        <x:f>IF(AND(OR($A37="Verdadero o Falso Simple",$A37="Respuesta A/B/Ambas/Ninguna",$A37="Verdadero o Falso Complejas",$A37="Selección de la mejor respuesta",$A37="Subítem de caso o problema",$A37="Opción de Emparejamiento Ampliado"),TRIM($I37)=""),IF(COUNTIF($Q37:$T37,"?*")&gt;0,", ","")&amp;"respuesta_correcta","")</x:f>
      </x:c>
      <x:c r="V37" t="str">
        <x:f>IF(AND(OR($A37="Verdadero o Falso Simple",$A37="Respuesta A/B/Ambas/Ninguna",$A37="Verdadero o Falso Complejas",$A37="Selección de la mejor respuesta",$A37="Subítem de caso o problema",$A37="Opción de Emparejamiento Ampliado"),TRIM($J37)=""),IF(COUNTIF($Q37:$U37,"?*")&gt;0,", ","")&amp;"dificultad","")</x:f>
      </x:c>
      <x:c r="W37" t="str">
        <x:f>IF(AND(OR($A37="Ítems agrupados por caso clínico o problema",$A37="Emparejamiento Ampliado"),TRIM($I37)&lt;&gt;""),IF(COUNTIF($Q37:$V37,"?*")&gt;0,", ","")&amp;"respuesta debe ir vacia","")</x:f>
      </x:c>
      <x:c r="X37" t="str">
        <x:f>IF(AND(OR($A37="Ítems agrupados por caso clínico o problema",$A37="Emparejamiento Ampliado"),TRIM($J37)&lt;&gt;""),IF(COUNTIF($Q37:$W37,"?*")&gt;0,", ","")&amp;"dificultad debe ir vacia","")</x:f>
      </x:c>
      <x:c r="Y37" t="str">
        <x:f>IF(AND($A37="Verdadero o Falso Simple",OR(COUNTIF($D37:$E37,"?*")&lt;2,COUNTIF($F37:$H37,"?*")&gt;0)),IF(COUNTIF($Q37:$X37,"?*")&gt;0,", ","")&amp;"incisos A-B","")</x:f>
      </x:c>
      <x:c r="Z37" t="str">
        <x:f>IF(AND($A37="Verdadero o Falso Simple",TRIM($I37)&lt;&gt;"",NOT(OR(LEFT(TRIM($I37),1)="A",LEFT(TRIM($I37),1)="B"))),IF(COUNTIF($Q37:$Y37,"?*")&gt;0,", ","")&amp;"respuesta A-B","")</x:f>
      </x:c>
      <x:c r="AA37" t="str">
        <x:f>IF(AND($A37="Respuesta A/B/Ambas/Ninguna",COUNTIF($D37:$G37,"?*")&lt;4),IF(COUNTIF($Q37:$Z37,"?*")&gt;0,", ","")&amp;"opciones A-D","")</x:f>
      </x:c>
      <x:c r="AB37" t="str">
        <x:f>IF(AND($A37="Respuesta A/B/Ambas/Ninguna",COUNTIF($H37:$H37,"?*")&gt;0),IF(COUNTIF($Q37:$AA37,"?*")&gt;0,", ","")&amp;"opcion E deshabilitada","")</x:f>
      </x:c>
      <x:c r="AC37" t="str">
        <x:f>IF(AND($A37="Respuesta A/B/Ambas/Ninguna",TRIM($I37)&lt;&gt;"",NOT(OR(LEFT(TRIM($I37),1)="A",LEFT(TRIM($I37),1)="B",LEFT(TRIM($I37),1)="C",LEFT(TRIM($I37),1)="D"))),IF(COUNTIF($Q37:$AB37,"?*")&gt;0,", ","")&amp;"respuesta A-D","")</x:f>
      </x:c>
      <x:c r="AD37" t="str">
        <x:f>IF(AND($A37="Verdadero o Falso Complejas",OR(LEN(TRIM(SUBSTITUTE($D37,"1.","")))=0,LEN(TRIM(SUBSTITUTE($E37,"2.","")))=0,LEN(TRIM(SUBSTITUTE($F37,"3.","")))=0,LEN(TRIM(SUBSTITUTE($G37,"4.","")))=0)),IF(COUNTIF($Q37:$AC37,"?*")&gt;0,", ","")&amp;"incisos 1-4","")</x:f>
      </x:c>
      <x:c r="AE37" t="str">
        <x:f>IF(AND($A37="Verdadero o Falso Complejas",COUNTIF($H37:$H37,"?*")&gt;0),IF(COUNTIF($Q37:$AD37,"?*")&gt;0,", ","")&amp;"opcion E deshabilitada","")</x:f>
      </x:c>
      <x:c r="AF37" t="str">
        <x:f>IF(AND($A37="Verdadero o Falso Complejas",TRIM($I37)&lt;&gt;"",NOT(OR(LEFT(TRIM($I37),1)="A",LEFT(TRIM($I37),1)="B",LEFT(TRIM($I37),1)="C",LEFT(TRIM($I37),1)="D",LEFT(TRIM($I37),1)="E"))),IF(COUNTIF($Q37:$AE37,"?*")&gt;0,", ","")&amp;"respuesta A-E","")</x:f>
      </x:c>
      <x:c r="AG37" t="str">
        <x:f>IF(AND(OR($A37="Selección de la mejor respuesta",$A37="Subítem de caso o problema"),COUNTIF($D37:$H37,"?*")&lt;5),IF(COUNTIF($Q37:$AF37,"?*")&gt;0,", ","")&amp;"incisos A-E","")</x:f>
      </x:c>
      <x:c r="AH37" t="str">
        <x:f>IF(AND(OR($A37="Selección de la mejor respuesta",$A37="Subítem de caso o problema"),TRIM($I37)&lt;&gt;"",NOT(OR(LEFT(TRIM($I37),1)="A",LEFT(TRIM($I37),1)="B",LEFT(TRIM($I37),1)="C",LEFT(TRIM($I37),1)="D",LEFT(TRIM($I37),1)="E"))),IF(COUNTIF($Q37:$AG37,"?*")&gt;0,", ","")&amp;"respuesta A-E","")</x:f>
      </x:c>
      <x:c r="AI37" t="str">
        <x:f>IF(AND(OR($A37="Ítems agrupados por caso clínico o problema",$A37="Opción de Emparejamiento Ampliado"),COUNTIF($D37:$H37,"?*")&gt;0),IF(COUNTIF($Q37:$AH37,"?*")&gt;0,", ","")&amp;"sin incisos","")</x:f>
      </x:c>
      <x:c r="AJ37" t="str">
        <x:f>IF(AND($A37="Emparejamiento Ampliado",COUNTIF($D37:$H37,"?*")&lt;2),IF(COUNTIF($Q37:$AI37,"?*")&gt;0,", ","")&amp;"minimo 2 claves","")</x:f>
      </x:c>
      <x:c r="AK37" t="str">
        <x:f>IF(AND($A37="Opción de Emparejamiento Ampliado",NOT(OR(LEFT(TRIM($I37),1)="A",LEFT(TRIM($I37),1)="B",LEFT(TRIM($I37),1)="C",LEFT(TRIM($I37),1)="D",LEFT(TRIM($I37),1)="E"))),IF(COUNTIF($Q37:$AJ37,"?*")&gt;0,", ","")&amp;"respuesta A-E","")</x:f>
      </x:c>
      <x:c r="AL37" t="str">
        <x:f>IF(TRIM($K37)="",IF(COUNTIF($M37:$M37,"?*")&gt;0,", ","")&amp;"parcial","")</x:f>
      </x:c>
      <x:c r="AM37" t="str">
        <x:f>IF(AND(TRIM($K37)&lt;&gt;"",TRIM($K37)&lt;&gt;"1P"),IF(COUNTIF($M37:$N37,"?*")&gt;0,", ","")&amp;"parcial distinto a 1P","")</x:f>
      </x:c>
      <x:c r="AN37" t="str">
        <x:f>IF(AND(OR($A37="Ítems agrupados por caso clínico o problema",$A37="Subítem de caso o problema",$A37="Emparejamiento Ampliado",$A37="Opción de Emparejamiento Ampliado"),TRIM($B37)=""),IF(COUNTIF($M37:$O37,"?*")&gt;0,", ","")&amp;"grupo","")</x:f>
      </x:c>
    </x:row>
    <x:row r="38" ht="24" customHeight="1">
      <x:c r="A38" s="292"/>
      <x:c r="B38" s="292"/>
      <x:c r="C38" s="292"/>
      <x:c r="D38" s="292" t="str">
        <x:f>IF($A38="Verdadero o Falso Simple","Verdadero",IF($A38="Respuesta A/B/Ambas/Ninguna","A. Si la primera es verdadera",IF($A38="Verdadero o Falso Complejas","1. ","")))</x:f>
      </x:c>
      <x:c r="E38" s="292" t="str">
        <x:f>IF($A38="Verdadero o Falso Simple","Falso",IF($A38="Respuesta A/B/Ambas/Ninguna","B. Si la segunda es verdadera",IF($A38="Verdadero o Falso Complejas","2. ","")))</x:f>
      </x:c>
      <x:c r="F38" s="292" t="str">
        <x:f>IF($A38="Respuesta A/B/Ambas/Ninguna","C. Si ambas son verdaderas",IF($A38="Verdadero o Falso Complejas","3. ",""))</x:f>
      </x:c>
      <x:c r="G38" s="292" t="str">
        <x:f>IF($A38="Respuesta A/B/Ambas/Ninguna","D. Si ninguna es verdadera",IF($A38="Verdadero o Falso Complejas","4. ",""))</x:f>
      </x:c>
      <x:c r="H38" s="292" t="str">
        <x:f>IF($A38="Verdadero o Falso Simple","",IF($A38="Respuesta A/B/Ambas/Ninguna","",IF($A38="Verdadero o Falso Complejas","","")))</x:f>
      </x:c>
      <x:c r="I38" s="292"/>
      <x:c r="J38" s="292" t="n">
        <x:v>2</x:v>
      </x:c>
      <x:c r="K38" s="292" t="str">
        <x:v>1P</x:v>
      </x:c>
      <x:c r="L38" s="293"/>
      <x:c r="M38" s="289"/>
      <x:c r="N38"/>
      <x:c r="O38"/>
      <x:c r="P38"/>
      <x:c r="Q38" t="str">
        <x:f>IF(TRIM($C38)="","enunciado","")</x:f>
        <x:v>enunciado</x:v>
      </x:c>
      <x:c r="R38" t="str">
        <x:f>IF(TRIM($K38)="",IF(COUNTIF($Q38:$Q38,"?*")&gt;0,", ","")&amp;"parcial","")</x:f>
      </x:c>
      <x:c r="S38" t="str">
        <x:f>IF(AND(TRIM($K38)&lt;&gt;"",TRIM($K38)&lt;&gt;"1P"),IF(COUNTIF($Q38:$R38,"?*")&gt;0,", ","")&amp;"parcial distinto a 1P","")</x:f>
      </x:c>
      <x:c r="T38" t="str">
        <x:f>IF(AND(OR($A38="Ítems agrupados por caso clínico o problema",$A38="Subítem de caso o problema",$A38="Emparejamiento Ampliado",$A38="Opción de Emparejamiento Ampliado"),TRIM($B38)=""),IF(COUNTIF($Q38:$S38,"?*")&gt;0,", ","")&amp;"grupo","")</x:f>
      </x:c>
      <x:c r="U38" t="str">
        <x:f>IF(AND(OR($A38="Verdadero o Falso Simple",$A38="Respuesta A/B/Ambas/Ninguna",$A38="Verdadero o Falso Complejas",$A38="Selección de la mejor respuesta",$A38="Subítem de caso o problema",$A38="Opción de Emparejamiento Ampliado"),TRIM($I38)=""),IF(COUNTIF($Q38:$T38,"?*")&gt;0,", ","")&amp;"respuesta_correcta","")</x:f>
      </x:c>
      <x:c r="V38" t="str">
        <x:f>IF(AND(OR($A38="Verdadero o Falso Simple",$A38="Respuesta A/B/Ambas/Ninguna",$A38="Verdadero o Falso Complejas",$A38="Selección de la mejor respuesta",$A38="Subítem de caso o problema",$A38="Opción de Emparejamiento Ampliado"),TRIM($J38)=""),IF(COUNTIF($Q38:$U38,"?*")&gt;0,", ","")&amp;"dificultad","")</x:f>
      </x:c>
      <x:c r="W38" t="str">
        <x:f>IF(AND(OR($A38="Ítems agrupados por caso clínico o problema",$A38="Emparejamiento Ampliado"),TRIM($I38)&lt;&gt;""),IF(COUNTIF($Q38:$V38,"?*")&gt;0,", ","")&amp;"respuesta debe ir vacia","")</x:f>
      </x:c>
      <x:c r="X38" t="str">
        <x:f>IF(AND(OR($A38="Ítems agrupados por caso clínico o problema",$A38="Emparejamiento Ampliado"),TRIM($J38)&lt;&gt;""),IF(COUNTIF($Q38:$W38,"?*")&gt;0,", ","")&amp;"dificultad debe ir vacia","")</x:f>
      </x:c>
      <x:c r="Y38" t="str">
        <x:f>IF(AND($A38="Verdadero o Falso Simple",OR(COUNTIF($D38:$E38,"?*")&lt;2,COUNTIF($F38:$H38,"?*")&gt;0)),IF(COUNTIF($Q38:$X38,"?*")&gt;0,", ","")&amp;"incisos A-B","")</x:f>
      </x:c>
      <x:c r="Z38" t="str">
        <x:f>IF(AND($A38="Verdadero o Falso Simple",TRIM($I38)&lt;&gt;"",NOT(OR(LEFT(TRIM($I38),1)="A",LEFT(TRIM($I38),1)="B"))),IF(COUNTIF($Q38:$Y38,"?*")&gt;0,", ","")&amp;"respuesta A-B","")</x:f>
      </x:c>
      <x:c r="AA38" t="str">
        <x:f>IF(AND($A38="Respuesta A/B/Ambas/Ninguna",COUNTIF($D38:$G38,"?*")&lt;4),IF(COUNTIF($Q38:$Z38,"?*")&gt;0,", ","")&amp;"opciones A-D","")</x:f>
      </x:c>
      <x:c r="AB38" t="str">
        <x:f>IF(AND($A38="Respuesta A/B/Ambas/Ninguna",COUNTIF($H38:$H38,"?*")&gt;0),IF(COUNTIF($Q38:$AA38,"?*")&gt;0,", ","")&amp;"opcion E deshabilitada","")</x:f>
      </x:c>
      <x:c r="AC38" t="str">
        <x:f>IF(AND($A38="Respuesta A/B/Ambas/Ninguna",TRIM($I38)&lt;&gt;"",NOT(OR(LEFT(TRIM($I38),1)="A",LEFT(TRIM($I38),1)="B",LEFT(TRIM($I38),1)="C",LEFT(TRIM($I38),1)="D"))),IF(COUNTIF($Q38:$AB38,"?*")&gt;0,", ","")&amp;"respuesta A-D","")</x:f>
      </x:c>
      <x:c r="AD38" t="str">
        <x:f>IF(AND($A38="Verdadero o Falso Complejas",OR(LEN(TRIM(SUBSTITUTE($D38,"1.","")))=0,LEN(TRIM(SUBSTITUTE($E38,"2.","")))=0,LEN(TRIM(SUBSTITUTE($F38,"3.","")))=0,LEN(TRIM(SUBSTITUTE($G38,"4.","")))=0)),IF(COUNTIF($Q38:$AC38,"?*")&gt;0,", ","")&amp;"incisos 1-4","")</x:f>
      </x:c>
      <x:c r="AE38" t="str">
        <x:f>IF(AND($A38="Verdadero o Falso Complejas",COUNTIF($H38:$H38,"?*")&gt;0),IF(COUNTIF($Q38:$AD38,"?*")&gt;0,", ","")&amp;"opcion E deshabilitada","")</x:f>
      </x:c>
      <x:c r="AF38" t="str">
        <x:f>IF(AND($A38="Verdadero o Falso Complejas",TRIM($I38)&lt;&gt;"",NOT(OR(LEFT(TRIM($I38),1)="A",LEFT(TRIM($I38),1)="B",LEFT(TRIM($I38),1)="C",LEFT(TRIM($I38),1)="D",LEFT(TRIM($I38),1)="E"))),IF(COUNTIF($Q38:$AE38,"?*")&gt;0,", ","")&amp;"respuesta A-E","")</x:f>
      </x:c>
      <x:c r="AG38" t="str">
        <x:f>IF(AND(OR($A38="Selección de la mejor respuesta",$A38="Subítem de caso o problema"),COUNTIF($D38:$H38,"?*")&lt;5),IF(COUNTIF($Q38:$AF38,"?*")&gt;0,", ","")&amp;"incisos A-E","")</x:f>
      </x:c>
      <x:c r="AH38" t="str">
        <x:f>IF(AND(OR($A38="Selección de la mejor respuesta",$A38="Subítem de caso o problema"),TRIM($I38)&lt;&gt;"",NOT(OR(LEFT(TRIM($I38),1)="A",LEFT(TRIM($I38),1)="B",LEFT(TRIM($I38),1)="C",LEFT(TRIM($I38),1)="D",LEFT(TRIM($I38),1)="E"))),IF(COUNTIF($Q38:$AG38,"?*")&gt;0,", ","")&amp;"respuesta A-E","")</x:f>
      </x:c>
      <x:c r="AI38" t="str">
        <x:f>IF(AND(OR($A38="Ítems agrupados por caso clínico o problema",$A38="Opción de Emparejamiento Ampliado"),COUNTIF($D38:$H38,"?*")&gt;0),IF(COUNTIF($Q38:$AH38,"?*")&gt;0,", ","")&amp;"sin incisos","")</x:f>
      </x:c>
      <x:c r="AJ38" t="str">
        <x:f>IF(AND($A38="Emparejamiento Ampliado",COUNTIF($D38:$H38,"?*")&lt;2),IF(COUNTIF($Q38:$AI38,"?*")&gt;0,", ","")&amp;"minimo 2 claves","")</x:f>
      </x:c>
      <x:c r="AK38" t="str">
        <x:f>IF(AND($A38="Opción de Emparejamiento Ampliado",NOT(OR(LEFT(TRIM($I38),1)="A",LEFT(TRIM($I38),1)="B",LEFT(TRIM($I38),1)="C",LEFT(TRIM($I38),1)="D",LEFT(TRIM($I38),1)="E"))),IF(COUNTIF($Q38:$AJ38,"?*")&gt;0,", ","")&amp;"respuesta A-E","")</x:f>
      </x:c>
      <x:c r="AL38" t="str">
        <x:f>IF(TRIM($K38)="",IF(COUNTIF($M38:$M38,"?*")&gt;0,", ","")&amp;"parcial","")</x:f>
      </x:c>
      <x:c r="AM38" t="str">
        <x:f>IF(AND(TRIM($K38)&lt;&gt;"",TRIM($K38)&lt;&gt;"1P"),IF(COUNTIF($M38:$N38,"?*")&gt;0,", ","")&amp;"parcial distinto a 1P","")</x:f>
      </x:c>
      <x:c r="AN38" t="str">
        <x:f>IF(AND(OR($A38="Ítems agrupados por caso clínico o problema",$A38="Subítem de caso o problema",$A38="Emparejamiento Ampliado",$A38="Opción de Emparejamiento Ampliado"),TRIM($B38)=""),IF(COUNTIF($M38:$O38,"?*")&gt;0,", ","")&amp;"grupo","")</x:f>
      </x:c>
    </x:row>
    <x:row r="39" ht="24" customHeight="1">
      <x:c r="A39" s="292"/>
      <x:c r="B39" s="292"/>
      <x:c r="C39" s="292"/>
      <x:c r="D39" s="292" t="str">
        <x:f>IF($A39="Verdadero o Falso Simple","Verdadero",IF($A39="Respuesta A/B/Ambas/Ninguna","A. Si la primera es verdadera",IF($A39="Verdadero o Falso Complejas","1. ","")))</x:f>
      </x:c>
      <x:c r="E39" s="292" t="str">
        <x:f>IF($A39="Verdadero o Falso Simple","Falso",IF($A39="Respuesta A/B/Ambas/Ninguna","B. Si la segunda es verdadera",IF($A39="Verdadero o Falso Complejas","2. ","")))</x:f>
      </x:c>
      <x:c r="F39" s="292" t="str">
        <x:f>IF($A39="Respuesta A/B/Ambas/Ninguna","C. Si ambas son verdaderas",IF($A39="Verdadero o Falso Complejas","3. ",""))</x:f>
      </x:c>
      <x:c r="G39" s="292" t="str">
        <x:f>IF($A39="Respuesta A/B/Ambas/Ninguna","D. Si ninguna es verdadera",IF($A39="Verdadero o Falso Complejas","4. ",""))</x:f>
      </x:c>
      <x:c r="H39" s="292" t="str">
        <x:f>IF($A39="Verdadero o Falso Simple","",IF($A39="Respuesta A/B/Ambas/Ninguna","",IF($A39="Verdadero o Falso Complejas","","")))</x:f>
      </x:c>
      <x:c r="I39" s="292"/>
      <x:c r="J39" s="292" t="n">
        <x:v>2</x:v>
      </x:c>
      <x:c r="K39" s="292" t="str">
        <x:v>1P</x:v>
      </x:c>
      <x:c r="L39" s="293"/>
      <x:c r="M39" s="289"/>
      <x:c r="N39"/>
      <x:c r="O39"/>
      <x:c r="P39"/>
      <x:c r="Q39" t="str">
        <x:f>IF(TRIM($C39)="","enunciado","")</x:f>
        <x:v>enunciado</x:v>
      </x:c>
      <x:c r="R39" t="str">
        <x:f>IF(TRIM($K39)="",IF(COUNTIF($Q39:$Q39,"?*")&gt;0,", ","")&amp;"parcial","")</x:f>
      </x:c>
      <x:c r="S39" t="str">
        <x:f>IF(AND(TRIM($K39)&lt;&gt;"",TRIM($K39)&lt;&gt;"1P"),IF(COUNTIF($Q39:$R39,"?*")&gt;0,", ","")&amp;"parcial distinto a 1P","")</x:f>
      </x:c>
      <x:c r="T39" t="str">
        <x:f>IF(AND(OR($A39="Ítems agrupados por caso clínico o problema",$A39="Subítem de caso o problema",$A39="Emparejamiento Ampliado",$A39="Opción de Emparejamiento Ampliado"),TRIM($B39)=""),IF(COUNTIF($Q39:$S39,"?*")&gt;0,", ","")&amp;"grupo","")</x:f>
      </x:c>
      <x:c r="U39" t="str">
        <x:f>IF(AND(OR($A39="Verdadero o Falso Simple",$A39="Respuesta A/B/Ambas/Ninguna",$A39="Verdadero o Falso Complejas",$A39="Selección de la mejor respuesta",$A39="Subítem de caso o problema",$A39="Opción de Emparejamiento Ampliado"),TRIM($I39)=""),IF(COUNTIF($Q39:$T39,"?*")&gt;0,", ","")&amp;"respuesta_correcta","")</x:f>
      </x:c>
      <x:c r="V39" t="str">
        <x:f>IF(AND(OR($A39="Verdadero o Falso Simple",$A39="Respuesta A/B/Ambas/Ninguna",$A39="Verdadero o Falso Complejas",$A39="Selección de la mejor respuesta",$A39="Subítem de caso o problema",$A39="Opción de Emparejamiento Ampliado"),TRIM($J39)=""),IF(COUNTIF($Q39:$U39,"?*")&gt;0,", ","")&amp;"dificultad","")</x:f>
      </x:c>
      <x:c r="W39" t="str">
        <x:f>IF(AND(OR($A39="Ítems agrupados por caso clínico o problema",$A39="Emparejamiento Ampliado"),TRIM($I39)&lt;&gt;""),IF(COUNTIF($Q39:$V39,"?*")&gt;0,", ","")&amp;"respuesta debe ir vacia","")</x:f>
      </x:c>
      <x:c r="X39" t="str">
        <x:f>IF(AND(OR($A39="Ítems agrupados por caso clínico o problema",$A39="Emparejamiento Ampliado"),TRIM($J39)&lt;&gt;""),IF(COUNTIF($Q39:$W39,"?*")&gt;0,", ","")&amp;"dificultad debe ir vacia","")</x:f>
      </x:c>
      <x:c r="Y39" t="str">
        <x:f>IF(AND($A39="Verdadero o Falso Simple",OR(COUNTIF($D39:$E39,"?*")&lt;2,COUNTIF($F39:$H39,"?*")&gt;0)),IF(COUNTIF($Q39:$X39,"?*")&gt;0,", ","")&amp;"incisos A-B","")</x:f>
      </x:c>
      <x:c r="Z39" t="str">
        <x:f>IF(AND($A39="Verdadero o Falso Simple",TRIM($I39)&lt;&gt;"",NOT(OR(LEFT(TRIM($I39),1)="A",LEFT(TRIM($I39),1)="B"))),IF(COUNTIF($Q39:$Y39,"?*")&gt;0,", ","")&amp;"respuesta A-B","")</x:f>
      </x:c>
      <x:c r="AA39" t="str">
        <x:f>IF(AND($A39="Respuesta A/B/Ambas/Ninguna",COUNTIF($D39:$G39,"?*")&lt;4),IF(COUNTIF($Q39:$Z39,"?*")&gt;0,", ","")&amp;"opciones A-D","")</x:f>
      </x:c>
      <x:c r="AB39" t="str">
        <x:f>IF(AND($A39="Respuesta A/B/Ambas/Ninguna",COUNTIF($H39:$H39,"?*")&gt;0),IF(COUNTIF($Q39:$AA39,"?*")&gt;0,", ","")&amp;"opcion E deshabilitada","")</x:f>
      </x:c>
      <x:c r="AC39" t="str">
        <x:f>IF(AND($A39="Respuesta A/B/Ambas/Ninguna",TRIM($I39)&lt;&gt;"",NOT(OR(LEFT(TRIM($I39),1)="A",LEFT(TRIM($I39),1)="B",LEFT(TRIM($I39),1)="C",LEFT(TRIM($I39),1)="D"))),IF(COUNTIF($Q39:$AB39,"?*")&gt;0,", ","")&amp;"respuesta A-D","")</x:f>
      </x:c>
      <x:c r="AD39" t="str">
        <x:f>IF(AND($A39="Verdadero o Falso Complejas",OR(LEN(TRIM(SUBSTITUTE($D39,"1.","")))=0,LEN(TRIM(SUBSTITUTE($E39,"2.","")))=0,LEN(TRIM(SUBSTITUTE($F39,"3.","")))=0,LEN(TRIM(SUBSTITUTE($G39,"4.","")))=0)),IF(COUNTIF($Q39:$AC39,"?*")&gt;0,", ","")&amp;"incisos 1-4","")</x:f>
      </x:c>
      <x:c r="AE39" t="str">
        <x:f>IF(AND($A39="Verdadero o Falso Complejas",COUNTIF($H39:$H39,"?*")&gt;0),IF(COUNTIF($Q39:$AD39,"?*")&gt;0,", ","")&amp;"opcion E deshabilitada","")</x:f>
      </x:c>
      <x:c r="AF39" t="str">
        <x:f>IF(AND($A39="Verdadero o Falso Complejas",TRIM($I39)&lt;&gt;"",NOT(OR(LEFT(TRIM($I39),1)="A",LEFT(TRIM($I39),1)="B",LEFT(TRIM($I39),1)="C",LEFT(TRIM($I39),1)="D",LEFT(TRIM($I39),1)="E"))),IF(COUNTIF($Q39:$AE39,"?*")&gt;0,", ","")&amp;"respuesta A-E","")</x:f>
      </x:c>
      <x:c r="AG39" t="str">
        <x:f>IF(AND(OR($A39="Selección de la mejor respuesta",$A39="Subítem de caso o problema"),COUNTIF($D39:$H39,"?*")&lt;5),IF(COUNTIF($Q39:$AF39,"?*")&gt;0,", ","")&amp;"incisos A-E","")</x:f>
      </x:c>
      <x:c r="AH39" t="str">
        <x:f>IF(AND(OR($A39="Selección de la mejor respuesta",$A39="Subítem de caso o problema"),TRIM($I39)&lt;&gt;"",NOT(OR(LEFT(TRIM($I39),1)="A",LEFT(TRIM($I39),1)="B",LEFT(TRIM($I39),1)="C",LEFT(TRIM($I39),1)="D",LEFT(TRIM($I39),1)="E"))),IF(COUNTIF($Q39:$AG39,"?*")&gt;0,", ","")&amp;"respuesta A-E","")</x:f>
      </x:c>
      <x:c r="AI39" t="str">
        <x:f>IF(AND(OR($A39="Ítems agrupados por caso clínico o problema",$A39="Opción de Emparejamiento Ampliado"),COUNTIF($D39:$H39,"?*")&gt;0),IF(COUNTIF($Q39:$AH39,"?*")&gt;0,", ","")&amp;"sin incisos","")</x:f>
      </x:c>
      <x:c r="AJ39" t="str">
        <x:f>IF(AND($A39="Emparejamiento Ampliado",COUNTIF($D39:$H39,"?*")&lt;2),IF(COUNTIF($Q39:$AI39,"?*")&gt;0,", ","")&amp;"minimo 2 claves","")</x:f>
      </x:c>
      <x:c r="AK39" t="str">
        <x:f>IF(AND($A39="Opción de Emparejamiento Ampliado",NOT(OR(LEFT(TRIM($I39),1)="A",LEFT(TRIM($I39),1)="B",LEFT(TRIM($I39),1)="C",LEFT(TRIM($I39),1)="D",LEFT(TRIM($I39),1)="E"))),IF(COUNTIF($Q39:$AJ39,"?*")&gt;0,", ","")&amp;"respuesta A-E","")</x:f>
      </x:c>
      <x:c r="AL39" t="str">
        <x:f>IF(TRIM($K39)="",IF(COUNTIF($M39:$M39,"?*")&gt;0,", ","")&amp;"parcial","")</x:f>
      </x:c>
      <x:c r="AM39" t="str">
        <x:f>IF(AND(TRIM($K39)&lt;&gt;"",TRIM($K39)&lt;&gt;"1P"),IF(COUNTIF($M39:$N39,"?*")&gt;0,", ","")&amp;"parcial distinto a 1P","")</x:f>
      </x:c>
      <x:c r="AN39" t="str">
        <x:f>IF(AND(OR($A39="Ítems agrupados por caso clínico o problema",$A39="Subítem de caso o problema",$A39="Emparejamiento Ampliado",$A39="Opción de Emparejamiento Ampliado"),TRIM($B39)=""),IF(COUNTIF($M39:$O39,"?*")&gt;0,", ","")&amp;"grupo","")</x:f>
      </x:c>
    </x:row>
    <x:row r="40" ht="24" customHeight="1">
      <x:c r="A40" s="292"/>
      <x:c r="B40" s="292"/>
      <x:c r="C40" s="292"/>
      <x:c r="D40" s="292" t="str">
        <x:f>IF($A40="Verdadero o Falso Simple","Verdadero",IF($A40="Respuesta A/B/Ambas/Ninguna","A. Si la primera es verdadera",IF($A40="Verdadero o Falso Complejas","1. ","")))</x:f>
      </x:c>
      <x:c r="E40" s="292" t="str">
        <x:f>IF($A40="Verdadero o Falso Simple","Falso",IF($A40="Respuesta A/B/Ambas/Ninguna","B. Si la segunda es verdadera",IF($A40="Verdadero o Falso Complejas","2. ","")))</x:f>
      </x:c>
      <x:c r="F40" s="292" t="str">
        <x:f>IF($A40="Respuesta A/B/Ambas/Ninguna","C. Si ambas son verdaderas",IF($A40="Verdadero o Falso Complejas","3. ",""))</x:f>
      </x:c>
      <x:c r="G40" s="292" t="str">
        <x:f>IF($A40="Respuesta A/B/Ambas/Ninguna","D. Si ninguna es verdadera",IF($A40="Verdadero o Falso Complejas","4. ",""))</x:f>
      </x:c>
      <x:c r="H40" s="292" t="str">
        <x:f>IF($A40="Verdadero o Falso Simple","",IF($A40="Respuesta A/B/Ambas/Ninguna","",IF($A40="Verdadero o Falso Complejas","","")))</x:f>
      </x:c>
      <x:c r="I40" s="292"/>
      <x:c r="J40" s="292" t="n">
        <x:v>2</x:v>
      </x:c>
      <x:c r="K40" s="292" t="str">
        <x:v>1P</x:v>
      </x:c>
      <x:c r="L40" s="293"/>
      <x:c r="M40" s="289"/>
      <x:c r="N40"/>
      <x:c r="O40"/>
      <x:c r="P40"/>
      <x:c r="Q40" t="str">
        <x:f>IF(TRIM($C40)="","enunciado","")</x:f>
        <x:v>enunciado</x:v>
      </x:c>
      <x:c r="R40" t="str">
        <x:f>IF(TRIM($K40)="",IF(COUNTIF($Q40:$Q40,"?*")&gt;0,", ","")&amp;"parcial","")</x:f>
      </x:c>
      <x:c r="S40" t="str">
        <x:f>IF(AND(TRIM($K40)&lt;&gt;"",TRIM($K40)&lt;&gt;"1P"),IF(COUNTIF($Q40:$R40,"?*")&gt;0,", ","")&amp;"parcial distinto a 1P","")</x:f>
      </x:c>
      <x:c r="T40" t="str">
        <x:f>IF(AND(OR($A40="Ítems agrupados por caso clínico o problema",$A40="Subítem de caso o problema",$A40="Emparejamiento Ampliado",$A40="Opción de Emparejamiento Ampliado"),TRIM($B40)=""),IF(COUNTIF($Q40:$S40,"?*")&gt;0,", ","")&amp;"grupo","")</x:f>
      </x:c>
      <x:c r="U40" t="str">
        <x:f>IF(AND(OR($A40="Verdadero o Falso Simple",$A40="Respuesta A/B/Ambas/Ninguna",$A40="Verdadero o Falso Complejas",$A40="Selección de la mejor respuesta",$A40="Subítem de caso o problema",$A40="Opción de Emparejamiento Ampliado"),TRIM($I40)=""),IF(COUNTIF($Q40:$T40,"?*")&gt;0,", ","")&amp;"respuesta_correcta","")</x:f>
      </x:c>
      <x:c r="V40" t="str">
        <x:f>IF(AND(OR($A40="Verdadero o Falso Simple",$A40="Respuesta A/B/Ambas/Ninguna",$A40="Verdadero o Falso Complejas",$A40="Selección de la mejor respuesta",$A40="Subítem de caso o problema",$A40="Opción de Emparejamiento Ampliado"),TRIM($J40)=""),IF(COUNTIF($Q40:$U40,"?*")&gt;0,", ","")&amp;"dificultad","")</x:f>
      </x:c>
      <x:c r="W40" t="str">
        <x:f>IF(AND(OR($A40="Ítems agrupados por caso clínico o problema",$A40="Emparejamiento Ampliado"),TRIM($I40)&lt;&gt;""),IF(COUNTIF($Q40:$V40,"?*")&gt;0,", ","")&amp;"respuesta debe ir vacia","")</x:f>
      </x:c>
      <x:c r="X40" t="str">
        <x:f>IF(AND(OR($A40="Ítems agrupados por caso clínico o problema",$A40="Emparejamiento Ampliado"),TRIM($J40)&lt;&gt;""),IF(COUNTIF($Q40:$W40,"?*")&gt;0,", ","")&amp;"dificultad debe ir vacia","")</x:f>
      </x:c>
      <x:c r="Y40" t="str">
        <x:f>IF(AND($A40="Verdadero o Falso Simple",OR(COUNTIF($D40:$E40,"?*")&lt;2,COUNTIF($F40:$H40,"?*")&gt;0)),IF(COUNTIF($Q40:$X40,"?*")&gt;0,", ","")&amp;"incisos A-B","")</x:f>
      </x:c>
      <x:c r="Z40" t="str">
        <x:f>IF(AND($A40="Verdadero o Falso Simple",TRIM($I40)&lt;&gt;"",NOT(OR(LEFT(TRIM($I40),1)="A",LEFT(TRIM($I40),1)="B"))),IF(COUNTIF($Q40:$Y40,"?*")&gt;0,", ","")&amp;"respuesta A-B","")</x:f>
      </x:c>
      <x:c r="AA40" t="str">
        <x:f>IF(AND($A40="Respuesta A/B/Ambas/Ninguna",COUNTIF($D40:$G40,"?*")&lt;4),IF(COUNTIF($Q40:$Z40,"?*")&gt;0,", ","")&amp;"opciones A-D","")</x:f>
      </x:c>
      <x:c r="AB40" t="str">
        <x:f>IF(AND($A40="Respuesta A/B/Ambas/Ninguna",COUNTIF($H40:$H40,"?*")&gt;0),IF(COUNTIF($Q40:$AA40,"?*")&gt;0,", ","")&amp;"opcion E deshabilitada","")</x:f>
      </x:c>
      <x:c r="AC40" t="str">
        <x:f>IF(AND($A40="Respuesta A/B/Ambas/Ninguna",TRIM($I40)&lt;&gt;"",NOT(OR(LEFT(TRIM($I40),1)="A",LEFT(TRIM($I40),1)="B",LEFT(TRIM($I40),1)="C",LEFT(TRIM($I40),1)="D"))),IF(COUNTIF($Q40:$AB40,"?*")&gt;0,", ","")&amp;"respuesta A-D","")</x:f>
      </x:c>
      <x:c r="AD40" t="str">
        <x:f>IF(AND($A40="Verdadero o Falso Complejas",OR(LEN(TRIM(SUBSTITUTE($D40,"1.","")))=0,LEN(TRIM(SUBSTITUTE($E40,"2.","")))=0,LEN(TRIM(SUBSTITUTE($F40,"3.","")))=0,LEN(TRIM(SUBSTITUTE($G40,"4.","")))=0)),IF(COUNTIF($Q40:$AC40,"?*")&gt;0,", ","")&amp;"incisos 1-4","")</x:f>
      </x:c>
      <x:c r="AE40" t="str">
        <x:f>IF(AND($A40="Verdadero o Falso Complejas",COUNTIF($H40:$H40,"?*")&gt;0),IF(COUNTIF($Q40:$AD40,"?*")&gt;0,", ","")&amp;"opcion E deshabilitada","")</x:f>
      </x:c>
      <x:c r="AF40" t="str">
        <x:f>IF(AND($A40="Verdadero o Falso Complejas",TRIM($I40)&lt;&gt;"",NOT(OR(LEFT(TRIM($I40),1)="A",LEFT(TRIM($I40),1)="B",LEFT(TRIM($I40),1)="C",LEFT(TRIM($I40),1)="D",LEFT(TRIM($I40),1)="E"))),IF(COUNTIF($Q40:$AE40,"?*")&gt;0,", ","")&amp;"respuesta A-E","")</x:f>
      </x:c>
      <x:c r="AG40" t="str">
        <x:f>IF(AND(OR($A40="Selección de la mejor respuesta",$A40="Subítem de caso o problema"),COUNTIF($D40:$H40,"?*")&lt;5),IF(COUNTIF($Q40:$AF40,"?*")&gt;0,", ","")&amp;"incisos A-E","")</x:f>
      </x:c>
      <x:c r="AH40" t="str">
        <x:f>IF(AND(OR($A40="Selección de la mejor respuesta",$A40="Subítem de caso o problema"),TRIM($I40)&lt;&gt;"",NOT(OR(LEFT(TRIM($I40),1)="A",LEFT(TRIM($I40),1)="B",LEFT(TRIM($I40),1)="C",LEFT(TRIM($I40),1)="D",LEFT(TRIM($I40),1)="E"))),IF(COUNTIF($Q40:$AG40,"?*")&gt;0,", ","")&amp;"respuesta A-E","")</x:f>
      </x:c>
      <x:c r="AI40" t="str">
        <x:f>IF(AND(OR($A40="Ítems agrupados por caso clínico o problema",$A40="Opción de Emparejamiento Ampliado"),COUNTIF($D40:$H40,"?*")&gt;0),IF(COUNTIF($Q40:$AH40,"?*")&gt;0,", ","")&amp;"sin incisos","")</x:f>
      </x:c>
      <x:c r="AJ40" t="str">
        <x:f>IF(AND($A40="Emparejamiento Ampliado",COUNTIF($D40:$H40,"?*")&lt;2),IF(COUNTIF($Q40:$AI40,"?*")&gt;0,", ","")&amp;"minimo 2 claves","")</x:f>
      </x:c>
      <x:c r="AK40" t="str">
        <x:f>IF(AND($A40="Opción de Emparejamiento Ampliado",NOT(OR(LEFT(TRIM($I40),1)="A",LEFT(TRIM($I40),1)="B",LEFT(TRIM($I40),1)="C",LEFT(TRIM($I40),1)="D",LEFT(TRIM($I40),1)="E"))),IF(COUNTIF($Q40:$AJ40,"?*")&gt;0,", ","")&amp;"respuesta A-E","")</x:f>
      </x:c>
      <x:c r="AL40" t="str">
        <x:f>IF(TRIM($K40)="",IF(COUNTIF($M40:$M40,"?*")&gt;0,", ","")&amp;"parcial","")</x:f>
      </x:c>
      <x:c r="AM40" t="str">
        <x:f>IF(AND(TRIM($K40)&lt;&gt;"",TRIM($K40)&lt;&gt;"1P"),IF(COUNTIF($M40:$N40,"?*")&gt;0,", ","")&amp;"parcial distinto a 1P","")</x:f>
      </x:c>
      <x:c r="AN40" t="str">
        <x:f>IF(AND(OR($A40="Ítems agrupados por caso clínico o problema",$A40="Subítem de caso o problema",$A40="Emparejamiento Ampliado",$A40="Opción de Emparejamiento Ampliado"),TRIM($B40)=""),IF(COUNTIF($M40:$O40,"?*")&gt;0,", ","")&amp;"grupo","")</x:f>
      </x:c>
    </x:row>
    <x:row r="41" ht="24" customHeight="1">
      <x:c r="A41" s="292"/>
      <x:c r="B41" s="292"/>
      <x:c r="C41" s="292"/>
      <x:c r="D41" s="292" t="str">
        <x:f>IF($A41="Verdadero o Falso Simple","Verdadero",IF($A41="Respuesta A/B/Ambas/Ninguna","A. Si la primera es verdadera",IF($A41="Verdadero o Falso Complejas","1. ","")))</x:f>
      </x:c>
      <x:c r="E41" s="292" t="str">
        <x:f>IF($A41="Verdadero o Falso Simple","Falso",IF($A41="Respuesta A/B/Ambas/Ninguna","B. Si la segunda es verdadera",IF($A41="Verdadero o Falso Complejas","2. ","")))</x:f>
      </x:c>
      <x:c r="F41" s="292" t="str">
        <x:f>IF($A41="Respuesta A/B/Ambas/Ninguna","C. Si ambas son verdaderas",IF($A41="Verdadero o Falso Complejas","3. ",""))</x:f>
      </x:c>
      <x:c r="G41" s="292" t="str">
        <x:f>IF($A41="Respuesta A/B/Ambas/Ninguna","D. Si ninguna es verdadera",IF($A41="Verdadero o Falso Complejas","4. ",""))</x:f>
      </x:c>
      <x:c r="H41" s="292" t="str">
        <x:f>IF($A41="Verdadero o Falso Simple","",IF($A41="Respuesta A/B/Ambas/Ninguna","",IF($A41="Verdadero o Falso Complejas","","")))</x:f>
      </x:c>
      <x:c r="I41" s="292"/>
      <x:c r="J41" s="292" t="n">
        <x:v>2</x:v>
      </x:c>
      <x:c r="K41" s="292" t="str">
        <x:v>1P</x:v>
      </x:c>
      <x:c r="L41" s="293"/>
      <x:c r="M41" s="289"/>
      <x:c r="N41"/>
      <x:c r="O41"/>
      <x:c r="P41"/>
      <x:c r="Q41" t="str">
        <x:f>IF(TRIM($C41)="","enunciado","")</x:f>
        <x:v>enunciado</x:v>
      </x:c>
      <x:c r="R41" t="str">
        <x:f>IF(TRIM($K41)="",IF(COUNTIF($Q41:$Q41,"?*")&gt;0,", ","")&amp;"parcial","")</x:f>
      </x:c>
      <x:c r="S41" t="str">
        <x:f>IF(AND(TRIM($K41)&lt;&gt;"",TRIM($K41)&lt;&gt;"1P"),IF(COUNTIF($Q41:$R41,"?*")&gt;0,", ","")&amp;"parcial distinto a 1P","")</x:f>
      </x:c>
      <x:c r="T41" t="str">
        <x:f>IF(AND(OR($A41="Ítems agrupados por caso clínico o problema",$A41="Subítem de caso o problema",$A41="Emparejamiento Ampliado",$A41="Opción de Emparejamiento Ampliado"),TRIM($B41)=""),IF(COUNTIF($Q41:$S41,"?*")&gt;0,", ","")&amp;"grupo","")</x:f>
      </x:c>
      <x:c r="U41" t="str">
        <x:f>IF(AND(OR($A41="Verdadero o Falso Simple",$A41="Respuesta A/B/Ambas/Ninguna",$A41="Verdadero o Falso Complejas",$A41="Selección de la mejor respuesta",$A41="Subítem de caso o problema",$A41="Opción de Emparejamiento Ampliado"),TRIM($I41)=""),IF(COUNTIF($Q41:$T41,"?*")&gt;0,", ","")&amp;"respuesta_correcta","")</x:f>
      </x:c>
      <x:c r="V41" t="str">
        <x:f>IF(AND(OR($A41="Verdadero o Falso Simple",$A41="Respuesta A/B/Ambas/Ninguna",$A41="Verdadero o Falso Complejas",$A41="Selección de la mejor respuesta",$A41="Subítem de caso o problema",$A41="Opción de Emparejamiento Ampliado"),TRIM($J41)=""),IF(COUNTIF($Q41:$U41,"?*")&gt;0,", ","")&amp;"dificultad","")</x:f>
      </x:c>
      <x:c r="W41" t="str">
        <x:f>IF(AND(OR($A41="Ítems agrupados por caso clínico o problema",$A41="Emparejamiento Ampliado"),TRIM($I41)&lt;&gt;""),IF(COUNTIF($Q41:$V41,"?*")&gt;0,", ","")&amp;"respuesta debe ir vacia","")</x:f>
      </x:c>
      <x:c r="X41" t="str">
        <x:f>IF(AND(OR($A41="Ítems agrupados por caso clínico o problema",$A41="Emparejamiento Ampliado"),TRIM($J41)&lt;&gt;""),IF(COUNTIF($Q41:$W41,"?*")&gt;0,", ","")&amp;"dificultad debe ir vacia","")</x:f>
      </x:c>
      <x:c r="Y41" t="str">
        <x:f>IF(AND($A41="Verdadero o Falso Simple",OR(COUNTIF($D41:$E41,"?*")&lt;2,COUNTIF($F41:$H41,"?*")&gt;0)),IF(COUNTIF($Q41:$X41,"?*")&gt;0,", ","")&amp;"incisos A-B","")</x:f>
      </x:c>
      <x:c r="Z41" t="str">
        <x:f>IF(AND($A41="Verdadero o Falso Simple",TRIM($I41)&lt;&gt;"",NOT(OR(LEFT(TRIM($I41),1)="A",LEFT(TRIM($I41),1)="B"))),IF(COUNTIF($Q41:$Y41,"?*")&gt;0,", ","")&amp;"respuesta A-B","")</x:f>
      </x:c>
      <x:c r="AA41" t="str">
        <x:f>IF(AND($A41="Respuesta A/B/Ambas/Ninguna",COUNTIF($D41:$G41,"?*")&lt;4),IF(COUNTIF($Q41:$Z41,"?*")&gt;0,", ","")&amp;"opciones A-D","")</x:f>
      </x:c>
      <x:c r="AB41" t="str">
        <x:f>IF(AND($A41="Respuesta A/B/Ambas/Ninguna",COUNTIF($H41:$H41,"?*")&gt;0),IF(COUNTIF($Q41:$AA41,"?*")&gt;0,", ","")&amp;"opcion E deshabilitada","")</x:f>
      </x:c>
      <x:c r="AC41" t="str">
        <x:f>IF(AND($A41="Respuesta A/B/Ambas/Ninguna",TRIM($I41)&lt;&gt;"",NOT(OR(LEFT(TRIM($I41),1)="A",LEFT(TRIM($I41),1)="B",LEFT(TRIM($I41),1)="C",LEFT(TRIM($I41),1)="D"))),IF(COUNTIF($Q41:$AB41,"?*")&gt;0,", ","")&amp;"respuesta A-D","")</x:f>
      </x:c>
      <x:c r="AD41" t="str">
        <x:f>IF(AND($A41="Verdadero o Falso Complejas",OR(LEN(TRIM(SUBSTITUTE($D41,"1.","")))=0,LEN(TRIM(SUBSTITUTE($E41,"2.","")))=0,LEN(TRIM(SUBSTITUTE($F41,"3.","")))=0,LEN(TRIM(SUBSTITUTE($G41,"4.","")))=0)),IF(COUNTIF($Q41:$AC41,"?*")&gt;0,", ","")&amp;"incisos 1-4","")</x:f>
      </x:c>
      <x:c r="AE41" t="str">
        <x:f>IF(AND($A41="Verdadero o Falso Complejas",COUNTIF($H41:$H41,"?*")&gt;0),IF(COUNTIF($Q41:$AD41,"?*")&gt;0,", ","")&amp;"opcion E deshabilitada","")</x:f>
      </x:c>
      <x:c r="AF41" t="str">
        <x:f>IF(AND($A41="Verdadero o Falso Complejas",TRIM($I41)&lt;&gt;"",NOT(OR(LEFT(TRIM($I41),1)="A",LEFT(TRIM($I41),1)="B",LEFT(TRIM($I41),1)="C",LEFT(TRIM($I41),1)="D",LEFT(TRIM($I41),1)="E"))),IF(COUNTIF($Q41:$AE41,"?*")&gt;0,", ","")&amp;"respuesta A-E","")</x:f>
      </x:c>
      <x:c r="AG41" t="str">
        <x:f>IF(AND(OR($A41="Selección de la mejor respuesta",$A41="Subítem de caso o problema"),COUNTIF($D41:$H41,"?*")&lt;5),IF(COUNTIF($Q41:$AF41,"?*")&gt;0,", ","")&amp;"incisos A-E","")</x:f>
      </x:c>
      <x:c r="AH41" t="str">
        <x:f>IF(AND(OR($A41="Selección de la mejor respuesta",$A41="Subítem de caso o problema"),TRIM($I41)&lt;&gt;"",NOT(OR(LEFT(TRIM($I41),1)="A",LEFT(TRIM($I41),1)="B",LEFT(TRIM($I41),1)="C",LEFT(TRIM($I41),1)="D",LEFT(TRIM($I41),1)="E"))),IF(COUNTIF($Q41:$AG41,"?*")&gt;0,", ","")&amp;"respuesta A-E","")</x:f>
      </x:c>
      <x:c r="AI41" t="str">
        <x:f>IF(AND(OR($A41="Ítems agrupados por caso clínico o problema",$A41="Opción de Emparejamiento Ampliado"),COUNTIF($D41:$H41,"?*")&gt;0),IF(COUNTIF($Q41:$AH41,"?*")&gt;0,", ","")&amp;"sin incisos","")</x:f>
      </x:c>
      <x:c r="AJ41" t="str">
        <x:f>IF(AND($A41="Emparejamiento Ampliado",COUNTIF($D41:$H41,"?*")&lt;2),IF(COUNTIF($Q41:$AI41,"?*")&gt;0,", ","")&amp;"minimo 2 claves","")</x:f>
      </x:c>
      <x:c r="AK41" t="str">
        <x:f>IF(AND($A41="Opción de Emparejamiento Ampliado",NOT(OR(LEFT(TRIM($I41),1)="A",LEFT(TRIM($I41),1)="B",LEFT(TRIM($I41),1)="C",LEFT(TRIM($I41),1)="D",LEFT(TRIM($I41),1)="E"))),IF(COUNTIF($Q41:$AJ41,"?*")&gt;0,", ","")&amp;"respuesta A-E","")</x:f>
      </x:c>
      <x:c r="AL41" t="str">
        <x:f>IF(TRIM($K41)="",IF(COUNTIF($M41:$M41,"?*")&gt;0,", ","")&amp;"parcial","")</x:f>
      </x:c>
      <x:c r="AM41" t="str">
        <x:f>IF(AND(TRIM($K41)&lt;&gt;"",TRIM($K41)&lt;&gt;"1P"),IF(COUNTIF($M41:$N41,"?*")&gt;0,", ","")&amp;"parcial distinto a 1P","")</x:f>
      </x:c>
      <x:c r="AN41" t="str">
        <x:f>IF(AND(OR($A41="Ítems agrupados por caso clínico o problema",$A41="Subítem de caso o problema",$A41="Emparejamiento Ampliado",$A41="Opción de Emparejamiento Ampliado"),TRIM($B41)=""),IF(COUNTIF($M41:$O41,"?*")&gt;0,", ","")&amp;"grupo","")</x:f>
      </x:c>
    </x:row>
    <x:row r="42" ht="24" customHeight="1">
      <x:c r="A42" s="292"/>
      <x:c r="B42" s="292"/>
      <x:c r="C42" s="292"/>
      <x:c r="D42" s="292" t="str">
        <x:f>IF($A42="Verdadero o Falso Simple","Verdadero",IF($A42="Respuesta A/B/Ambas/Ninguna","A. Si la primera es verdadera",IF($A42="Verdadero o Falso Complejas","1. ","")))</x:f>
      </x:c>
      <x:c r="E42" s="292" t="str">
        <x:f>IF($A42="Verdadero o Falso Simple","Falso",IF($A42="Respuesta A/B/Ambas/Ninguna","B. Si la segunda es verdadera",IF($A42="Verdadero o Falso Complejas","2. ","")))</x:f>
      </x:c>
      <x:c r="F42" s="292" t="str">
        <x:f>IF($A42="Respuesta A/B/Ambas/Ninguna","C. Si ambas son verdaderas",IF($A42="Verdadero o Falso Complejas","3. ",""))</x:f>
      </x:c>
      <x:c r="G42" s="292" t="str">
        <x:f>IF($A42="Respuesta A/B/Ambas/Ninguna","D. Si ninguna es verdadera",IF($A42="Verdadero o Falso Complejas","4. ",""))</x:f>
      </x:c>
      <x:c r="H42" s="292" t="str">
        <x:f>IF($A42="Verdadero o Falso Simple","",IF($A42="Respuesta A/B/Ambas/Ninguna","",IF($A42="Verdadero o Falso Complejas","","")))</x:f>
      </x:c>
      <x:c r="I42" s="292"/>
      <x:c r="J42" s="292" t="n">
        <x:v>2</x:v>
      </x:c>
      <x:c r="K42" s="292" t="str">
        <x:v>1P</x:v>
      </x:c>
      <x:c r="L42" s="293"/>
      <x:c r="M42" s="289"/>
      <x:c r="N42"/>
      <x:c r="O42"/>
      <x:c r="P42"/>
      <x:c r="Q42" t="str">
        <x:f>IF(TRIM($C42)="","enunciado","")</x:f>
        <x:v>enunciado</x:v>
      </x:c>
      <x:c r="R42" t="str">
        <x:f>IF(TRIM($K42)="",IF(COUNTIF($Q42:$Q42,"?*")&gt;0,", ","")&amp;"parcial","")</x:f>
      </x:c>
      <x:c r="S42" t="str">
        <x:f>IF(AND(TRIM($K42)&lt;&gt;"",TRIM($K42)&lt;&gt;"1P"),IF(COUNTIF($Q42:$R42,"?*")&gt;0,", ","")&amp;"parcial distinto a 1P","")</x:f>
      </x:c>
      <x:c r="T42" t="str">
        <x:f>IF(AND(OR($A42="Ítems agrupados por caso clínico o problema",$A42="Subítem de caso o problema",$A42="Emparejamiento Ampliado",$A42="Opción de Emparejamiento Ampliado"),TRIM($B42)=""),IF(COUNTIF($Q42:$S42,"?*")&gt;0,", ","")&amp;"grupo","")</x:f>
      </x:c>
      <x:c r="U42" t="str">
        <x:f>IF(AND(OR($A42="Verdadero o Falso Simple",$A42="Respuesta A/B/Ambas/Ninguna",$A42="Verdadero o Falso Complejas",$A42="Selección de la mejor respuesta",$A42="Subítem de caso o problema",$A42="Opción de Emparejamiento Ampliado"),TRIM($I42)=""),IF(COUNTIF($Q42:$T42,"?*")&gt;0,", ","")&amp;"respuesta_correcta","")</x:f>
      </x:c>
      <x:c r="V42" t="str">
        <x:f>IF(AND(OR($A42="Verdadero o Falso Simple",$A42="Respuesta A/B/Ambas/Ninguna",$A42="Verdadero o Falso Complejas",$A42="Selección de la mejor respuesta",$A42="Subítem de caso o problema",$A42="Opción de Emparejamiento Ampliado"),TRIM($J42)=""),IF(COUNTIF($Q42:$U42,"?*")&gt;0,", ","")&amp;"dificultad","")</x:f>
      </x:c>
      <x:c r="W42" t="str">
        <x:f>IF(AND(OR($A42="Ítems agrupados por caso clínico o problema",$A42="Emparejamiento Ampliado"),TRIM($I42)&lt;&gt;""),IF(COUNTIF($Q42:$V42,"?*")&gt;0,", ","")&amp;"respuesta debe ir vacia","")</x:f>
      </x:c>
      <x:c r="X42" t="str">
        <x:f>IF(AND(OR($A42="Ítems agrupados por caso clínico o problema",$A42="Emparejamiento Ampliado"),TRIM($J42)&lt;&gt;""),IF(COUNTIF($Q42:$W42,"?*")&gt;0,", ","")&amp;"dificultad debe ir vacia","")</x:f>
      </x:c>
      <x:c r="Y42" t="str">
        <x:f>IF(AND($A42="Verdadero o Falso Simple",OR(COUNTIF($D42:$E42,"?*")&lt;2,COUNTIF($F42:$H42,"?*")&gt;0)),IF(COUNTIF($Q42:$X42,"?*")&gt;0,", ","")&amp;"incisos A-B","")</x:f>
      </x:c>
      <x:c r="Z42" t="str">
        <x:f>IF(AND($A42="Verdadero o Falso Simple",TRIM($I42)&lt;&gt;"",NOT(OR(LEFT(TRIM($I42),1)="A",LEFT(TRIM($I42),1)="B"))),IF(COUNTIF($Q42:$Y42,"?*")&gt;0,", ","")&amp;"respuesta A-B","")</x:f>
      </x:c>
      <x:c r="AA42" t="str">
        <x:f>IF(AND($A42="Respuesta A/B/Ambas/Ninguna",COUNTIF($D42:$G42,"?*")&lt;4),IF(COUNTIF($Q42:$Z42,"?*")&gt;0,", ","")&amp;"opciones A-D","")</x:f>
      </x:c>
      <x:c r="AB42" t="str">
        <x:f>IF(AND($A42="Respuesta A/B/Ambas/Ninguna",COUNTIF($H42:$H42,"?*")&gt;0),IF(COUNTIF($Q42:$AA42,"?*")&gt;0,", ","")&amp;"opcion E deshabilitada","")</x:f>
      </x:c>
      <x:c r="AC42" t="str">
        <x:f>IF(AND($A42="Respuesta A/B/Ambas/Ninguna",TRIM($I42)&lt;&gt;"",NOT(OR(LEFT(TRIM($I42),1)="A",LEFT(TRIM($I42),1)="B",LEFT(TRIM($I42),1)="C",LEFT(TRIM($I42),1)="D"))),IF(COUNTIF($Q42:$AB42,"?*")&gt;0,", ","")&amp;"respuesta A-D","")</x:f>
      </x:c>
      <x:c r="AD42" t="str">
        <x:f>IF(AND($A42="Verdadero o Falso Complejas",OR(LEN(TRIM(SUBSTITUTE($D42,"1.","")))=0,LEN(TRIM(SUBSTITUTE($E42,"2.","")))=0,LEN(TRIM(SUBSTITUTE($F42,"3.","")))=0,LEN(TRIM(SUBSTITUTE($G42,"4.","")))=0)),IF(COUNTIF($Q42:$AC42,"?*")&gt;0,", ","")&amp;"incisos 1-4","")</x:f>
      </x:c>
      <x:c r="AE42" t="str">
        <x:f>IF(AND($A42="Verdadero o Falso Complejas",COUNTIF($H42:$H42,"?*")&gt;0),IF(COUNTIF($Q42:$AD42,"?*")&gt;0,", ","")&amp;"opcion E deshabilitada","")</x:f>
      </x:c>
      <x:c r="AF42" t="str">
        <x:f>IF(AND($A42="Verdadero o Falso Complejas",TRIM($I42)&lt;&gt;"",NOT(OR(LEFT(TRIM($I42),1)="A",LEFT(TRIM($I42),1)="B",LEFT(TRIM($I42),1)="C",LEFT(TRIM($I42),1)="D",LEFT(TRIM($I42),1)="E"))),IF(COUNTIF($Q42:$AE42,"?*")&gt;0,", ","")&amp;"respuesta A-E","")</x:f>
      </x:c>
      <x:c r="AG42" t="str">
        <x:f>IF(AND(OR($A42="Selección de la mejor respuesta",$A42="Subítem de caso o problema"),COUNTIF($D42:$H42,"?*")&lt;5),IF(COUNTIF($Q42:$AF42,"?*")&gt;0,", ","")&amp;"incisos A-E","")</x:f>
      </x:c>
      <x:c r="AH42" t="str">
        <x:f>IF(AND(OR($A42="Selección de la mejor respuesta",$A42="Subítem de caso o problema"),TRIM($I42)&lt;&gt;"",NOT(OR(LEFT(TRIM($I42),1)="A",LEFT(TRIM($I42),1)="B",LEFT(TRIM($I42),1)="C",LEFT(TRIM($I42),1)="D",LEFT(TRIM($I42),1)="E"))),IF(COUNTIF($Q42:$AG42,"?*")&gt;0,", ","")&amp;"respuesta A-E","")</x:f>
      </x:c>
      <x:c r="AI42" t="str">
        <x:f>IF(AND(OR($A42="Ítems agrupados por caso clínico o problema",$A42="Opción de Emparejamiento Ampliado"),COUNTIF($D42:$H42,"?*")&gt;0),IF(COUNTIF($Q42:$AH42,"?*")&gt;0,", ","")&amp;"sin incisos","")</x:f>
      </x:c>
      <x:c r="AJ42" t="str">
        <x:f>IF(AND($A42="Emparejamiento Ampliado",COUNTIF($D42:$H42,"?*")&lt;2),IF(COUNTIF($Q42:$AI42,"?*")&gt;0,", ","")&amp;"minimo 2 claves","")</x:f>
      </x:c>
      <x:c r="AK42" t="str">
        <x:f>IF(AND($A42="Opción de Emparejamiento Ampliado",NOT(OR(LEFT(TRIM($I42),1)="A",LEFT(TRIM($I42),1)="B",LEFT(TRIM($I42),1)="C",LEFT(TRIM($I42),1)="D",LEFT(TRIM($I42),1)="E"))),IF(COUNTIF($Q42:$AJ42,"?*")&gt;0,", ","")&amp;"respuesta A-E","")</x:f>
      </x:c>
      <x:c r="AL42" t="str">
        <x:f>IF(TRIM($K42)="",IF(COUNTIF($M42:$M42,"?*")&gt;0,", ","")&amp;"parcial","")</x:f>
      </x:c>
      <x:c r="AM42" t="str">
        <x:f>IF(AND(TRIM($K42)&lt;&gt;"",TRIM($K42)&lt;&gt;"1P"),IF(COUNTIF($M42:$N42,"?*")&gt;0,", ","")&amp;"parcial distinto a 1P","")</x:f>
      </x:c>
      <x:c r="AN42" t="str">
        <x:f>IF(AND(OR($A42="Ítems agrupados por caso clínico o problema",$A42="Subítem de caso o problema",$A42="Emparejamiento Ampliado",$A42="Opción de Emparejamiento Ampliado"),TRIM($B42)=""),IF(COUNTIF($M42:$O42,"?*")&gt;0,", ","")&amp;"grupo","")</x:f>
      </x:c>
    </x:row>
    <x:row r="43" ht="24" customHeight="1">
      <x:c r="A43" s="292"/>
      <x:c r="B43" s="292"/>
      <x:c r="C43" s="292"/>
      <x:c r="D43" s="292" t="str">
        <x:f>IF($A43="Verdadero o Falso Simple","Verdadero",IF($A43="Respuesta A/B/Ambas/Ninguna","A. Si la primera es verdadera",IF($A43="Verdadero o Falso Complejas","1. ","")))</x:f>
      </x:c>
      <x:c r="E43" s="292" t="str">
        <x:f>IF($A43="Verdadero o Falso Simple","Falso",IF($A43="Respuesta A/B/Ambas/Ninguna","B. Si la segunda es verdadera",IF($A43="Verdadero o Falso Complejas","2. ","")))</x:f>
      </x:c>
      <x:c r="F43" s="292" t="str">
        <x:f>IF($A43="Respuesta A/B/Ambas/Ninguna","C. Si ambas son verdaderas",IF($A43="Verdadero o Falso Complejas","3. ",""))</x:f>
      </x:c>
      <x:c r="G43" s="292" t="str">
        <x:f>IF($A43="Respuesta A/B/Ambas/Ninguna","D. Si ninguna es verdadera",IF($A43="Verdadero o Falso Complejas","4. ",""))</x:f>
      </x:c>
      <x:c r="H43" s="292" t="str">
        <x:f>IF($A43="Verdadero o Falso Simple","",IF($A43="Respuesta A/B/Ambas/Ninguna","",IF($A43="Verdadero o Falso Complejas","","")))</x:f>
      </x:c>
      <x:c r="I43" s="292"/>
      <x:c r="J43" s="292" t="n">
        <x:v>2</x:v>
      </x:c>
      <x:c r="K43" s="292" t="str">
        <x:v>1P</x:v>
      </x:c>
      <x:c r="L43" s="293"/>
      <x:c r="M43" s="289"/>
      <x:c r="N43"/>
      <x:c r="O43"/>
      <x:c r="P43"/>
      <x:c r="Q43" t="str">
        <x:f>IF(TRIM($C43)="","enunciado","")</x:f>
        <x:v>enunciado</x:v>
      </x:c>
      <x:c r="R43" t="str">
        <x:f>IF(TRIM($K43)="",IF(COUNTIF($Q43:$Q43,"?*")&gt;0,", ","")&amp;"parcial","")</x:f>
      </x:c>
      <x:c r="S43" t="str">
        <x:f>IF(AND(TRIM($K43)&lt;&gt;"",TRIM($K43)&lt;&gt;"1P"),IF(COUNTIF($Q43:$R43,"?*")&gt;0,", ","")&amp;"parcial distinto a 1P","")</x:f>
      </x:c>
      <x:c r="T43" t="str">
        <x:f>IF(AND(OR($A43="Ítems agrupados por caso clínico o problema",$A43="Subítem de caso o problema",$A43="Emparejamiento Ampliado",$A43="Opción de Emparejamiento Ampliado"),TRIM($B43)=""),IF(COUNTIF($Q43:$S43,"?*")&gt;0,", ","")&amp;"grupo","")</x:f>
      </x:c>
      <x:c r="U43" t="str">
        <x:f>IF(AND(OR($A43="Verdadero o Falso Simple",$A43="Respuesta A/B/Ambas/Ninguna",$A43="Verdadero o Falso Complejas",$A43="Selección de la mejor respuesta",$A43="Subítem de caso o problema",$A43="Opción de Emparejamiento Ampliado"),TRIM($I43)=""),IF(COUNTIF($Q43:$T43,"?*")&gt;0,", ","")&amp;"respuesta_correcta","")</x:f>
      </x:c>
      <x:c r="V43" t="str">
        <x:f>IF(AND(OR($A43="Verdadero o Falso Simple",$A43="Respuesta A/B/Ambas/Ninguna",$A43="Verdadero o Falso Complejas",$A43="Selección de la mejor respuesta",$A43="Subítem de caso o problema",$A43="Opción de Emparejamiento Ampliado"),TRIM($J43)=""),IF(COUNTIF($Q43:$U43,"?*")&gt;0,", ","")&amp;"dificultad","")</x:f>
      </x:c>
      <x:c r="W43" t="str">
        <x:f>IF(AND(OR($A43="Ítems agrupados por caso clínico o problema",$A43="Emparejamiento Ampliado"),TRIM($I43)&lt;&gt;""),IF(COUNTIF($Q43:$V43,"?*")&gt;0,", ","")&amp;"respuesta debe ir vacia","")</x:f>
      </x:c>
      <x:c r="X43" t="str">
        <x:f>IF(AND(OR($A43="Ítems agrupados por caso clínico o problema",$A43="Emparejamiento Ampliado"),TRIM($J43)&lt;&gt;""),IF(COUNTIF($Q43:$W43,"?*")&gt;0,", ","")&amp;"dificultad debe ir vacia","")</x:f>
      </x:c>
      <x:c r="Y43" t="str">
        <x:f>IF(AND($A43="Verdadero o Falso Simple",OR(COUNTIF($D43:$E43,"?*")&lt;2,COUNTIF($F43:$H43,"?*")&gt;0)),IF(COUNTIF($Q43:$X43,"?*")&gt;0,", ","")&amp;"incisos A-B","")</x:f>
      </x:c>
      <x:c r="Z43" t="str">
        <x:f>IF(AND($A43="Verdadero o Falso Simple",TRIM($I43)&lt;&gt;"",NOT(OR(LEFT(TRIM($I43),1)="A",LEFT(TRIM($I43),1)="B"))),IF(COUNTIF($Q43:$Y43,"?*")&gt;0,", ","")&amp;"respuesta A-B","")</x:f>
      </x:c>
      <x:c r="AA43" t="str">
        <x:f>IF(AND($A43="Respuesta A/B/Ambas/Ninguna",COUNTIF($D43:$G43,"?*")&lt;4),IF(COUNTIF($Q43:$Z43,"?*")&gt;0,", ","")&amp;"opciones A-D","")</x:f>
      </x:c>
      <x:c r="AB43" t="str">
        <x:f>IF(AND($A43="Respuesta A/B/Ambas/Ninguna",COUNTIF($H43:$H43,"?*")&gt;0),IF(COUNTIF($Q43:$AA43,"?*")&gt;0,", ","")&amp;"opcion E deshabilitada","")</x:f>
      </x:c>
      <x:c r="AC43" t="str">
        <x:f>IF(AND($A43="Respuesta A/B/Ambas/Ninguna",TRIM($I43)&lt;&gt;"",NOT(OR(LEFT(TRIM($I43),1)="A",LEFT(TRIM($I43),1)="B",LEFT(TRIM($I43),1)="C",LEFT(TRIM($I43),1)="D"))),IF(COUNTIF($Q43:$AB43,"?*")&gt;0,", ","")&amp;"respuesta A-D","")</x:f>
      </x:c>
      <x:c r="AD43" t="str">
        <x:f>IF(AND($A43="Verdadero o Falso Complejas",OR(LEN(TRIM(SUBSTITUTE($D43,"1.","")))=0,LEN(TRIM(SUBSTITUTE($E43,"2.","")))=0,LEN(TRIM(SUBSTITUTE($F43,"3.","")))=0,LEN(TRIM(SUBSTITUTE($G43,"4.","")))=0)),IF(COUNTIF($Q43:$AC43,"?*")&gt;0,", ","")&amp;"incisos 1-4","")</x:f>
      </x:c>
      <x:c r="AE43" t="str">
        <x:f>IF(AND($A43="Verdadero o Falso Complejas",COUNTIF($H43:$H43,"?*")&gt;0),IF(COUNTIF($Q43:$AD43,"?*")&gt;0,", ","")&amp;"opcion E deshabilitada","")</x:f>
      </x:c>
      <x:c r="AF43" t="str">
        <x:f>IF(AND($A43="Verdadero o Falso Complejas",TRIM($I43)&lt;&gt;"",NOT(OR(LEFT(TRIM($I43),1)="A",LEFT(TRIM($I43),1)="B",LEFT(TRIM($I43),1)="C",LEFT(TRIM($I43),1)="D",LEFT(TRIM($I43),1)="E"))),IF(COUNTIF($Q43:$AE43,"?*")&gt;0,", ","")&amp;"respuesta A-E","")</x:f>
      </x:c>
      <x:c r="AG43" t="str">
        <x:f>IF(AND(OR($A43="Selección de la mejor respuesta",$A43="Subítem de caso o problema"),COUNTIF($D43:$H43,"?*")&lt;5),IF(COUNTIF($Q43:$AF43,"?*")&gt;0,", ","")&amp;"incisos A-E","")</x:f>
      </x:c>
      <x:c r="AH43" t="str">
        <x:f>IF(AND(OR($A43="Selección de la mejor respuesta",$A43="Subítem de caso o problema"),TRIM($I43)&lt;&gt;"",NOT(OR(LEFT(TRIM($I43),1)="A",LEFT(TRIM($I43),1)="B",LEFT(TRIM($I43),1)="C",LEFT(TRIM($I43),1)="D",LEFT(TRIM($I43),1)="E"))),IF(COUNTIF($Q43:$AG43,"?*")&gt;0,", ","")&amp;"respuesta A-E","")</x:f>
      </x:c>
      <x:c r="AI43" t="str">
        <x:f>IF(AND(OR($A43="Ítems agrupados por caso clínico o problema",$A43="Opción de Emparejamiento Ampliado"),COUNTIF($D43:$H43,"?*")&gt;0),IF(COUNTIF($Q43:$AH43,"?*")&gt;0,", ","")&amp;"sin incisos","")</x:f>
      </x:c>
      <x:c r="AJ43" t="str">
        <x:f>IF(AND($A43="Emparejamiento Ampliado",COUNTIF($D43:$H43,"?*")&lt;2),IF(COUNTIF($Q43:$AI43,"?*")&gt;0,", ","")&amp;"minimo 2 claves","")</x:f>
      </x:c>
      <x:c r="AK43" t="str">
        <x:f>IF(AND($A43="Opción de Emparejamiento Ampliado",NOT(OR(LEFT(TRIM($I43),1)="A",LEFT(TRIM($I43),1)="B",LEFT(TRIM($I43),1)="C",LEFT(TRIM($I43),1)="D",LEFT(TRIM($I43),1)="E"))),IF(COUNTIF($Q43:$AJ43,"?*")&gt;0,", ","")&amp;"respuesta A-E","")</x:f>
      </x:c>
      <x:c r="AL43" t="str">
        <x:f>IF(TRIM($K43)="",IF(COUNTIF($M43:$M43,"?*")&gt;0,", ","")&amp;"parcial","")</x:f>
      </x:c>
      <x:c r="AM43" t="str">
        <x:f>IF(AND(TRIM($K43)&lt;&gt;"",TRIM($K43)&lt;&gt;"1P"),IF(COUNTIF($M43:$N43,"?*")&gt;0,", ","")&amp;"parcial distinto a 1P","")</x:f>
      </x:c>
      <x:c r="AN43" t="str">
        <x:f>IF(AND(OR($A43="Ítems agrupados por caso clínico o problema",$A43="Subítem de caso o problema",$A43="Emparejamiento Ampliado",$A43="Opción de Emparejamiento Ampliado"),TRIM($B43)=""),IF(COUNTIF($M43:$O43,"?*")&gt;0,", ","")&amp;"grupo","")</x:f>
      </x:c>
    </x:row>
    <x:row r="44" ht="24" customHeight="1">
      <x:c r="A44" s="292"/>
      <x:c r="B44" s="292"/>
      <x:c r="C44" s="292"/>
      <x:c r="D44" s="292" t="str">
        <x:f>IF($A44="Verdadero o Falso Simple","Verdadero",IF($A44="Respuesta A/B/Ambas/Ninguna","A. Si la primera es verdadera",IF($A44="Verdadero o Falso Complejas","1. ","")))</x:f>
      </x:c>
      <x:c r="E44" s="292" t="str">
        <x:f>IF($A44="Verdadero o Falso Simple","Falso",IF($A44="Respuesta A/B/Ambas/Ninguna","B. Si la segunda es verdadera",IF($A44="Verdadero o Falso Complejas","2. ","")))</x:f>
      </x:c>
      <x:c r="F44" s="292" t="str">
        <x:f>IF($A44="Respuesta A/B/Ambas/Ninguna","C. Si ambas son verdaderas",IF($A44="Verdadero o Falso Complejas","3. ",""))</x:f>
      </x:c>
      <x:c r="G44" s="292" t="str">
        <x:f>IF($A44="Respuesta A/B/Ambas/Ninguna","D. Si ninguna es verdadera",IF($A44="Verdadero o Falso Complejas","4. ",""))</x:f>
      </x:c>
      <x:c r="H44" s="292" t="str">
        <x:f>IF($A44="Verdadero o Falso Simple","",IF($A44="Respuesta A/B/Ambas/Ninguna","",IF($A44="Verdadero o Falso Complejas","","")))</x:f>
      </x:c>
      <x:c r="I44" s="292"/>
      <x:c r="J44" s="292" t="n">
        <x:v>2</x:v>
      </x:c>
      <x:c r="K44" s="292" t="str">
        <x:v>1P</x:v>
      </x:c>
      <x:c r="L44" s="293"/>
      <x:c r="M44" s="289"/>
      <x:c r="N44"/>
      <x:c r="O44"/>
      <x:c r="P44"/>
      <x:c r="Q44" t="str">
        <x:f>IF(TRIM($C44)="","enunciado","")</x:f>
        <x:v>enunciado</x:v>
      </x:c>
      <x:c r="R44" t="str">
        <x:f>IF(TRIM($K44)="",IF(COUNTIF($Q44:$Q44,"?*")&gt;0,", ","")&amp;"parcial","")</x:f>
      </x:c>
      <x:c r="S44" t="str">
        <x:f>IF(AND(TRIM($K44)&lt;&gt;"",TRIM($K44)&lt;&gt;"1P"),IF(COUNTIF($Q44:$R44,"?*")&gt;0,", ","")&amp;"parcial distinto a 1P","")</x:f>
      </x:c>
      <x:c r="T44" t="str">
        <x:f>IF(AND(OR($A44="Ítems agrupados por caso clínico o problema",$A44="Subítem de caso o problema",$A44="Emparejamiento Ampliado",$A44="Opción de Emparejamiento Ampliado"),TRIM($B44)=""),IF(COUNTIF($Q44:$S44,"?*")&gt;0,", ","")&amp;"grupo","")</x:f>
      </x:c>
      <x:c r="U44" t="str">
        <x:f>IF(AND(OR($A44="Verdadero o Falso Simple",$A44="Respuesta A/B/Ambas/Ninguna",$A44="Verdadero o Falso Complejas",$A44="Selección de la mejor respuesta",$A44="Subítem de caso o problema",$A44="Opción de Emparejamiento Ampliado"),TRIM($I44)=""),IF(COUNTIF($Q44:$T44,"?*")&gt;0,", ","")&amp;"respuesta_correcta","")</x:f>
      </x:c>
      <x:c r="V44" t="str">
        <x:f>IF(AND(OR($A44="Verdadero o Falso Simple",$A44="Respuesta A/B/Ambas/Ninguna",$A44="Verdadero o Falso Complejas",$A44="Selección de la mejor respuesta",$A44="Subítem de caso o problema",$A44="Opción de Emparejamiento Ampliado"),TRIM($J44)=""),IF(COUNTIF($Q44:$U44,"?*")&gt;0,", ","")&amp;"dificultad","")</x:f>
      </x:c>
      <x:c r="W44" t="str">
        <x:f>IF(AND(OR($A44="Ítems agrupados por caso clínico o problema",$A44="Emparejamiento Ampliado"),TRIM($I44)&lt;&gt;""),IF(COUNTIF($Q44:$V44,"?*")&gt;0,", ","")&amp;"respuesta debe ir vacia","")</x:f>
      </x:c>
      <x:c r="X44" t="str">
        <x:f>IF(AND(OR($A44="Ítems agrupados por caso clínico o problema",$A44="Emparejamiento Ampliado"),TRIM($J44)&lt;&gt;""),IF(COUNTIF($Q44:$W44,"?*")&gt;0,", ","")&amp;"dificultad debe ir vacia","")</x:f>
      </x:c>
      <x:c r="Y44" t="str">
        <x:f>IF(AND($A44="Verdadero o Falso Simple",OR(COUNTIF($D44:$E44,"?*")&lt;2,COUNTIF($F44:$H44,"?*")&gt;0)),IF(COUNTIF($Q44:$X44,"?*")&gt;0,", ","")&amp;"incisos A-B","")</x:f>
      </x:c>
      <x:c r="Z44" t="str">
        <x:f>IF(AND($A44="Verdadero o Falso Simple",TRIM($I44)&lt;&gt;"",NOT(OR(LEFT(TRIM($I44),1)="A",LEFT(TRIM($I44),1)="B"))),IF(COUNTIF($Q44:$Y44,"?*")&gt;0,", ","")&amp;"respuesta A-B","")</x:f>
      </x:c>
      <x:c r="AA44" t="str">
        <x:f>IF(AND($A44="Respuesta A/B/Ambas/Ninguna",COUNTIF($D44:$G44,"?*")&lt;4),IF(COUNTIF($Q44:$Z44,"?*")&gt;0,", ","")&amp;"opciones A-D","")</x:f>
      </x:c>
      <x:c r="AB44" t="str">
        <x:f>IF(AND($A44="Respuesta A/B/Ambas/Ninguna",COUNTIF($H44:$H44,"?*")&gt;0),IF(COUNTIF($Q44:$AA44,"?*")&gt;0,", ","")&amp;"opcion E deshabilitada","")</x:f>
      </x:c>
      <x:c r="AC44" t="str">
        <x:f>IF(AND($A44="Respuesta A/B/Ambas/Ninguna",TRIM($I44)&lt;&gt;"",NOT(OR(LEFT(TRIM($I44),1)="A",LEFT(TRIM($I44),1)="B",LEFT(TRIM($I44),1)="C",LEFT(TRIM($I44),1)="D"))),IF(COUNTIF($Q44:$AB44,"?*")&gt;0,", ","")&amp;"respuesta A-D","")</x:f>
      </x:c>
      <x:c r="AD44" t="str">
        <x:f>IF(AND($A44="Verdadero o Falso Complejas",OR(LEN(TRIM(SUBSTITUTE($D44,"1.","")))=0,LEN(TRIM(SUBSTITUTE($E44,"2.","")))=0,LEN(TRIM(SUBSTITUTE($F44,"3.","")))=0,LEN(TRIM(SUBSTITUTE($G44,"4.","")))=0)),IF(COUNTIF($Q44:$AC44,"?*")&gt;0,", ","")&amp;"incisos 1-4","")</x:f>
      </x:c>
      <x:c r="AE44" t="str">
        <x:f>IF(AND($A44="Verdadero o Falso Complejas",COUNTIF($H44:$H44,"?*")&gt;0),IF(COUNTIF($Q44:$AD44,"?*")&gt;0,", ","")&amp;"opcion E deshabilitada","")</x:f>
      </x:c>
      <x:c r="AF44" t="str">
        <x:f>IF(AND($A44="Verdadero o Falso Complejas",TRIM($I44)&lt;&gt;"",NOT(OR(LEFT(TRIM($I44),1)="A",LEFT(TRIM($I44),1)="B",LEFT(TRIM($I44),1)="C",LEFT(TRIM($I44),1)="D",LEFT(TRIM($I44),1)="E"))),IF(COUNTIF($Q44:$AE44,"?*")&gt;0,", ","")&amp;"respuesta A-E","")</x:f>
      </x:c>
      <x:c r="AG44" t="str">
        <x:f>IF(AND(OR($A44="Selección de la mejor respuesta",$A44="Subítem de caso o problema"),COUNTIF($D44:$H44,"?*")&lt;5),IF(COUNTIF($Q44:$AF44,"?*")&gt;0,", ","")&amp;"incisos A-E","")</x:f>
      </x:c>
      <x:c r="AH44" t="str">
        <x:f>IF(AND(OR($A44="Selección de la mejor respuesta",$A44="Subítem de caso o problema"),TRIM($I44)&lt;&gt;"",NOT(OR(LEFT(TRIM($I44),1)="A",LEFT(TRIM($I44),1)="B",LEFT(TRIM($I44),1)="C",LEFT(TRIM($I44),1)="D",LEFT(TRIM($I44),1)="E"))),IF(COUNTIF($Q44:$AG44,"?*")&gt;0,", ","")&amp;"respuesta A-E","")</x:f>
      </x:c>
      <x:c r="AI44" t="str">
        <x:f>IF(AND(OR($A44="Ítems agrupados por caso clínico o problema",$A44="Opción de Emparejamiento Ampliado"),COUNTIF($D44:$H44,"?*")&gt;0),IF(COUNTIF($Q44:$AH44,"?*")&gt;0,", ","")&amp;"sin incisos","")</x:f>
      </x:c>
      <x:c r="AJ44" t="str">
        <x:f>IF(AND($A44="Emparejamiento Ampliado",COUNTIF($D44:$H44,"?*")&lt;2),IF(COUNTIF($Q44:$AI44,"?*")&gt;0,", ","")&amp;"minimo 2 claves","")</x:f>
      </x:c>
      <x:c r="AK44" t="str">
        <x:f>IF(AND($A44="Opción de Emparejamiento Ampliado",NOT(OR(LEFT(TRIM($I44),1)="A",LEFT(TRIM($I44),1)="B",LEFT(TRIM($I44),1)="C",LEFT(TRIM($I44),1)="D",LEFT(TRIM($I44),1)="E"))),IF(COUNTIF($Q44:$AJ44,"?*")&gt;0,", ","")&amp;"respuesta A-E","")</x:f>
      </x:c>
      <x:c r="AL44" t="str">
        <x:f>IF(TRIM($K44)="",IF(COUNTIF($M44:$M44,"?*")&gt;0,", ","")&amp;"parcial","")</x:f>
      </x:c>
      <x:c r="AM44" t="str">
        <x:f>IF(AND(TRIM($K44)&lt;&gt;"",TRIM($K44)&lt;&gt;"1P"),IF(COUNTIF($M44:$N44,"?*")&gt;0,", ","")&amp;"parcial distinto a 1P","")</x:f>
      </x:c>
      <x:c r="AN44" t="str">
        <x:f>IF(AND(OR($A44="Ítems agrupados por caso clínico o problema",$A44="Subítem de caso o problema",$A44="Emparejamiento Ampliado",$A44="Opción de Emparejamiento Ampliado"),TRIM($B44)=""),IF(COUNTIF($M44:$O44,"?*")&gt;0,", ","")&amp;"grupo","")</x:f>
      </x:c>
    </x:row>
    <x:row r="45" ht="24" customHeight="1">
      <x:c r="A45" s="292"/>
      <x:c r="B45" s="292"/>
      <x:c r="C45" s="292"/>
      <x:c r="D45" s="292" t="str">
        <x:f>IF($A45="Verdadero o Falso Simple","Verdadero",IF($A45="Respuesta A/B/Ambas/Ninguna","A. Si la primera es verdadera",IF($A45="Verdadero o Falso Complejas","1. ","")))</x:f>
      </x:c>
      <x:c r="E45" s="292" t="str">
        <x:f>IF($A45="Verdadero o Falso Simple","Falso",IF($A45="Respuesta A/B/Ambas/Ninguna","B. Si la segunda es verdadera",IF($A45="Verdadero o Falso Complejas","2. ","")))</x:f>
      </x:c>
      <x:c r="F45" s="292" t="str">
        <x:f>IF($A45="Respuesta A/B/Ambas/Ninguna","C. Si ambas son verdaderas",IF($A45="Verdadero o Falso Complejas","3. ",""))</x:f>
      </x:c>
      <x:c r="G45" s="292" t="str">
        <x:f>IF($A45="Respuesta A/B/Ambas/Ninguna","D. Si ninguna es verdadera",IF($A45="Verdadero o Falso Complejas","4. ",""))</x:f>
      </x:c>
      <x:c r="H45" s="292" t="str">
        <x:f>IF($A45="Verdadero o Falso Simple","",IF($A45="Respuesta A/B/Ambas/Ninguna","",IF($A45="Verdadero o Falso Complejas","","")))</x:f>
      </x:c>
      <x:c r="I45" s="292"/>
      <x:c r="J45" s="292" t="n">
        <x:v>2</x:v>
      </x:c>
      <x:c r="K45" s="292" t="str">
        <x:v>1P</x:v>
      </x:c>
      <x:c r="L45" s="293"/>
      <x:c r="M45" s="289"/>
      <x:c r="N45"/>
      <x:c r="O45"/>
      <x:c r="P45"/>
      <x:c r="Q45" t="str">
        <x:f>IF(TRIM($C45)="","enunciado","")</x:f>
        <x:v>enunciado</x:v>
      </x:c>
      <x:c r="R45" t="str">
        <x:f>IF(TRIM($K45)="",IF(COUNTIF($Q45:$Q45,"?*")&gt;0,", ","")&amp;"parcial","")</x:f>
      </x:c>
      <x:c r="S45" t="str">
        <x:f>IF(AND(TRIM($K45)&lt;&gt;"",TRIM($K45)&lt;&gt;"1P"),IF(COUNTIF($Q45:$R45,"?*")&gt;0,", ","")&amp;"parcial distinto a 1P","")</x:f>
      </x:c>
      <x:c r="T45" t="str">
        <x:f>IF(AND(OR($A45="Ítems agrupados por caso clínico o problema",$A45="Subítem de caso o problema",$A45="Emparejamiento Ampliado",$A45="Opción de Emparejamiento Ampliado"),TRIM($B45)=""),IF(COUNTIF($Q45:$S45,"?*")&gt;0,", ","")&amp;"grupo","")</x:f>
      </x:c>
      <x:c r="U45" t="str">
        <x:f>IF(AND(OR($A45="Verdadero o Falso Simple",$A45="Respuesta A/B/Ambas/Ninguna",$A45="Verdadero o Falso Complejas",$A45="Selección de la mejor respuesta",$A45="Subítem de caso o problema",$A45="Opción de Emparejamiento Ampliado"),TRIM($I45)=""),IF(COUNTIF($Q45:$T45,"?*")&gt;0,", ","")&amp;"respuesta_correcta","")</x:f>
      </x:c>
      <x:c r="V45" t="str">
        <x:f>IF(AND(OR($A45="Verdadero o Falso Simple",$A45="Respuesta A/B/Ambas/Ninguna",$A45="Verdadero o Falso Complejas",$A45="Selección de la mejor respuesta",$A45="Subítem de caso o problema",$A45="Opción de Emparejamiento Ampliado"),TRIM($J45)=""),IF(COUNTIF($Q45:$U45,"?*")&gt;0,", ","")&amp;"dificultad","")</x:f>
      </x:c>
      <x:c r="W45" t="str">
        <x:f>IF(AND(OR($A45="Ítems agrupados por caso clínico o problema",$A45="Emparejamiento Ampliado"),TRIM($I45)&lt;&gt;""),IF(COUNTIF($Q45:$V45,"?*")&gt;0,", ","")&amp;"respuesta debe ir vacia","")</x:f>
      </x:c>
      <x:c r="X45" t="str">
        <x:f>IF(AND(OR($A45="Ítems agrupados por caso clínico o problema",$A45="Emparejamiento Ampliado"),TRIM($J45)&lt;&gt;""),IF(COUNTIF($Q45:$W45,"?*")&gt;0,", ","")&amp;"dificultad debe ir vacia","")</x:f>
      </x:c>
      <x:c r="Y45" t="str">
        <x:f>IF(AND($A45="Verdadero o Falso Simple",OR(COUNTIF($D45:$E45,"?*")&lt;2,COUNTIF($F45:$H45,"?*")&gt;0)),IF(COUNTIF($Q45:$X45,"?*")&gt;0,", ","")&amp;"incisos A-B","")</x:f>
      </x:c>
      <x:c r="Z45" t="str">
        <x:f>IF(AND($A45="Verdadero o Falso Simple",TRIM($I45)&lt;&gt;"",NOT(OR(LEFT(TRIM($I45),1)="A",LEFT(TRIM($I45),1)="B"))),IF(COUNTIF($Q45:$Y45,"?*")&gt;0,", ","")&amp;"respuesta A-B","")</x:f>
      </x:c>
      <x:c r="AA45" t="str">
        <x:f>IF(AND($A45="Respuesta A/B/Ambas/Ninguna",COUNTIF($D45:$G45,"?*")&lt;4),IF(COUNTIF($Q45:$Z45,"?*")&gt;0,", ","")&amp;"opciones A-D","")</x:f>
      </x:c>
      <x:c r="AB45" t="str">
        <x:f>IF(AND($A45="Respuesta A/B/Ambas/Ninguna",COUNTIF($H45:$H45,"?*")&gt;0),IF(COUNTIF($Q45:$AA45,"?*")&gt;0,", ","")&amp;"opcion E deshabilitada","")</x:f>
      </x:c>
      <x:c r="AC45" t="str">
        <x:f>IF(AND($A45="Respuesta A/B/Ambas/Ninguna",TRIM($I45)&lt;&gt;"",NOT(OR(LEFT(TRIM($I45),1)="A",LEFT(TRIM($I45),1)="B",LEFT(TRIM($I45),1)="C",LEFT(TRIM($I45),1)="D"))),IF(COUNTIF($Q45:$AB45,"?*")&gt;0,", ","")&amp;"respuesta A-D","")</x:f>
      </x:c>
      <x:c r="AD45" t="str">
        <x:f>IF(AND($A45="Verdadero o Falso Complejas",OR(LEN(TRIM(SUBSTITUTE($D45,"1.","")))=0,LEN(TRIM(SUBSTITUTE($E45,"2.","")))=0,LEN(TRIM(SUBSTITUTE($F45,"3.","")))=0,LEN(TRIM(SUBSTITUTE($G45,"4.","")))=0)),IF(COUNTIF($Q45:$AC45,"?*")&gt;0,", ","")&amp;"incisos 1-4","")</x:f>
      </x:c>
      <x:c r="AE45" t="str">
        <x:f>IF(AND($A45="Verdadero o Falso Complejas",COUNTIF($H45:$H45,"?*")&gt;0),IF(COUNTIF($Q45:$AD45,"?*")&gt;0,", ","")&amp;"opcion E deshabilitada","")</x:f>
      </x:c>
      <x:c r="AF45" t="str">
        <x:f>IF(AND($A45="Verdadero o Falso Complejas",TRIM($I45)&lt;&gt;"",NOT(OR(LEFT(TRIM($I45),1)="A",LEFT(TRIM($I45),1)="B",LEFT(TRIM($I45),1)="C",LEFT(TRIM($I45),1)="D",LEFT(TRIM($I45),1)="E"))),IF(COUNTIF($Q45:$AE45,"?*")&gt;0,", ","")&amp;"respuesta A-E","")</x:f>
      </x:c>
      <x:c r="AG45" t="str">
        <x:f>IF(AND(OR($A45="Selección de la mejor respuesta",$A45="Subítem de caso o problema"),COUNTIF($D45:$H45,"?*")&lt;5),IF(COUNTIF($Q45:$AF45,"?*")&gt;0,", ","")&amp;"incisos A-E","")</x:f>
      </x:c>
      <x:c r="AH45" t="str">
        <x:f>IF(AND(OR($A45="Selección de la mejor respuesta",$A45="Subítem de caso o problema"),TRIM($I45)&lt;&gt;"",NOT(OR(LEFT(TRIM($I45),1)="A",LEFT(TRIM($I45),1)="B",LEFT(TRIM($I45),1)="C",LEFT(TRIM($I45),1)="D",LEFT(TRIM($I45),1)="E"))),IF(COUNTIF($Q45:$AG45,"?*")&gt;0,", ","")&amp;"respuesta A-E","")</x:f>
      </x:c>
      <x:c r="AI45" t="str">
        <x:f>IF(AND(OR($A45="Ítems agrupados por caso clínico o problema",$A45="Opción de Emparejamiento Ampliado"),COUNTIF($D45:$H45,"?*")&gt;0),IF(COUNTIF($Q45:$AH45,"?*")&gt;0,", ","")&amp;"sin incisos","")</x:f>
      </x:c>
      <x:c r="AJ45" t="str">
        <x:f>IF(AND($A45="Emparejamiento Ampliado",COUNTIF($D45:$H45,"?*")&lt;2),IF(COUNTIF($Q45:$AI45,"?*")&gt;0,", ","")&amp;"minimo 2 claves","")</x:f>
      </x:c>
      <x:c r="AK45" t="str">
        <x:f>IF(AND($A45="Opción de Emparejamiento Ampliado",NOT(OR(LEFT(TRIM($I45),1)="A",LEFT(TRIM($I45),1)="B",LEFT(TRIM($I45),1)="C",LEFT(TRIM($I45),1)="D",LEFT(TRIM($I45),1)="E"))),IF(COUNTIF($Q45:$AJ45,"?*")&gt;0,", ","")&amp;"respuesta A-E","")</x:f>
      </x:c>
      <x:c r="AL45" t="str">
        <x:f>IF(TRIM($K45)="",IF(COUNTIF($M45:$M45,"?*")&gt;0,", ","")&amp;"parcial","")</x:f>
      </x:c>
      <x:c r="AM45" t="str">
        <x:f>IF(AND(TRIM($K45)&lt;&gt;"",TRIM($K45)&lt;&gt;"1P"),IF(COUNTIF($M45:$N45,"?*")&gt;0,", ","")&amp;"parcial distinto a 1P","")</x:f>
      </x:c>
      <x:c r="AN45" t="str">
        <x:f>IF(AND(OR($A45="Ítems agrupados por caso clínico o problema",$A45="Subítem de caso o problema",$A45="Emparejamiento Ampliado",$A45="Opción de Emparejamiento Ampliado"),TRIM($B45)=""),IF(COUNTIF($M45:$O45,"?*")&gt;0,", ","")&amp;"grupo","")</x:f>
      </x:c>
    </x:row>
    <x:row r="46" ht="24" customHeight="1">
      <x:c r="A46" s="292"/>
      <x:c r="B46" s="292"/>
      <x:c r="C46" s="292"/>
      <x:c r="D46" s="292" t="str">
        <x:f>IF($A46="Verdadero o Falso Simple","Verdadero",IF($A46="Respuesta A/B/Ambas/Ninguna","A. Si la primera es verdadera",IF($A46="Verdadero o Falso Complejas","1. ","")))</x:f>
      </x:c>
      <x:c r="E46" s="292" t="str">
        <x:f>IF($A46="Verdadero o Falso Simple","Falso",IF($A46="Respuesta A/B/Ambas/Ninguna","B. Si la segunda es verdadera",IF($A46="Verdadero o Falso Complejas","2. ","")))</x:f>
      </x:c>
      <x:c r="F46" s="292" t="str">
        <x:f>IF($A46="Respuesta A/B/Ambas/Ninguna","C. Si ambas son verdaderas",IF($A46="Verdadero o Falso Complejas","3. ",""))</x:f>
      </x:c>
      <x:c r="G46" s="292" t="str">
        <x:f>IF($A46="Respuesta A/B/Ambas/Ninguna","D. Si ninguna es verdadera",IF($A46="Verdadero o Falso Complejas","4. ",""))</x:f>
      </x:c>
      <x:c r="H46" s="292" t="str">
        <x:f>IF($A46="Verdadero o Falso Simple","",IF($A46="Respuesta A/B/Ambas/Ninguna","",IF($A46="Verdadero o Falso Complejas","","")))</x:f>
      </x:c>
      <x:c r="I46" s="292"/>
      <x:c r="J46" s="292" t="n">
        <x:v>2</x:v>
      </x:c>
      <x:c r="K46" s="292" t="str">
        <x:v>1P</x:v>
      </x:c>
      <x:c r="L46" s="293"/>
      <x:c r="M46" s="289"/>
      <x:c r="N46"/>
      <x:c r="O46"/>
      <x:c r="P46"/>
      <x:c r="Q46" t="str">
        <x:f>IF(TRIM($C46)="","enunciado","")</x:f>
        <x:v>enunciado</x:v>
      </x:c>
      <x:c r="R46" t="str">
        <x:f>IF(TRIM($K46)="",IF(COUNTIF($Q46:$Q46,"?*")&gt;0,", ","")&amp;"parcial","")</x:f>
      </x:c>
      <x:c r="S46" t="str">
        <x:f>IF(AND(TRIM($K46)&lt;&gt;"",TRIM($K46)&lt;&gt;"1P"),IF(COUNTIF($Q46:$R46,"?*")&gt;0,", ","")&amp;"parcial distinto a 1P","")</x:f>
      </x:c>
      <x:c r="T46" t="str">
        <x:f>IF(AND(OR($A46="Ítems agrupados por caso clínico o problema",$A46="Subítem de caso o problema",$A46="Emparejamiento Ampliado",$A46="Opción de Emparejamiento Ampliado"),TRIM($B46)=""),IF(COUNTIF($Q46:$S46,"?*")&gt;0,", ","")&amp;"grupo","")</x:f>
      </x:c>
      <x:c r="U46" t="str">
        <x:f>IF(AND(OR($A46="Verdadero o Falso Simple",$A46="Respuesta A/B/Ambas/Ninguna",$A46="Verdadero o Falso Complejas",$A46="Selección de la mejor respuesta",$A46="Subítem de caso o problema",$A46="Opción de Emparejamiento Ampliado"),TRIM($I46)=""),IF(COUNTIF($Q46:$T46,"?*")&gt;0,", ","")&amp;"respuesta_correcta","")</x:f>
      </x:c>
      <x:c r="V46" t="str">
        <x:f>IF(AND(OR($A46="Verdadero o Falso Simple",$A46="Respuesta A/B/Ambas/Ninguna",$A46="Verdadero o Falso Complejas",$A46="Selección de la mejor respuesta",$A46="Subítem de caso o problema",$A46="Opción de Emparejamiento Ampliado"),TRIM($J46)=""),IF(COUNTIF($Q46:$U46,"?*")&gt;0,", ","")&amp;"dificultad","")</x:f>
      </x:c>
      <x:c r="W46" t="str">
        <x:f>IF(AND(OR($A46="Ítems agrupados por caso clínico o problema",$A46="Emparejamiento Ampliado"),TRIM($I46)&lt;&gt;""),IF(COUNTIF($Q46:$V46,"?*")&gt;0,", ","")&amp;"respuesta debe ir vacia","")</x:f>
      </x:c>
      <x:c r="X46" t="str">
        <x:f>IF(AND(OR($A46="Ítems agrupados por caso clínico o problema",$A46="Emparejamiento Ampliado"),TRIM($J46)&lt;&gt;""),IF(COUNTIF($Q46:$W46,"?*")&gt;0,", ","")&amp;"dificultad debe ir vacia","")</x:f>
      </x:c>
      <x:c r="Y46" t="str">
        <x:f>IF(AND($A46="Verdadero o Falso Simple",OR(COUNTIF($D46:$E46,"?*")&lt;2,COUNTIF($F46:$H46,"?*")&gt;0)),IF(COUNTIF($Q46:$X46,"?*")&gt;0,", ","")&amp;"incisos A-B","")</x:f>
      </x:c>
      <x:c r="Z46" t="str">
        <x:f>IF(AND($A46="Verdadero o Falso Simple",TRIM($I46)&lt;&gt;"",NOT(OR(LEFT(TRIM($I46),1)="A",LEFT(TRIM($I46),1)="B"))),IF(COUNTIF($Q46:$Y46,"?*")&gt;0,", ","")&amp;"respuesta A-B","")</x:f>
      </x:c>
      <x:c r="AA46" t="str">
        <x:f>IF(AND($A46="Respuesta A/B/Ambas/Ninguna",COUNTIF($D46:$G46,"?*")&lt;4),IF(COUNTIF($Q46:$Z46,"?*")&gt;0,", ","")&amp;"opciones A-D","")</x:f>
      </x:c>
      <x:c r="AB46" t="str">
        <x:f>IF(AND($A46="Respuesta A/B/Ambas/Ninguna",COUNTIF($H46:$H46,"?*")&gt;0),IF(COUNTIF($Q46:$AA46,"?*")&gt;0,", ","")&amp;"opcion E deshabilitada","")</x:f>
      </x:c>
      <x:c r="AC46" t="str">
        <x:f>IF(AND($A46="Respuesta A/B/Ambas/Ninguna",TRIM($I46)&lt;&gt;"",NOT(OR(LEFT(TRIM($I46),1)="A",LEFT(TRIM($I46),1)="B",LEFT(TRIM($I46),1)="C",LEFT(TRIM($I46),1)="D"))),IF(COUNTIF($Q46:$AB46,"?*")&gt;0,", ","")&amp;"respuesta A-D","")</x:f>
      </x:c>
      <x:c r="AD46" t="str">
        <x:f>IF(AND($A46="Verdadero o Falso Complejas",OR(LEN(TRIM(SUBSTITUTE($D46,"1.","")))=0,LEN(TRIM(SUBSTITUTE($E46,"2.","")))=0,LEN(TRIM(SUBSTITUTE($F46,"3.","")))=0,LEN(TRIM(SUBSTITUTE($G46,"4.","")))=0)),IF(COUNTIF($Q46:$AC46,"?*")&gt;0,", ","")&amp;"incisos 1-4","")</x:f>
      </x:c>
      <x:c r="AE46" t="str">
        <x:f>IF(AND($A46="Verdadero o Falso Complejas",COUNTIF($H46:$H46,"?*")&gt;0),IF(COUNTIF($Q46:$AD46,"?*")&gt;0,", ","")&amp;"opcion E deshabilitada","")</x:f>
      </x:c>
      <x:c r="AF46" t="str">
        <x:f>IF(AND($A46="Verdadero o Falso Complejas",TRIM($I46)&lt;&gt;"",NOT(OR(LEFT(TRIM($I46),1)="A",LEFT(TRIM($I46),1)="B",LEFT(TRIM($I46),1)="C",LEFT(TRIM($I46),1)="D",LEFT(TRIM($I46),1)="E"))),IF(COUNTIF($Q46:$AE46,"?*")&gt;0,", ","")&amp;"respuesta A-E","")</x:f>
      </x:c>
      <x:c r="AG46" t="str">
        <x:f>IF(AND(OR($A46="Selección de la mejor respuesta",$A46="Subítem de caso o problema"),COUNTIF($D46:$H46,"?*")&lt;5),IF(COUNTIF($Q46:$AF46,"?*")&gt;0,", ","")&amp;"incisos A-E","")</x:f>
      </x:c>
      <x:c r="AH46" t="str">
        <x:f>IF(AND(OR($A46="Selección de la mejor respuesta",$A46="Subítem de caso o problema"),TRIM($I46)&lt;&gt;"",NOT(OR(LEFT(TRIM($I46),1)="A",LEFT(TRIM($I46),1)="B",LEFT(TRIM($I46),1)="C",LEFT(TRIM($I46),1)="D",LEFT(TRIM($I46),1)="E"))),IF(COUNTIF($Q46:$AG46,"?*")&gt;0,", ","")&amp;"respuesta A-E","")</x:f>
      </x:c>
      <x:c r="AI46" t="str">
        <x:f>IF(AND(OR($A46="Ítems agrupados por caso clínico o problema",$A46="Opción de Emparejamiento Ampliado"),COUNTIF($D46:$H46,"?*")&gt;0),IF(COUNTIF($Q46:$AH46,"?*")&gt;0,", ","")&amp;"sin incisos","")</x:f>
      </x:c>
      <x:c r="AJ46" t="str">
        <x:f>IF(AND($A46="Emparejamiento Ampliado",COUNTIF($D46:$H46,"?*")&lt;2),IF(COUNTIF($Q46:$AI46,"?*")&gt;0,", ","")&amp;"minimo 2 claves","")</x:f>
      </x:c>
      <x:c r="AK46" t="str">
        <x:f>IF(AND($A46="Opción de Emparejamiento Ampliado",NOT(OR(LEFT(TRIM($I46),1)="A",LEFT(TRIM($I46),1)="B",LEFT(TRIM($I46),1)="C",LEFT(TRIM($I46),1)="D",LEFT(TRIM($I46),1)="E"))),IF(COUNTIF($Q46:$AJ46,"?*")&gt;0,", ","")&amp;"respuesta A-E","")</x:f>
      </x:c>
      <x:c r="AL46" t="str">
        <x:f>IF(TRIM($K46)="",IF(COUNTIF($M46:$M46,"?*")&gt;0,", ","")&amp;"parcial","")</x:f>
      </x:c>
      <x:c r="AM46" t="str">
        <x:f>IF(AND(TRIM($K46)&lt;&gt;"",TRIM($K46)&lt;&gt;"1P"),IF(COUNTIF($M46:$N46,"?*")&gt;0,", ","")&amp;"parcial distinto a 1P","")</x:f>
      </x:c>
      <x:c r="AN46" t="str">
        <x:f>IF(AND(OR($A46="Ítems agrupados por caso clínico o problema",$A46="Subítem de caso o problema",$A46="Emparejamiento Ampliado",$A46="Opción de Emparejamiento Ampliado"),TRIM($B46)=""),IF(COUNTIF($M46:$O46,"?*")&gt;0,", ","")&amp;"grupo","")</x:f>
      </x:c>
    </x:row>
    <x:row r="47" ht="24" customHeight="1">
      <x:c r="A47" s="294"/>
      <x:c r="B47" s="294"/>
      <x:c r="C47" s="294"/>
      <x:c r="D47" s="294" t="str">
        <x:f>IF($A47="Verdadero o Falso Simple","Verdadero",IF($A47="Respuesta A/B/Ambas/Ninguna","A. Si la primera es verdadera",IF($A47="Verdadero o Falso Complejas","1. ","")))</x:f>
      </x:c>
      <x:c r="E47" s="294" t="str">
        <x:f>IF($A47="Verdadero o Falso Simple","Falso",IF($A47="Respuesta A/B/Ambas/Ninguna","B. Si la segunda es verdadera",IF($A47="Verdadero o Falso Complejas","2. ","")))</x:f>
      </x:c>
      <x:c r="F47" s="294" t="str">
        <x:f>IF($A47="Respuesta A/B/Ambas/Ninguna","C. Si ambas son verdaderas",IF($A47="Verdadero o Falso Complejas","3. ",""))</x:f>
      </x:c>
      <x:c r="G47" s="294" t="str">
        <x:f>IF($A47="Respuesta A/B/Ambas/Ninguna","D. Si ninguna es verdadera",IF($A47="Verdadero o Falso Complejas","4. ",""))</x:f>
      </x:c>
      <x:c r="H47" s="294" t="str">
        <x:f>IF($A47="Verdadero o Falso Simple","",IF($A47="Respuesta A/B/Ambas/Ninguna","",IF($A47="Verdadero o Falso Complejas","","")))</x:f>
      </x:c>
      <x:c r="I47" s="294"/>
      <x:c r="J47" s="294" t="n">
        <x:v>3</x:v>
      </x:c>
      <x:c r="K47" s="294" t="str">
        <x:v>1P</x:v>
      </x:c>
      <x:c r="L47" s="295"/>
      <x:c r="M47" s="289"/>
      <x:c r="N47"/>
      <x:c r="O47"/>
      <x:c r="P47"/>
      <x:c r="Q47" t="str">
        <x:f>IF(TRIM($C47)="","enunciado","")</x:f>
        <x:v>enunciado</x:v>
      </x:c>
      <x:c r="R47" t="str">
        <x:f>IF(TRIM($K47)="",IF(COUNTIF($Q47:$Q47,"?*")&gt;0,", ","")&amp;"parcial","")</x:f>
      </x:c>
      <x:c r="S47" t="str">
        <x:f>IF(AND(TRIM($K47)&lt;&gt;"",TRIM($K47)&lt;&gt;"1P"),IF(COUNTIF($Q47:$R47,"?*")&gt;0,", ","")&amp;"parcial distinto a 1P","")</x:f>
      </x:c>
      <x:c r="T47" t="str">
        <x:f>IF(AND(OR($A47="Ítems agrupados por caso clínico o problema",$A47="Subítem de caso o problema",$A47="Emparejamiento Ampliado",$A47="Opción de Emparejamiento Ampliado"),TRIM($B47)=""),IF(COUNTIF($Q47:$S47,"?*")&gt;0,", ","")&amp;"grupo","")</x:f>
      </x:c>
      <x:c r="U47" t="str">
        <x:f>IF(AND(OR($A47="Verdadero o Falso Simple",$A47="Respuesta A/B/Ambas/Ninguna",$A47="Verdadero o Falso Complejas",$A47="Selección de la mejor respuesta",$A47="Subítem de caso o problema",$A47="Opción de Emparejamiento Ampliado"),TRIM($I47)=""),IF(COUNTIF($Q47:$T47,"?*")&gt;0,", ","")&amp;"respuesta_correcta","")</x:f>
      </x:c>
      <x:c r="V47" t="str">
        <x:f>IF(AND(OR($A47="Verdadero o Falso Simple",$A47="Respuesta A/B/Ambas/Ninguna",$A47="Verdadero o Falso Complejas",$A47="Selección de la mejor respuesta",$A47="Subítem de caso o problema",$A47="Opción de Emparejamiento Ampliado"),TRIM($J47)=""),IF(COUNTIF($Q47:$U47,"?*")&gt;0,", ","")&amp;"dificultad","")</x:f>
      </x:c>
      <x:c r="W47" t="str">
        <x:f>IF(AND(OR($A47="Ítems agrupados por caso clínico o problema",$A47="Emparejamiento Ampliado"),TRIM($I47)&lt;&gt;""),IF(COUNTIF($Q47:$V47,"?*")&gt;0,", ","")&amp;"respuesta debe ir vacia","")</x:f>
      </x:c>
      <x:c r="X47" t="str">
        <x:f>IF(AND(OR($A47="Ítems agrupados por caso clínico o problema",$A47="Emparejamiento Ampliado"),TRIM($J47)&lt;&gt;""),IF(COUNTIF($Q47:$W47,"?*")&gt;0,", ","")&amp;"dificultad debe ir vacia","")</x:f>
      </x:c>
      <x:c r="Y47" t="str">
        <x:f>IF(AND($A47="Verdadero o Falso Simple",OR(COUNTIF($D47:$E47,"?*")&lt;2,COUNTIF($F47:$H47,"?*")&gt;0)),IF(COUNTIF($Q47:$X47,"?*")&gt;0,", ","")&amp;"incisos A-B","")</x:f>
      </x:c>
      <x:c r="Z47" t="str">
        <x:f>IF(AND($A47="Verdadero o Falso Simple",TRIM($I47)&lt;&gt;"",NOT(OR(LEFT(TRIM($I47),1)="A",LEFT(TRIM($I47),1)="B"))),IF(COUNTIF($Q47:$Y47,"?*")&gt;0,", ","")&amp;"respuesta A-B","")</x:f>
      </x:c>
      <x:c r="AA47" t="str">
        <x:f>IF(AND($A47="Respuesta A/B/Ambas/Ninguna",COUNTIF($D47:$G47,"?*")&lt;4),IF(COUNTIF($Q47:$Z47,"?*")&gt;0,", ","")&amp;"opciones A-D","")</x:f>
      </x:c>
      <x:c r="AB47" t="str">
        <x:f>IF(AND($A47="Respuesta A/B/Ambas/Ninguna",COUNTIF($H47:$H47,"?*")&gt;0),IF(COUNTIF($Q47:$AA47,"?*")&gt;0,", ","")&amp;"opcion E deshabilitada","")</x:f>
      </x:c>
      <x:c r="AC47" t="str">
        <x:f>IF(AND($A47="Respuesta A/B/Ambas/Ninguna",TRIM($I47)&lt;&gt;"",NOT(OR(LEFT(TRIM($I47),1)="A",LEFT(TRIM($I47),1)="B",LEFT(TRIM($I47),1)="C",LEFT(TRIM($I47),1)="D"))),IF(COUNTIF($Q47:$AB47,"?*")&gt;0,", ","")&amp;"respuesta A-D","")</x:f>
      </x:c>
      <x:c r="AD47" t="str">
        <x:f>IF(AND($A47="Verdadero o Falso Complejas",OR(LEN(TRIM(SUBSTITUTE($D47,"1.","")))=0,LEN(TRIM(SUBSTITUTE($E47,"2.","")))=0,LEN(TRIM(SUBSTITUTE($F47,"3.","")))=0,LEN(TRIM(SUBSTITUTE($G47,"4.","")))=0)),IF(COUNTIF($Q47:$AC47,"?*")&gt;0,", ","")&amp;"incisos 1-4","")</x:f>
      </x:c>
      <x:c r="AE47" t="str">
        <x:f>IF(AND($A47="Verdadero o Falso Complejas",COUNTIF($H47:$H47,"?*")&gt;0),IF(COUNTIF($Q47:$AD47,"?*")&gt;0,", ","")&amp;"opcion E deshabilitada","")</x:f>
      </x:c>
      <x:c r="AF47" t="str">
        <x:f>IF(AND($A47="Verdadero o Falso Complejas",TRIM($I47)&lt;&gt;"",NOT(OR(LEFT(TRIM($I47),1)="A",LEFT(TRIM($I47),1)="B",LEFT(TRIM($I47),1)="C",LEFT(TRIM($I47),1)="D",LEFT(TRIM($I47),1)="E"))),IF(COUNTIF($Q47:$AE47,"?*")&gt;0,", ","")&amp;"respuesta A-E","")</x:f>
      </x:c>
      <x:c r="AG47" t="str">
        <x:f>IF(AND(OR($A47="Selección de la mejor respuesta",$A47="Subítem de caso o problema"),COUNTIF($D47:$H47,"?*")&lt;5),IF(COUNTIF($Q47:$AF47,"?*")&gt;0,", ","")&amp;"incisos A-E","")</x:f>
      </x:c>
      <x:c r="AH47" t="str">
        <x:f>IF(AND(OR($A47="Selección de la mejor respuesta",$A47="Subítem de caso o problema"),TRIM($I47)&lt;&gt;"",NOT(OR(LEFT(TRIM($I47),1)="A",LEFT(TRIM($I47),1)="B",LEFT(TRIM($I47),1)="C",LEFT(TRIM($I47),1)="D",LEFT(TRIM($I47),1)="E"))),IF(COUNTIF($Q47:$AG47,"?*")&gt;0,", ","")&amp;"respuesta A-E","")</x:f>
      </x:c>
      <x:c r="AI47" t="str">
        <x:f>IF(AND(OR($A47="Ítems agrupados por caso clínico o problema",$A47="Opción de Emparejamiento Ampliado"),COUNTIF($D47:$H47,"?*")&gt;0),IF(COUNTIF($Q47:$AH47,"?*")&gt;0,", ","")&amp;"sin incisos","")</x:f>
      </x:c>
      <x:c r="AJ47" t="str">
        <x:f>IF(AND($A47="Emparejamiento Ampliado",COUNTIF($D47:$H47,"?*")&lt;2),IF(COUNTIF($Q47:$AI47,"?*")&gt;0,", ","")&amp;"minimo 2 claves","")</x:f>
      </x:c>
      <x:c r="AK47" t="str">
        <x:f>IF(AND($A47="Opción de Emparejamiento Ampliado",NOT(OR(LEFT(TRIM($I47),1)="A",LEFT(TRIM($I47),1)="B",LEFT(TRIM($I47),1)="C",LEFT(TRIM($I47),1)="D",LEFT(TRIM($I47),1)="E"))),IF(COUNTIF($Q47:$AJ47,"?*")&gt;0,", ","")&amp;"respuesta A-E","")</x:f>
      </x:c>
      <x:c r="AL47" t="str">
        <x:f>IF(TRIM($K47)="",IF(COUNTIF($M47:$M47,"?*")&gt;0,", ","")&amp;"parcial","")</x:f>
      </x:c>
      <x:c r="AM47" t="str">
        <x:f>IF(AND(TRIM($K47)&lt;&gt;"",TRIM($K47)&lt;&gt;"1P"),IF(COUNTIF($M47:$N47,"?*")&gt;0,", ","")&amp;"parcial distinto a 1P","")</x:f>
      </x:c>
      <x:c r="AN47" t="str">
        <x:f>IF(AND(OR($A47="Ítems agrupados por caso clínico o problema",$A47="Subítem de caso o problema",$A47="Emparejamiento Ampliado",$A47="Opción de Emparejamiento Ampliado"),TRIM($B47)=""),IF(COUNTIF($M47:$O47,"?*")&gt;0,", ","")&amp;"grupo","")</x:f>
      </x:c>
    </x:row>
    <x:row r="48" ht="24" customHeight="1">
      <x:c r="A48" s="294"/>
      <x:c r="B48" s="294"/>
      <x:c r="C48" s="294"/>
      <x:c r="D48" s="294" t="str">
        <x:f>IF($A48="Verdadero o Falso Simple","Verdadero",IF($A48="Respuesta A/B/Ambas/Ninguna","A. Si la primera es verdadera",IF($A48="Verdadero o Falso Complejas","1. ","")))</x:f>
      </x:c>
      <x:c r="E48" s="294" t="str">
        <x:f>IF($A48="Verdadero o Falso Simple","Falso",IF($A48="Respuesta A/B/Ambas/Ninguna","B. Si la segunda es verdadera",IF($A48="Verdadero o Falso Complejas","2. ","")))</x:f>
      </x:c>
      <x:c r="F48" s="294" t="str">
        <x:f>IF($A48="Respuesta A/B/Ambas/Ninguna","C. Si ambas son verdaderas",IF($A48="Verdadero o Falso Complejas","3. ",""))</x:f>
      </x:c>
      <x:c r="G48" s="294" t="str">
        <x:f>IF($A48="Respuesta A/B/Ambas/Ninguna","D. Si ninguna es verdadera",IF($A48="Verdadero o Falso Complejas","4. ",""))</x:f>
      </x:c>
      <x:c r="H48" s="294" t="str">
        <x:f>IF($A48="Verdadero o Falso Simple","",IF($A48="Respuesta A/B/Ambas/Ninguna","",IF($A48="Verdadero o Falso Complejas","","")))</x:f>
      </x:c>
      <x:c r="I48" s="294"/>
      <x:c r="J48" s="294" t="n">
        <x:v>3</x:v>
      </x:c>
      <x:c r="K48" s="294" t="str">
        <x:v>1P</x:v>
      </x:c>
      <x:c r="L48" s="295"/>
      <x:c r="M48" s="289"/>
      <x:c r="N48"/>
      <x:c r="O48"/>
      <x:c r="P48"/>
      <x:c r="Q48" t="str">
        <x:f>IF(TRIM($C48)="","enunciado","")</x:f>
        <x:v>enunciado</x:v>
      </x:c>
      <x:c r="R48" t="str">
        <x:f>IF(TRIM($K48)="",IF(COUNTIF($Q48:$Q48,"?*")&gt;0,", ","")&amp;"parcial","")</x:f>
      </x:c>
      <x:c r="S48" t="str">
        <x:f>IF(AND(TRIM($K48)&lt;&gt;"",TRIM($K48)&lt;&gt;"1P"),IF(COUNTIF($Q48:$R48,"?*")&gt;0,", ","")&amp;"parcial distinto a 1P","")</x:f>
      </x:c>
      <x:c r="T48" t="str">
        <x:f>IF(AND(OR($A48="Ítems agrupados por caso clínico o problema",$A48="Subítem de caso o problema",$A48="Emparejamiento Ampliado",$A48="Opción de Emparejamiento Ampliado"),TRIM($B48)=""),IF(COUNTIF($Q48:$S48,"?*")&gt;0,", ","")&amp;"grupo","")</x:f>
      </x:c>
      <x:c r="U48" t="str">
        <x:f>IF(AND(OR($A48="Verdadero o Falso Simple",$A48="Respuesta A/B/Ambas/Ninguna",$A48="Verdadero o Falso Complejas",$A48="Selección de la mejor respuesta",$A48="Subítem de caso o problema",$A48="Opción de Emparejamiento Ampliado"),TRIM($I48)=""),IF(COUNTIF($Q48:$T48,"?*")&gt;0,", ","")&amp;"respuesta_correcta","")</x:f>
      </x:c>
      <x:c r="V48" t="str">
        <x:f>IF(AND(OR($A48="Verdadero o Falso Simple",$A48="Respuesta A/B/Ambas/Ninguna",$A48="Verdadero o Falso Complejas",$A48="Selección de la mejor respuesta",$A48="Subítem de caso o problema",$A48="Opción de Emparejamiento Ampliado"),TRIM($J48)=""),IF(COUNTIF($Q48:$U48,"?*")&gt;0,", ","")&amp;"dificultad","")</x:f>
      </x:c>
      <x:c r="W48" t="str">
        <x:f>IF(AND(OR($A48="Ítems agrupados por caso clínico o problema",$A48="Emparejamiento Ampliado"),TRIM($I48)&lt;&gt;""),IF(COUNTIF($Q48:$V48,"?*")&gt;0,", ","")&amp;"respuesta debe ir vacia","")</x:f>
      </x:c>
      <x:c r="X48" t="str">
        <x:f>IF(AND(OR($A48="Ítems agrupados por caso clínico o problema",$A48="Emparejamiento Ampliado"),TRIM($J48)&lt;&gt;""),IF(COUNTIF($Q48:$W48,"?*")&gt;0,", ","")&amp;"dificultad debe ir vacia","")</x:f>
      </x:c>
      <x:c r="Y48" t="str">
        <x:f>IF(AND($A48="Verdadero o Falso Simple",OR(COUNTIF($D48:$E48,"?*")&lt;2,COUNTIF($F48:$H48,"?*")&gt;0)),IF(COUNTIF($Q48:$X48,"?*")&gt;0,", ","")&amp;"incisos A-B","")</x:f>
      </x:c>
      <x:c r="Z48" t="str">
        <x:f>IF(AND($A48="Verdadero o Falso Simple",TRIM($I48)&lt;&gt;"",NOT(OR(LEFT(TRIM($I48),1)="A",LEFT(TRIM($I48),1)="B"))),IF(COUNTIF($Q48:$Y48,"?*")&gt;0,", ","")&amp;"respuesta A-B","")</x:f>
      </x:c>
      <x:c r="AA48" t="str">
        <x:f>IF(AND($A48="Respuesta A/B/Ambas/Ninguna",COUNTIF($D48:$G48,"?*")&lt;4),IF(COUNTIF($Q48:$Z48,"?*")&gt;0,", ","")&amp;"opciones A-D","")</x:f>
      </x:c>
      <x:c r="AB48" t="str">
        <x:f>IF(AND($A48="Respuesta A/B/Ambas/Ninguna",COUNTIF($H48:$H48,"?*")&gt;0),IF(COUNTIF($Q48:$AA48,"?*")&gt;0,", ","")&amp;"opcion E deshabilitada","")</x:f>
      </x:c>
      <x:c r="AC48" t="str">
        <x:f>IF(AND($A48="Respuesta A/B/Ambas/Ninguna",TRIM($I48)&lt;&gt;"",NOT(OR(LEFT(TRIM($I48),1)="A",LEFT(TRIM($I48),1)="B",LEFT(TRIM($I48),1)="C",LEFT(TRIM($I48),1)="D"))),IF(COUNTIF($Q48:$AB48,"?*")&gt;0,", ","")&amp;"respuesta A-D","")</x:f>
      </x:c>
      <x:c r="AD48" t="str">
        <x:f>IF(AND($A48="Verdadero o Falso Complejas",OR(LEN(TRIM(SUBSTITUTE($D48,"1.","")))=0,LEN(TRIM(SUBSTITUTE($E48,"2.","")))=0,LEN(TRIM(SUBSTITUTE($F48,"3.","")))=0,LEN(TRIM(SUBSTITUTE($G48,"4.","")))=0)),IF(COUNTIF($Q48:$AC48,"?*")&gt;0,", ","")&amp;"incisos 1-4","")</x:f>
      </x:c>
      <x:c r="AE48" t="str">
        <x:f>IF(AND($A48="Verdadero o Falso Complejas",COUNTIF($H48:$H48,"?*")&gt;0),IF(COUNTIF($Q48:$AD48,"?*")&gt;0,", ","")&amp;"opcion E deshabilitada","")</x:f>
      </x:c>
      <x:c r="AF48" t="str">
        <x:f>IF(AND($A48="Verdadero o Falso Complejas",TRIM($I48)&lt;&gt;"",NOT(OR(LEFT(TRIM($I48),1)="A",LEFT(TRIM($I48),1)="B",LEFT(TRIM($I48),1)="C",LEFT(TRIM($I48),1)="D",LEFT(TRIM($I48),1)="E"))),IF(COUNTIF($Q48:$AE48,"?*")&gt;0,", ","")&amp;"respuesta A-E","")</x:f>
      </x:c>
      <x:c r="AG48" t="str">
        <x:f>IF(AND(OR($A48="Selección de la mejor respuesta",$A48="Subítem de caso o problema"),COUNTIF($D48:$H48,"?*")&lt;5),IF(COUNTIF($Q48:$AF48,"?*")&gt;0,", ","")&amp;"incisos A-E","")</x:f>
      </x:c>
      <x:c r="AH48" t="str">
        <x:f>IF(AND(OR($A48="Selección de la mejor respuesta",$A48="Subítem de caso o problema"),TRIM($I48)&lt;&gt;"",NOT(OR(LEFT(TRIM($I48),1)="A",LEFT(TRIM($I48),1)="B",LEFT(TRIM($I48),1)="C",LEFT(TRIM($I48),1)="D",LEFT(TRIM($I48),1)="E"))),IF(COUNTIF($Q48:$AG48,"?*")&gt;0,", ","")&amp;"respuesta A-E","")</x:f>
      </x:c>
      <x:c r="AI48" t="str">
        <x:f>IF(AND(OR($A48="Ítems agrupados por caso clínico o problema",$A48="Opción de Emparejamiento Ampliado"),COUNTIF($D48:$H48,"?*")&gt;0),IF(COUNTIF($Q48:$AH48,"?*")&gt;0,", ","")&amp;"sin incisos","")</x:f>
      </x:c>
      <x:c r="AJ48" t="str">
        <x:f>IF(AND($A48="Emparejamiento Ampliado",COUNTIF($D48:$H48,"?*")&lt;2),IF(COUNTIF($Q48:$AI48,"?*")&gt;0,", ","")&amp;"minimo 2 claves","")</x:f>
      </x:c>
      <x:c r="AK48" t="str">
        <x:f>IF(AND($A48="Opción de Emparejamiento Ampliado",NOT(OR(LEFT(TRIM($I48),1)="A",LEFT(TRIM($I48),1)="B",LEFT(TRIM($I48),1)="C",LEFT(TRIM($I48),1)="D",LEFT(TRIM($I48),1)="E"))),IF(COUNTIF($Q48:$AJ48,"?*")&gt;0,", ","")&amp;"respuesta A-E","")</x:f>
      </x:c>
      <x:c r="AL48" t="str">
        <x:f>IF(TRIM($K48)="",IF(COUNTIF($M48:$M48,"?*")&gt;0,", ","")&amp;"parcial","")</x:f>
      </x:c>
      <x:c r="AM48" t="str">
        <x:f>IF(AND(TRIM($K48)&lt;&gt;"",TRIM($K48)&lt;&gt;"1P"),IF(COUNTIF($M48:$N48,"?*")&gt;0,", ","")&amp;"parcial distinto a 1P","")</x:f>
      </x:c>
      <x:c r="AN48" t="str">
        <x:f>IF(AND(OR($A48="Ítems agrupados por caso clínico o problema",$A48="Subítem de caso o problema",$A48="Emparejamiento Ampliado",$A48="Opción de Emparejamiento Ampliado"),TRIM($B48)=""),IF(COUNTIF($M48:$O48,"?*")&gt;0,", ","")&amp;"grupo","")</x:f>
      </x:c>
    </x:row>
    <x:row r="49" ht="24" customHeight="1">
      <x:c r="A49" s="294"/>
      <x:c r="B49" s="294"/>
      <x:c r="C49" s="294"/>
      <x:c r="D49" s="294" t="str">
        <x:f>IF($A49="Verdadero o Falso Simple","Verdadero",IF($A49="Respuesta A/B/Ambas/Ninguna","A. Si la primera es verdadera",IF($A49="Verdadero o Falso Complejas","1. ","")))</x:f>
      </x:c>
      <x:c r="E49" s="294" t="str">
        <x:f>IF($A49="Verdadero o Falso Simple","Falso",IF($A49="Respuesta A/B/Ambas/Ninguna","B. Si la segunda es verdadera",IF($A49="Verdadero o Falso Complejas","2. ","")))</x:f>
      </x:c>
      <x:c r="F49" s="294" t="str">
        <x:f>IF($A49="Respuesta A/B/Ambas/Ninguna","C. Si ambas son verdaderas",IF($A49="Verdadero o Falso Complejas","3. ",""))</x:f>
      </x:c>
      <x:c r="G49" s="294" t="str">
        <x:f>IF($A49="Respuesta A/B/Ambas/Ninguna","D. Si ninguna es verdadera",IF($A49="Verdadero o Falso Complejas","4. ",""))</x:f>
      </x:c>
      <x:c r="H49" s="294" t="str">
        <x:f>IF($A49="Verdadero o Falso Simple","",IF($A49="Respuesta A/B/Ambas/Ninguna","",IF($A49="Verdadero o Falso Complejas","","")))</x:f>
      </x:c>
      <x:c r="I49" s="294"/>
      <x:c r="J49" s="294" t="n">
        <x:v>3</x:v>
      </x:c>
      <x:c r="K49" s="294" t="str">
        <x:v>1P</x:v>
      </x:c>
      <x:c r="L49" s="295"/>
      <x:c r="M49" s="289"/>
      <x:c r="N49"/>
      <x:c r="O49"/>
      <x:c r="P49"/>
      <x:c r="Q49" t="str">
        <x:f>IF(TRIM($C49)="","enunciado","")</x:f>
        <x:v>enunciado</x:v>
      </x:c>
      <x:c r="R49" t="str">
        <x:f>IF(TRIM($K49)="",IF(COUNTIF($Q49:$Q49,"?*")&gt;0,", ","")&amp;"parcial","")</x:f>
      </x:c>
      <x:c r="S49" t="str">
        <x:f>IF(AND(TRIM($K49)&lt;&gt;"",TRIM($K49)&lt;&gt;"1P"),IF(COUNTIF($Q49:$R49,"?*")&gt;0,", ","")&amp;"parcial distinto a 1P","")</x:f>
      </x:c>
      <x:c r="T49" t="str">
        <x:f>IF(AND(OR($A49="Ítems agrupados por caso clínico o problema",$A49="Subítem de caso o problema",$A49="Emparejamiento Ampliado",$A49="Opción de Emparejamiento Ampliado"),TRIM($B49)=""),IF(COUNTIF($Q49:$S49,"?*")&gt;0,", ","")&amp;"grupo","")</x:f>
      </x:c>
      <x:c r="U49" t="str">
        <x:f>IF(AND(OR($A49="Verdadero o Falso Simple",$A49="Respuesta A/B/Ambas/Ninguna",$A49="Verdadero o Falso Complejas",$A49="Selección de la mejor respuesta",$A49="Subítem de caso o problema",$A49="Opción de Emparejamiento Ampliado"),TRIM($I49)=""),IF(COUNTIF($Q49:$T49,"?*")&gt;0,", ","")&amp;"respuesta_correcta","")</x:f>
      </x:c>
      <x:c r="V49" t="str">
        <x:f>IF(AND(OR($A49="Verdadero o Falso Simple",$A49="Respuesta A/B/Ambas/Ninguna",$A49="Verdadero o Falso Complejas",$A49="Selección de la mejor respuesta",$A49="Subítem de caso o problema",$A49="Opción de Emparejamiento Ampliado"),TRIM($J49)=""),IF(COUNTIF($Q49:$U49,"?*")&gt;0,", ","")&amp;"dificultad","")</x:f>
      </x:c>
      <x:c r="W49" t="str">
        <x:f>IF(AND(OR($A49="Ítems agrupados por caso clínico o problema",$A49="Emparejamiento Ampliado"),TRIM($I49)&lt;&gt;""),IF(COUNTIF($Q49:$V49,"?*")&gt;0,", ","")&amp;"respuesta debe ir vacia","")</x:f>
      </x:c>
      <x:c r="X49" t="str">
        <x:f>IF(AND(OR($A49="Ítems agrupados por caso clínico o problema",$A49="Emparejamiento Ampliado"),TRIM($J49)&lt;&gt;""),IF(COUNTIF($Q49:$W49,"?*")&gt;0,", ","")&amp;"dificultad debe ir vacia","")</x:f>
      </x:c>
      <x:c r="Y49" t="str">
        <x:f>IF(AND($A49="Verdadero o Falso Simple",OR(COUNTIF($D49:$E49,"?*")&lt;2,COUNTIF($F49:$H49,"?*")&gt;0)),IF(COUNTIF($Q49:$X49,"?*")&gt;0,", ","")&amp;"incisos A-B","")</x:f>
      </x:c>
      <x:c r="Z49" t="str">
        <x:f>IF(AND($A49="Verdadero o Falso Simple",TRIM($I49)&lt;&gt;"",NOT(OR(LEFT(TRIM($I49),1)="A",LEFT(TRIM($I49),1)="B"))),IF(COUNTIF($Q49:$Y49,"?*")&gt;0,", ","")&amp;"respuesta A-B","")</x:f>
      </x:c>
      <x:c r="AA49" t="str">
        <x:f>IF(AND($A49="Respuesta A/B/Ambas/Ninguna",COUNTIF($D49:$G49,"?*")&lt;4),IF(COUNTIF($Q49:$Z49,"?*")&gt;0,", ","")&amp;"opciones A-D","")</x:f>
      </x:c>
      <x:c r="AB49" t="str">
        <x:f>IF(AND($A49="Respuesta A/B/Ambas/Ninguna",COUNTIF($H49:$H49,"?*")&gt;0),IF(COUNTIF($Q49:$AA49,"?*")&gt;0,", ","")&amp;"opcion E deshabilitada","")</x:f>
      </x:c>
      <x:c r="AC49" t="str">
        <x:f>IF(AND($A49="Respuesta A/B/Ambas/Ninguna",TRIM($I49)&lt;&gt;"",NOT(OR(LEFT(TRIM($I49),1)="A",LEFT(TRIM($I49),1)="B",LEFT(TRIM($I49),1)="C",LEFT(TRIM($I49),1)="D"))),IF(COUNTIF($Q49:$AB49,"?*")&gt;0,", ","")&amp;"respuesta A-D","")</x:f>
      </x:c>
      <x:c r="AD49" t="str">
        <x:f>IF(AND($A49="Verdadero o Falso Complejas",OR(LEN(TRIM(SUBSTITUTE($D49,"1.","")))=0,LEN(TRIM(SUBSTITUTE($E49,"2.","")))=0,LEN(TRIM(SUBSTITUTE($F49,"3.","")))=0,LEN(TRIM(SUBSTITUTE($G49,"4.","")))=0)),IF(COUNTIF($Q49:$AC49,"?*")&gt;0,", ","")&amp;"incisos 1-4","")</x:f>
      </x:c>
      <x:c r="AE49" t="str">
        <x:f>IF(AND($A49="Verdadero o Falso Complejas",COUNTIF($H49:$H49,"?*")&gt;0),IF(COUNTIF($Q49:$AD49,"?*")&gt;0,", ","")&amp;"opcion E deshabilitada","")</x:f>
      </x:c>
      <x:c r="AF49" t="str">
        <x:f>IF(AND($A49="Verdadero o Falso Complejas",TRIM($I49)&lt;&gt;"",NOT(OR(LEFT(TRIM($I49),1)="A",LEFT(TRIM($I49),1)="B",LEFT(TRIM($I49),1)="C",LEFT(TRIM($I49),1)="D",LEFT(TRIM($I49),1)="E"))),IF(COUNTIF($Q49:$AE49,"?*")&gt;0,", ","")&amp;"respuesta A-E","")</x:f>
      </x:c>
      <x:c r="AG49" t="str">
        <x:f>IF(AND(OR($A49="Selección de la mejor respuesta",$A49="Subítem de caso o problema"),COUNTIF($D49:$H49,"?*")&lt;5),IF(COUNTIF($Q49:$AF49,"?*")&gt;0,", ","")&amp;"incisos A-E","")</x:f>
      </x:c>
      <x:c r="AH49" t="str">
        <x:f>IF(AND(OR($A49="Selección de la mejor respuesta",$A49="Subítem de caso o problema"),TRIM($I49)&lt;&gt;"",NOT(OR(LEFT(TRIM($I49),1)="A",LEFT(TRIM($I49),1)="B",LEFT(TRIM($I49),1)="C",LEFT(TRIM($I49),1)="D",LEFT(TRIM($I49),1)="E"))),IF(COUNTIF($Q49:$AG49,"?*")&gt;0,", ","")&amp;"respuesta A-E","")</x:f>
      </x:c>
      <x:c r="AI49" t="str">
        <x:f>IF(AND(OR($A49="Ítems agrupados por caso clínico o problema",$A49="Opción de Emparejamiento Ampliado"),COUNTIF($D49:$H49,"?*")&gt;0),IF(COUNTIF($Q49:$AH49,"?*")&gt;0,", ","")&amp;"sin incisos","")</x:f>
      </x:c>
      <x:c r="AJ49" t="str">
        <x:f>IF(AND($A49="Emparejamiento Ampliado",COUNTIF($D49:$H49,"?*")&lt;2),IF(COUNTIF($Q49:$AI49,"?*")&gt;0,", ","")&amp;"minimo 2 claves","")</x:f>
      </x:c>
      <x:c r="AK49" t="str">
        <x:f>IF(AND($A49="Opción de Emparejamiento Ampliado",NOT(OR(LEFT(TRIM($I49),1)="A",LEFT(TRIM($I49),1)="B",LEFT(TRIM($I49),1)="C",LEFT(TRIM($I49),1)="D",LEFT(TRIM($I49),1)="E"))),IF(COUNTIF($Q49:$AJ49,"?*")&gt;0,", ","")&amp;"respuesta A-E","")</x:f>
      </x:c>
      <x:c r="AL49" t="str">
        <x:f>IF(TRIM($K49)="",IF(COUNTIF($M49:$M49,"?*")&gt;0,", ","")&amp;"parcial","")</x:f>
      </x:c>
      <x:c r="AM49" t="str">
        <x:f>IF(AND(TRIM($K49)&lt;&gt;"",TRIM($K49)&lt;&gt;"1P"),IF(COUNTIF($M49:$N49,"?*")&gt;0,", ","")&amp;"parcial distinto a 1P","")</x:f>
      </x:c>
      <x:c r="AN49" t="str">
        <x:f>IF(AND(OR($A49="Ítems agrupados por caso clínico o problema",$A49="Subítem de caso o problema",$A49="Emparejamiento Ampliado",$A49="Opción de Emparejamiento Ampliado"),TRIM($B49)=""),IF(COUNTIF($M49:$O49,"?*")&gt;0,", ","")&amp;"grupo","")</x:f>
      </x:c>
    </x:row>
    <x:row r="50" ht="24" customHeight="1">
      <x:c r="A50" s="294"/>
      <x:c r="B50" s="294"/>
      <x:c r="C50" s="294"/>
      <x:c r="D50" s="294" t="str">
        <x:f>IF($A50="Verdadero o Falso Simple","Verdadero",IF($A50="Respuesta A/B/Ambas/Ninguna","A. Si la primera es verdadera",IF($A50="Verdadero o Falso Complejas","1. ","")))</x:f>
      </x:c>
      <x:c r="E50" s="294" t="str">
        <x:f>IF($A50="Verdadero o Falso Simple","Falso",IF($A50="Respuesta A/B/Ambas/Ninguna","B. Si la segunda es verdadera",IF($A50="Verdadero o Falso Complejas","2. ","")))</x:f>
      </x:c>
      <x:c r="F50" s="294" t="str">
        <x:f>IF($A50="Respuesta A/B/Ambas/Ninguna","C. Si ambas son verdaderas",IF($A50="Verdadero o Falso Complejas","3. ",""))</x:f>
      </x:c>
      <x:c r="G50" s="294" t="str">
        <x:f>IF($A50="Respuesta A/B/Ambas/Ninguna","D. Si ninguna es verdadera",IF($A50="Verdadero o Falso Complejas","4. ",""))</x:f>
      </x:c>
      <x:c r="H50" s="294" t="str">
        <x:f>IF($A50="Verdadero o Falso Simple","",IF($A50="Respuesta A/B/Ambas/Ninguna","",IF($A50="Verdadero o Falso Complejas","","")))</x:f>
      </x:c>
      <x:c r="I50" s="294"/>
      <x:c r="J50" s="294" t="n">
        <x:v>3</x:v>
      </x:c>
      <x:c r="K50" s="294" t="str">
        <x:v>1P</x:v>
      </x:c>
      <x:c r="L50" s="295"/>
      <x:c r="M50" s="289"/>
      <x:c r="N50"/>
      <x:c r="O50"/>
      <x:c r="P50"/>
      <x:c r="Q50" t="str">
        <x:f>IF(TRIM($C50)="","enunciado","")</x:f>
        <x:v>enunciado</x:v>
      </x:c>
      <x:c r="R50" t="str">
        <x:f>IF(TRIM($K50)="",IF(COUNTIF($Q50:$Q50,"?*")&gt;0,", ","")&amp;"parcial","")</x:f>
      </x:c>
      <x:c r="S50" t="str">
        <x:f>IF(AND(TRIM($K50)&lt;&gt;"",TRIM($K50)&lt;&gt;"1P"),IF(COUNTIF($Q50:$R50,"?*")&gt;0,", ","")&amp;"parcial distinto a 1P","")</x:f>
      </x:c>
      <x:c r="T50" t="str">
        <x:f>IF(AND(OR($A50="Ítems agrupados por caso clínico o problema",$A50="Subítem de caso o problema",$A50="Emparejamiento Ampliado",$A50="Opción de Emparejamiento Ampliado"),TRIM($B50)=""),IF(COUNTIF($Q50:$S50,"?*")&gt;0,", ","")&amp;"grupo","")</x:f>
      </x:c>
      <x:c r="U50" t="str">
        <x:f>IF(AND(OR($A50="Verdadero o Falso Simple",$A50="Respuesta A/B/Ambas/Ninguna",$A50="Verdadero o Falso Complejas",$A50="Selección de la mejor respuesta",$A50="Subítem de caso o problema",$A50="Opción de Emparejamiento Ampliado"),TRIM($I50)=""),IF(COUNTIF($Q50:$T50,"?*")&gt;0,", ","")&amp;"respuesta_correcta","")</x:f>
      </x:c>
      <x:c r="V50" t="str">
        <x:f>IF(AND(OR($A50="Verdadero o Falso Simple",$A50="Respuesta A/B/Ambas/Ninguna",$A50="Verdadero o Falso Complejas",$A50="Selección de la mejor respuesta",$A50="Subítem de caso o problema",$A50="Opción de Emparejamiento Ampliado"),TRIM($J50)=""),IF(COUNTIF($Q50:$U50,"?*")&gt;0,", ","")&amp;"dificultad","")</x:f>
      </x:c>
      <x:c r="W50" t="str">
        <x:f>IF(AND(OR($A50="Ítems agrupados por caso clínico o problema",$A50="Emparejamiento Ampliado"),TRIM($I50)&lt;&gt;""),IF(COUNTIF($Q50:$V50,"?*")&gt;0,", ","")&amp;"respuesta debe ir vacia","")</x:f>
      </x:c>
      <x:c r="X50" t="str">
        <x:f>IF(AND(OR($A50="Ítems agrupados por caso clínico o problema",$A50="Emparejamiento Ampliado"),TRIM($J50)&lt;&gt;""),IF(COUNTIF($Q50:$W50,"?*")&gt;0,", ","")&amp;"dificultad debe ir vacia","")</x:f>
      </x:c>
      <x:c r="Y50" t="str">
        <x:f>IF(AND($A50="Verdadero o Falso Simple",OR(COUNTIF($D50:$E50,"?*")&lt;2,COUNTIF($F50:$H50,"?*")&gt;0)),IF(COUNTIF($Q50:$X50,"?*")&gt;0,", ","")&amp;"incisos A-B","")</x:f>
      </x:c>
      <x:c r="Z50" t="str">
        <x:f>IF(AND($A50="Verdadero o Falso Simple",TRIM($I50)&lt;&gt;"",NOT(OR(LEFT(TRIM($I50),1)="A",LEFT(TRIM($I50),1)="B"))),IF(COUNTIF($Q50:$Y50,"?*")&gt;0,", ","")&amp;"respuesta A-B","")</x:f>
      </x:c>
      <x:c r="AA50" t="str">
        <x:f>IF(AND($A50="Respuesta A/B/Ambas/Ninguna",COUNTIF($D50:$G50,"?*")&lt;4),IF(COUNTIF($Q50:$Z50,"?*")&gt;0,", ","")&amp;"opciones A-D","")</x:f>
      </x:c>
      <x:c r="AB50" t="str">
        <x:f>IF(AND($A50="Respuesta A/B/Ambas/Ninguna",COUNTIF($H50:$H50,"?*")&gt;0),IF(COUNTIF($Q50:$AA50,"?*")&gt;0,", ","")&amp;"opcion E deshabilitada","")</x:f>
      </x:c>
      <x:c r="AC50" t="str">
        <x:f>IF(AND($A50="Respuesta A/B/Ambas/Ninguna",TRIM($I50)&lt;&gt;"",NOT(OR(LEFT(TRIM($I50),1)="A",LEFT(TRIM($I50),1)="B",LEFT(TRIM($I50),1)="C",LEFT(TRIM($I50),1)="D"))),IF(COUNTIF($Q50:$AB50,"?*")&gt;0,", ","")&amp;"respuesta A-D","")</x:f>
      </x:c>
      <x:c r="AD50" t="str">
        <x:f>IF(AND($A50="Verdadero o Falso Complejas",OR(LEN(TRIM(SUBSTITUTE($D50,"1.","")))=0,LEN(TRIM(SUBSTITUTE($E50,"2.","")))=0,LEN(TRIM(SUBSTITUTE($F50,"3.","")))=0,LEN(TRIM(SUBSTITUTE($G50,"4.","")))=0)),IF(COUNTIF($Q50:$AC50,"?*")&gt;0,", ","")&amp;"incisos 1-4","")</x:f>
      </x:c>
      <x:c r="AE50" t="str">
        <x:f>IF(AND($A50="Verdadero o Falso Complejas",COUNTIF($H50:$H50,"?*")&gt;0),IF(COUNTIF($Q50:$AD50,"?*")&gt;0,", ","")&amp;"opcion E deshabilitada","")</x:f>
      </x:c>
      <x:c r="AF50" t="str">
        <x:f>IF(AND($A50="Verdadero o Falso Complejas",TRIM($I50)&lt;&gt;"",NOT(OR(LEFT(TRIM($I50),1)="A",LEFT(TRIM($I50),1)="B",LEFT(TRIM($I50),1)="C",LEFT(TRIM($I50),1)="D",LEFT(TRIM($I50),1)="E"))),IF(COUNTIF($Q50:$AE50,"?*")&gt;0,", ","")&amp;"respuesta A-E","")</x:f>
      </x:c>
      <x:c r="AG50" t="str">
        <x:f>IF(AND(OR($A50="Selección de la mejor respuesta",$A50="Subítem de caso o problema"),COUNTIF($D50:$H50,"?*")&lt;5),IF(COUNTIF($Q50:$AF50,"?*")&gt;0,", ","")&amp;"incisos A-E","")</x:f>
      </x:c>
      <x:c r="AH50" t="str">
        <x:f>IF(AND(OR($A50="Selección de la mejor respuesta",$A50="Subítem de caso o problema"),TRIM($I50)&lt;&gt;"",NOT(OR(LEFT(TRIM($I50),1)="A",LEFT(TRIM($I50),1)="B",LEFT(TRIM($I50),1)="C",LEFT(TRIM($I50),1)="D",LEFT(TRIM($I50),1)="E"))),IF(COUNTIF($Q50:$AG50,"?*")&gt;0,", ","")&amp;"respuesta A-E","")</x:f>
      </x:c>
      <x:c r="AI50" t="str">
        <x:f>IF(AND(OR($A50="Ítems agrupados por caso clínico o problema",$A50="Opción de Emparejamiento Ampliado"),COUNTIF($D50:$H50,"?*")&gt;0),IF(COUNTIF($Q50:$AH50,"?*")&gt;0,", ","")&amp;"sin incisos","")</x:f>
      </x:c>
      <x:c r="AJ50" t="str">
        <x:f>IF(AND($A50="Emparejamiento Ampliado",COUNTIF($D50:$H50,"?*")&lt;2),IF(COUNTIF($Q50:$AI50,"?*")&gt;0,", ","")&amp;"minimo 2 claves","")</x:f>
      </x:c>
      <x:c r="AK50" t="str">
        <x:f>IF(AND($A50="Opción de Emparejamiento Ampliado",NOT(OR(LEFT(TRIM($I50),1)="A",LEFT(TRIM($I50),1)="B",LEFT(TRIM($I50),1)="C",LEFT(TRIM($I50),1)="D",LEFT(TRIM($I50),1)="E"))),IF(COUNTIF($Q50:$AJ50,"?*")&gt;0,", ","")&amp;"respuesta A-E","")</x:f>
      </x:c>
      <x:c r="AL50" t="str">
        <x:f>IF(TRIM($K50)="",IF(COUNTIF($M50:$M50,"?*")&gt;0,", ","")&amp;"parcial","")</x:f>
      </x:c>
      <x:c r="AM50" t="str">
        <x:f>IF(AND(TRIM($K50)&lt;&gt;"",TRIM($K50)&lt;&gt;"1P"),IF(COUNTIF($M50:$N50,"?*")&gt;0,", ","")&amp;"parcial distinto a 1P","")</x:f>
      </x:c>
      <x:c r="AN50" t="str">
        <x:f>IF(AND(OR($A50="Ítems agrupados por caso clínico o problema",$A50="Subítem de caso o problema",$A50="Emparejamiento Ampliado",$A50="Opción de Emparejamiento Ampliado"),TRIM($B50)=""),IF(COUNTIF($M50:$O50,"?*")&gt;0,", ","")&amp;"grupo","")</x:f>
      </x:c>
    </x:row>
    <x:row r="51" ht="24" customHeight="1">
      <x:c r="A51" s="294"/>
      <x:c r="B51" s="294"/>
      <x:c r="C51" s="294"/>
      <x:c r="D51" s="294" t="str">
        <x:f>IF($A51="Verdadero o Falso Simple","Verdadero",IF($A51="Respuesta A/B/Ambas/Ninguna","A. Si la primera es verdadera",IF($A51="Verdadero o Falso Complejas","1. ","")))</x:f>
      </x:c>
      <x:c r="E51" s="294" t="str">
        <x:f>IF($A51="Verdadero o Falso Simple","Falso",IF($A51="Respuesta A/B/Ambas/Ninguna","B. Si la segunda es verdadera",IF($A51="Verdadero o Falso Complejas","2. ","")))</x:f>
      </x:c>
      <x:c r="F51" s="294" t="str">
        <x:f>IF($A51="Respuesta A/B/Ambas/Ninguna","C. Si ambas son verdaderas",IF($A51="Verdadero o Falso Complejas","3. ",""))</x:f>
      </x:c>
      <x:c r="G51" s="294" t="str">
        <x:f>IF($A51="Respuesta A/B/Ambas/Ninguna","D. Si ninguna es verdadera",IF($A51="Verdadero o Falso Complejas","4. ",""))</x:f>
      </x:c>
      <x:c r="H51" s="294" t="str">
        <x:f>IF($A51="Verdadero o Falso Simple","",IF($A51="Respuesta A/B/Ambas/Ninguna","",IF($A51="Verdadero o Falso Complejas","","")))</x:f>
      </x:c>
      <x:c r="I51" s="294"/>
      <x:c r="J51" s="294" t="n">
        <x:v>3</x:v>
      </x:c>
      <x:c r="K51" s="294" t="str">
        <x:v>1P</x:v>
      </x:c>
      <x:c r="L51" s="295"/>
      <x:c r="M51" s="289"/>
      <x:c r="N51"/>
      <x:c r="O51"/>
      <x:c r="P51"/>
      <x:c r="Q51" t="str">
        <x:f>IF(TRIM($C51)="","enunciado","")</x:f>
        <x:v>enunciado</x:v>
      </x:c>
      <x:c r="R51" t="str">
        <x:f>IF(TRIM($K51)="",IF(COUNTIF($Q51:$Q51,"?*")&gt;0,", ","")&amp;"parcial","")</x:f>
      </x:c>
      <x:c r="S51" t="str">
        <x:f>IF(AND(TRIM($K51)&lt;&gt;"",TRIM($K51)&lt;&gt;"1P"),IF(COUNTIF($Q51:$R51,"?*")&gt;0,", ","")&amp;"parcial distinto a 1P","")</x:f>
      </x:c>
      <x:c r="T51" t="str">
        <x:f>IF(AND(OR($A51="Ítems agrupados por caso clínico o problema",$A51="Subítem de caso o problema",$A51="Emparejamiento Ampliado",$A51="Opción de Emparejamiento Ampliado"),TRIM($B51)=""),IF(COUNTIF($Q51:$S51,"?*")&gt;0,", ","")&amp;"grupo","")</x:f>
      </x:c>
      <x:c r="U51" t="str">
        <x:f>IF(AND(OR($A51="Verdadero o Falso Simple",$A51="Respuesta A/B/Ambas/Ninguna",$A51="Verdadero o Falso Complejas",$A51="Selección de la mejor respuesta",$A51="Subítem de caso o problema",$A51="Opción de Emparejamiento Ampliado"),TRIM($I51)=""),IF(COUNTIF($Q51:$T51,"?*")&gt;0,", ","")&amp;"respuesta_correcta","")</x:f>
      </x:c>
      <x:c r="V51" t="str">
        <x:f>IF(AND(OR($A51="Verdadero o Falso Simple",$A51="Respuesta A/B/Ambas/Ninguna",$A51="Verdadero o Falso Complejas",$A51="Selección de la mejor respuesta",$A51="Subítem de caso o problema",$A51="Opción de Emparejamiento Ampliado"),TRIM($J51)=""),IF(COUNTIF($Q51:$U51,"?*")&gt;0,", ","")&amp;"dificultad","")</x:f>
      </x:c>
      <x:c r="W51" t="str">
        <x:f>IF(AND(OR($A51="Ítems agrupados por caso clínico o problema",$A51="Emparejamiento Ampliado"),TRIM($I51)&lt;&gt;""),IF(COUNTIF($Q51:$V51,"?*")&gt;0,", ","")&amp;"respuesta debe ir vacia","")</x:f>
      </x:c>
      <x:c r="X51" t="str">
        <x:f>IF(AND(OR($A51="Ítems agrupados por caso clínico o problema",$A51="Emparejamiento Ampliado"),TRIM($J51)&lt;&gt;""),IF(COUNTIF($Q51:$W51,"?*")&gt;0,", ","")&amp;"dificultad debe ir vacia","")</x:f>
      </x:c>
      <x:c r="Y51" t="str">
        <x:f>IF(AND($A51="Verdadero o Falso Simple",OR(COUNTIF($D51:$E51,"?*")&lt;2,COUNTIF($F51:$H51,"?*")&gt;0)),IF(COUNTIF($Q51:$X51,"?*")&gt;0,", ","")&amp;"incisos A-B","")</x:f>
      </x:c>
      <x:c r="Z51" t="str">
        <x:f>IF(AND($A51="Verdadero o Falso Simple",TRIM($I51)&lt;&gt;"",NOT(OR(LEFT(TRIM($I51),1)="A",LEFT(TRIM($I51),1)="B"))),IF(COUNTIF($Q51:$Y51,"?*")&gt;0,", ","")&amp;"respuesta A-B","")</x:f>
      </x:c>
      <x:c r="AA51" t="str">
        <x:f>IF(AND($A51="Respuesta A/B/Ambas/Ninguna",COUNTIF($D51:$G51,"?*")&lt;4),IF(COUNTIF($Q51:$Z51,"?*")&gt;0,", ","")&amp;"opciones A-D","")</x:f>
      </x:c>
      <x:c r="AB51" t="str">
        <x:f>IF(AND($A51="Respuesta A/B/Ambas/Ninguna",COUNTIF($H51:$H51,"?*")&gt;0),IF(COUNTIF($Q51:$AA51,"?*")&gt;0,", ","")&amp;"opcion E deshabilitada","")</x:f>
      </x:c>
      <x:c r="AC51" t="str">
        <x:f>IF(AND($A51="Respuesta A/B/Ambas/Ninguna",TRIM($I51)&lt;&gt;"",NOT(OR(LEFT(TRIM($I51),1)="A",LEFT(TRIM($I51),1)="B",LEFT(TRIM($I51),1)="C",LEFT(TRIM($I51),1)="D"))),IF(COUNTIF($Q51:$AB51,"?*")&gt;0,", ","")&amp;"respuesta A-D","")</x:f>
      </x:c>
      <x:c r="AD51" t="str">
        <x:f>IF(AND($A51="Verdadero o Falso Complejas",OR(LEN(TRIM(SUBSTITUTE($D51,"1.","")))=0,LEN(TRIM(SUBSTITUTE($E51,"2.","")))=0,LEN(TRIM(SUBSTITUTE($F51,"3.","")))=0,LEN(TRIM(SUBSTITUTE($G51,"4.","")))=0)),IF(COUNTIF($Q51:$AC51,"?*")&gt;0,", ","")&amp;"incisos 1-4","")</x:f>
      </x:c>
      <x:c r="AE51" t="str">
        <x:f>IF(AND($A51="Verdadero o Falso Complejas",COUNTIF($H51:$H51,"?*")&gt;0),IF(COUNTIF($Q51:$AD51,"?*")&gt;0,", ","")&amp;"opcion E deshabilitada","")</x:f>
      </x:c>
      <x:c r="AF51" t="str">
        <x:f>IF(AND($A51="Verdadero o Falso Complejas",TRIM($I51)&lt;&gt;"",NOT(OR(LEFT(TRIM($I51),1)="A",LEFT(TRIM($I51),1)="B",LEFT(TRIM($I51),1)="C",LEFT(TRIM($I51),1)="D",LEFT(TRIM($I51),1)="E"))),IF(COUNTIF($Q51:$AE51,"?*")&gt;0,", ","")&amp;"respuesta A-E","")</x:f>
      </x:c>
      <x:c r="AG51" t="str">
        <x:f>IF(AND(OR($A51="Selección de la mejor respuesta",$A51="Subítem de caso o problema"),COUNTIF($D51:$H51,"?*")&lt;5),IF(COUNTIF($Q51:$AF51,"?*")&gt;0,", ","")&amp;"incisos A-E","")</x:f>
      </x:c>
      <x:c r="AH51" t="str">
        <x:f>IF(AND(OR($A51="Selección de la mejor respuesta",$A51="Subítem de caso o problema"),TRIM($I51)&lt;&gt;"",NOT(OR(LEFT(TRIM($I51),1)="A",LEFT(TRIM($I51),1)="B",LEFT(TRIM($I51),1)="C",LEFT(TRIM($I51),1)="D",LEFT(TRIM($I51),1)="E"))),IF(COUNTIF($Q51:$AG51,"?*")&gt;0,", ","")&amp;"respuesta A-E","")</x:f>
      </x:c>
      <x:c r="AI51" t="str">
        <x:f>IF(AND(OR($A51="Ítems agrupados por caso clínico o problema",$A51="Opción de Emparejamiento Ampliado"),COUNTIF($D51:$H51,"?*")&gt;0),IF(COUNTIF($Q51:$AH51,"?*")&gt;0,", ","")&amp;"sin incisos","")</x:f>
      </x:c>
      <x:c r="AJ51" t="str">
        <x:f>IF(AND($A51="Emparejamiento Ampliado",COUNTIF($D51:$H51,"?*")&lt;2),IF(COUNTIF($Q51:$AI51,"?*")&gt;0,", ","")&amp;"minimo 2 claves","")</x:f>
      </x:c>
      <x:c r="AK51" t="str">
        <x:f>IF(AND($A51="Opción de Emparejamiento Ampliado",NOT(OR(LEFT(TRIM($I51),1)="A",LEFT(TRIM($I51),1)="B",LEFT(TRIM($I51),1)="C",LEFT(TRIM($I51),1)="D",LEFT(TRIM($I51),1)="E"))),IF(COUNTIF($Q51:$AJ51,"?*")&gt;0,", ","")&amp;"respuesta A-E","")</x:f>
      </x:c>
      <x:c r="AL51" t="str">
        <x:f>IF(TRIM($K51)="",IF(COUNTIF($M51:$M51,"?*")&gt;0,", ","")&amp;"parcial","")</x:f>
      </x:c>
      <x:c r="AM51" t="str">
        <x:f>IF(AND(TRIM($K51)&lt;&gt;"",TRIM($K51)&lt;&gt;"1P"),IF(COUNTIF($M51:$N51,"?*")&gt;0,", ","")&amp;"parcial distinto a 1P","")</x:f>
      </x:c>
      <x:c r="AN51" t="str">
        <x:f>IF(AND(OR($A51="Ítems agrupados por caso clínico o problema",$A51="Subítem de caso o problema",$A51="Emparejamiento Ampliado",$A51="Opción de Emparejamiento Ampliado"),TRIM($B51)=""),IF(COUNTIF($M51:$O51,"?*")&gt;0,", ","")&amp;"grupo","")</x:f>
      </x:c>
    </x:row>
    <x:row r="52" ht="24" customHeight="1">
      <x:c r="A52" s="294"/>
      <x:c r="B52" s="294"/>
      <x:c r="C52" s="294"/>
      <x:c r="D52" s="294" t="str">
        <x:f>IF($A52="Verdadero o Falso Simple","Verdadero",IF($A52="Respuesta A/B/Ambas/Ninguna","A. Si la primera es verdadera",IF($A52="Verdadero o Falso Complejas","1. ","")))</x:f>
      </x:c>
      <x:c r="E52" s="294" t="str">
        <x:f>IF($A52="Verdadero o Falso Simple","Falso",IF($A52="Respuesta A/B/Ambas/Ninguna","B. Si la segunda es verdadera",IF($A52="Verdadero o Falso Complejas","2. ","")))</x:f>
      </x:c>
      <x:c r="F52" s="294" t="str">
        <x:f>IF($A52="Respuesta A/B/Ambas/Ninguna","C. Si ambas son verdaderas",IF($A52="Verdadero o Falso Complejas","3. ",""))</x:f>
      </x:c>
      <x:c r="G52" s="294" t="str">
        <x:f>IF($A52="Respuesta A/B/Ambas/Ninguna","D. Si ninguna es verdadera",IF($A52="Verdadero o Falso Complejas","4. ",""))</x:f>
      </x:c>
      <x:c r="H52" s="294" t="str">
        <x:f>IF($A52="Verdadero o Falso Simple","",IF($A52="Respuesta A/B/Ambas/Ninguna","",IF($A52="Verdadero o Falso Complejas","","")))</x:f>
      </x:c>
      <x:c r="I52" s="294"/>
      <x:c r="J52" s="294" t="n">
        <x:v>3</x:v>
      </x:c>
      <x:c r="K52" s="294" t="str">
        <x:v>1P</x:v>
      </x:c>
      <x:c r="L52" s="295"/>
      <x:c r="M52" s="289"/>
      <x:c r="N52"/>
      <x:c r="O52"/>
      <x:c r="P52"/>
      <x:c r="Q52" t="str">
        <x:f>IF(TRIM($C52)="","enunciado","")</x:f>
        <x:v>enunciado</x:v>
      </x:c>
      <x:c r="R52" t="str">
        <x:f>IF(TRIM($K52)="",IF(COUNTIF($Q52:$Q52,"?*")&gt;0,", ","")&amp;"parcial","")</x:f>
      </x:c>
      <x:c r="S52" t="str">
        <x:f>IF(AND(TRIM($K52)&lt;&gt;"",TRIM($K52)&lt;&gt;"1P"),IF(COUNTIF($Q52:$R52,"?*")&gt;0,", ","")&amp;"parcial distinto a 1P","")</x:f>
      </x:c>
      <x:c r="T52" t="str">
        <x:f>IF(AND(OR($A52="Ítems agrupados por caso clínico o problema",$A52="Subítem de caso o problema",$A52="Emparejamiento Ampliado",$A52="Opción de Emparejamiento Ampliado"),TRIM($B52)=""),IF(COUNTIF($Q52:$S52,"?*")&gt;0,", ","")&amp;"grupo","")</x:f>
      </x:c>
      <x:c r="U52" t="str">
        <x:f>IF(AND(OR($A52="Verdadero o Falso Simple",$A52="Respuesta A/B/Ambas/Ninguna",$A52="Verdadero o Falso Complejas",$A52="Selección de la mejor respuesta",$A52="Subítem de caso o problema",$A52="Opción de Emparejamiento Ampliado"),TRIM($I52)=""),IF(COUNTIF($Q52:$T52,"?*")&gt;0,", ","")&amp;"respuesta_correcta","")</x:f>
      </x:c>
      <x:c r="V52" t="str">
        <x:f>IF(AND(OR($A52="Verdadero o Falso Simple",$A52="Respuesta A/B/Ambas/Ninguna",$A52="Verdadero o Falso Complejas",$A52="Selección de la mejor respuesta",$A52="Subítem de caso o problema",$A52="Opción de Emparejamiento Ampliado"),TRIM($J52)=""),IF(COUNTIF($Q52:$U52,"?*")&gt;0,", ","")&amp;"dificultad","")</x:f>
      </x:c>
      <x:c r="W52" t="str">
        <x:f>IF(AND(OR($A52="Ítems agrupados por caso clínico o problema",$A52="Emparejamiento Ampliado"),TRIM($I52)&lt;&gt;""),IF(COUNTIF($Q52:$V52,"?*")&gt;0,", ","")&amp;"respuesta debe ir vacia","")</x:f>
      </x:c>
      <x:c r="X52" t="str">
        <x:f>IF(AND(OR($A52="Ítems agrupados por caso clínico o problema",$A52="Emparejamiento Ampliado"),TRIM($J52)&lt;&gt;""),IF(COUNTIF($Q52:$W52,"?*")&gt;0,", ","")&amp;"dificultad debe ir vacia","")</x:f>
      </x:c>
      <x:c r="Y52" t="str">
        <x:f>IF(AND($A52="Verdadero o Falso Simple",OR(COUNTIF($D52:$E52,"?*")&lt;2,COUNTIF($F52:$H52,"?*")&gt;0)),IF(COUNTIF($Q52:$X52,"?*")&gt;0,", ","")&amp;"incisos A-B","")</x:f>
      </x:c>
      <x:c r="Z52" t="str">
        <x:f>IF(AND($A52="Verdadero o Falso Simple",TRIM($I52)&lt;&gt;"",NOT(OR(LEFT(TRIM($I52),1)="A",LEFT(TRIM($I52),1)="B"))),IF(COUNTIF($Q52:$Y52,"?*")&gt;0,", ","")&amp;"respuesta A-B","")</x:f>
      </x:c>
      <x:c r="AA52" t="str">
        <x:f>IF(AND($A52="Respuesta A/B/Ambas/Ninguna",COUNTIF($D52:$G52,"?*")&lt;4),IF(COUNTIF($Q52:$Z52,"?*")&gt;0,", ","")&amp;"opciones A-D","")</x:f>
      </x:c>
      <x:c r="AB52" t="str">
        <x:f>IF(AND($A52="Respuesta A/B/Ambas/Ninguna",COUNTIF($H52:$H52,"?*")&gt;0),IF(COUNTIF($Q52:$AA52,"?*")&gt;0,", ","")&amp;"opcion E deshabilitada","")</x:f>
      </x:c>
      <x:c r="AC52" t="str">
        <x:f>IF(AND($A52="Respuesta A/B/Ambas/Ninguna",TRIM($I52)&lt;&gt;"",NOT(OR(LEFT(TRIM($I52),1)="A",LEFT(TRIM($I52),1)="B",LEFT(TRIM($I52),1)="C",LEFT(TRIM($I52),1)="D"))),IF(COUNTIF($Q52:$AB52,"?*")&gt;0,", ","")&amp;"respuesta A-D","")</x:f>
      </x:c>
      <x:c r="AD52" t="str">
        <x:f>IF(AND($A52="Verdadero o Falso Complejas",OR(LEN(TRIM(SUBSTITUTE($D52,"1.","")))=0,LEN(TRIM(SUBSTITUTE($E52,"2.","")))=0,LEN(TRIM(SUBSTITUTE($F52,"3.","")))=0,LEN(TRIM(SUBSTITUTE($G52,"4.","")))=0)),IF(COUNTIF($Q52:$AC52,"?*")&gt;0,", ","")&amp;"incisos 1-4","")</x:f>
      </x:c>
      <x:c r="AE52" t="str">
        <x:f>IF(AND($A52="Verdadero o Falso Complejas",COUNTIF($H52:$H52,"?*")&gt;0),IF(COUNTIF($Q52:$AD52,"?*")&gt;0,", ","")&amp;"opcion E deshabilitada","")</x:f>
      </x:c>
      <x:c r="AF52" t="str">
        <x:f>IF(AND($A52="Verdadero o Falso Complejas",TRIM($I52)&lt;&gt;"",NOT(OR(LEFT(TRIM($I52),1)="A",LEFT(TRIM($I52),1)="B",LEFT(TRIM($I52),1)="C",LEFT(TRIM($I52),1)="D",LEFT(TRIM($I52),1)="E"))),IF(COUNTIF($Q52:$AE52,"?*")&gt;0,", ","")&amp;"respuesta A-E","")</x:f>
      </x:c>
      <x:c r="AG52" t="str">
        <x:f>IF(AND(OR($A52="Selección de la mejor respuesta",$A52="Subítem de caso o problema"),COUNTIF($D52:$H52,"?*")&lt;5),IF(COUNTIF($Q52:$AF52,"?*")&gt;0,", ","")&amp;"incisos A-E","")</x:f>
      </x:c>
      <x:c r="AH52" t="str">
        <x:f>IF(AND(OR($A52="Selección de la mejor respuesta",$A52="Subítem de caso o problema"),TRIM($I52)&lt;&gt;"",NOT(OR(LEFT(TRIM($I52),1)="A",LEFT(TRIM($I52),1)="B",LEFT(TRIM($I52),1)="C",LEFT(TRIM($I52),1)="D",LEFT(TRIM($I52),1)="E"))),IF(COUNTIF($Q52:$AG52,"?*")&gt;0,", ","")&amp;"respuesta A-E","")</x:f>
      </x:c>
      <x:c r="AI52" t="str">
        <x:f>IF(AND(OR($A52="Ítems agrupados por caso clínico o problema",$A52="Opción de Emparejamiento Ampliado"),COUNTIF($D52:$H52,"?*")&gt;0),IF(COUNTIF($Q52:$AH52,"?*")&gt;0,", ","")&amp;"sin incisos","")</x:f>
      </x:c>
      <x:c r="AJ52" t="str">
        <x:f>IF(AND($A52="Emparejamiento Ampliado",COUNTIF($D52:$H52,"?*")&lt;2),IF(COUNTIF($Q52:$AI52,"?*")&gt;0,", ","")&amp;"minimo 2 claves","")</x:f>
      </x:c>
      <x:c r="AK52" t="str">
        <x:f>IF(AND($A52="Opción de Emparejamiento Ampliado",NOT(OR(LEFT(TRIM($I52),1)="A",LEFT(TRIM($I52),1)="B",LEFT(TRIM($I52),1)="C",LEFT(TRIM($I52),1)="D",LEFT(TRIM($I52),1)="E"))),IF(COUNTIF($Q52:$AJ52,"?*")&gt;0,", ","")&amp;"respuesta A-E","")</x:f>
      </x:c>
      <x:c r="AL52" t="str">
        <x:f>IF(TRIM($K52)="",IF(COUNTIF($M52:$M52,"?*")&gt;0,", ","")&amp;"parcial","")</x:f>
      </x:c>
      <x:c r="AM52" t="str">
        <x:f>IF(AND(TRIM($K52)&lt;&gt;"",TRIM($K52)&lt;&gt;"1P"),IF(COUNTIF($M52:$N52,"?*")&gt;0,", ","")&amp;"parcial distinto a 1P","")</x:f>
      </x:c>
      <x:c r="AN52" t="str">
        <x:f>IF(AND(OR($A52="Ítems agrupados por caso clínico o problema",$A52="Subítem de caso o problema",$A52="Emparejamiento Ampliado",$A52="Opción de Emparejamiento Ampliado"),TRIM($B52)=""),IF(COUNTIF($M52:$O52,"?*")&gt;0,", ","")&amp;"grupo","")</x:f>
      </x:c>
    </x:row>
    <x:row r="53" ht="24" customHeight="1">
      <x:c r="A53" s="294"/>
      <x:c r="B53" s="294"/>
      <x:c r="C53" s="294"/>
      <x:c r="D53" s="294" t="str">
        <x:f>IF($A53="Verdadero o Falso Simple","Verdadero",IF($A53="Respuesta A/B/Ambas/Ninguna","A. Si la primera es verdadera",IF($A53="Verdadero o Falso Complejas","1. ","")))</x:f>
      </x:c>
      <x:c r="E53" s="294" t="str">
        <x:f>IF($A53="Verdadero o Falso Simple","Falso",IF($A53="Respuesta A/B/Ambas/Ninguna","B. Si la segunda es verdadera",IF($A53="Verdadero o Falso Complejas","2. ","")))</x:f>
      </x:c>
      <x:c r="F53" s="294" t="str">
        <x:f>IF($A53="Respuesta A/B/Ambas/Ninguna","C. Si ambas son verdaderas",IF($A53="Verdadero o Falso Complejas","3. ",""))</x:f>
      </x:c>
      <x:c r="G53" s="294" t="str">
        <x:f>IF($A53="Respuesta A/B/Ambas/Ninguna","D. Si ninguna es verdadera",IF($A53="Verdadero o Falso Complejas","4. ",""))</x:f>
      </x:c>
      <x:c r="H53" s="294" t="str">
        <x:f>IF($A53="Verdadero o Falso Simple","",IF($A53="Respuesta A/B/Ambas/Ninguna","",IF($A53="Verdadero o Falso Complejas","","")))</x:f>
      </x:c>
      <x:c r="I53" s="294"/>
      <x:c r="J53" s="294" t="n">
        <x:v>3</x:v>
      </x:c>
      <x:c r="K53" s="294" t="str">
        <x:v>1P</x:v>
      </x:c>
      <x:c r="L53" s="295"/>
      <x:c r="M53" s="289"/>
      <x:c r="N53"/>
      <x:c r="O53"/>
      <x:c r="P53"/>
      <x:c r="Q53" t="str">
        <x:f>IF(TRIM($C53)="","enunciado","")</x:f>
        <x:v>enunciado</x:v>
      </x:c>
      <x:c r="R53" t="str">
        <x:f>IF(TRIM($K53)="",IF(COUNTIF($Q53:$Q53,"?*")&gt;0,", ","")&amp;"parcial","")</x:f>
      </x:c>
      <x:c r="S53" t="str">
        <x:f>IF(AND(TRIM($K53)&lt;&gt;"",TRIM($K53)&lt;&gt;"1P"),IF(COUNTIF($Q53:$R53,"?*")&gt;0,", ","")&amp;"parcial distinto a 1P","")</x:f>
      </x:c>
      <x:c r="T53" t="str">
        <x:f>IF(AND(OR($A53="Ítems agrupados por caso clínico o problema",$A53="Subítem de caso o problema",$A53="Emparejamiento Ampliado",$A53="Opción de Emparejamiento Ampliado"),TRIM($B53)=""),IF(COUNTIF($Q53:$S53,"?*")&gt;0,", ","")&amp;"grupo","")</x:f>
      </x:c>
      <x:c r="U53" t="str">
        <x:f>IF(AND(OR($A53="Verdadero o Falso Simple",$A53="Respuesta A/B/Ambas/Ninguna",$A53="Verdadero o Falso Complejas",$A53="Selección de la mejor respuesta",$A53="Subítem de caso o problema",$A53="Opción de Emparejamiento Ampliado"),TRIM($I53)=""),IF(COUNTIF($Q53:$T53,"?*")&gt;0,", ","")&amp;"respuesta_correcta","")</x:f>
      </x:c>
      <x:c r="V53" t="str">
        <x:f>IF(AND(OR($A53="Verdadero o Falso Simple",$A53="Respuesta A/B/Ambas/Ninguna",$A53="Verdadero o Falso Complejas",$A53="Selección de la mejor respuesta",$A53="Subítem de caso o problema",$A53="Opción de Emparejamiento Ampliado"),TRIM($J53)=""),IF(COUNTIF($Q53:$U53,"?*")&gt;0,", ","")&amp;"dificultad","")</x:f>
      </x:c>
      <x:c r="W53" t="str">
        <x:f>IF(AND(OR($A53="Ítems agrupados por caso clínico o problema",$A53="Emparejamiento Ampliado"),TRIM($I53)&lt;&gt;""),IF(COUNTIF($Q53:$V53,"?*")&gt;0,", ","")&amp;"respuesta debe ir vacia","")</x:f>
      </x:c>
      <x:c r="X53" t="str">
        <x:f>IF(AND(OR($A53="Ítems agrupados por caso clínico o problema",$A53="Emparejamiento Ampliado"),TRIM($J53)&lt;&gt;""),IF(COUNTIF($Q53:$W53,"?*")&gt;0,", ","")&amp;"dificultad debe ir vacia","")</x:f>
      </x:c>
      <x:c r="Y53" t="str">
        <x:f>IF(AND($A53="Verdadero o Falso Simple",OR(COUNTIF($D53:$E53,"?*")&lt;2,COUNTIF($F53:$H53,"?*")&gt;0)),IF(COUNTIF($Q53:$X53,"?*")&gt;0,", ","")&amp;"incisos A-B","")</x:f>
      </x:c>
      <x:c r="Z53" t="str">
        <x:f>IF(AND($A53="Verdadero o Falso Simple",TRIM($I53)&lt;&gt;"",NOT(OR(LEFT(TRIM($I53),1)="A",LEFT(TRIM($I53),1)="B"))),IF(COUNTIF($Q53:$Y53,"?*")&gt;0,", ","")&amp;"respuesta A-B","")</x:f>
      </x:c>
      <x:c r="AA53" t="str">
        <x:f>IF(AND($A53="Respuesta A/B/Ambas/Ninguna",COUNTIF($D53:$G53,"?*")&lt;4),IF(COUNTIF($Q53:$Z53,"?*")&gt;0,", ","")&amp;"opciones A-D","")</x:f>
      </x:c>
      <x:c r="AB53" t="str">
        <x:f>IF(AND($A53="Respuesta A/B/Ambas/Ninguna",COUNTIF($H53:$H53,"?*")&gt;0),IF(COUNTIF($Q53:$AA53,"?*")&gt;0,", ","")&amp;"opcion E deshabilitada","")</x:f>
      </x:c>
      <x:c r="AC53" t="str">
        <x:f>IF(AND($A53="Respuesta A/B/Ambas/Ninguna",TRIM($I53)&lt;&gt;"",NOT(OR(LEFT(TRIM($I53),1)="A",LEFT(TRIM($I53),1)="B",LEFT(TRIM($I53),1)="C",LEFT(TRIM($I53),1)="D"))),IF(COUNTIF($Q53:$AB53,"?*")&gt;0,", ","")&amp;"respuesta A-D","")</x:f>
      </x:c>
      <x:c r="AD53" t="str">
        <x:f>IF(AND($A53="Verdadero o Falso Complejas",OR(LEN(TRIM(SUBSTITUTE($D53,"1.","")))=0,LEN(TRIM(SUBSTITUTE($E53,"2.","")))=0,LEN(TRIM(SUBSTITUTE($F53,"3.","")))=0,LEN(TRIM(SUBSTITUTE($G53,"4.","")))=0)),IF(COUNTIF($Q53:$AC53,"?*")&gt;0,", ","")&amp;"incisos 1-4","")</x:f>
      </x:c>
      <x:c r="AE53" t="str">
        <x:f>IF(AND($A53="Verdadero o Falso Complejas",COUNTIF($H53:$H53,"?*")&gt;0),IF(COUNTIF($Q53:$AD53,"?*")&gt;0,", ","")&amp;"opcion E deshabilitada","")</x:f>
      </x:c>
      <x:c r="AF53" t="str">
        <x:f>IF(AND($A53="Verdadero o Falso Complejas",TRIM($I53)&lt;&gt;"",NOT(OR(LEFT(TRIM($I53),1)="A",LEFT(TRIM($I53),1)="B",LEFT(TRIM($I53),1)="C",LEFT(TRIM($I53),1)="D",LEFT(TRIM($I53),1)="E"))),IF(COUNTIF($Q53:$AE53,"?*")&gt;0,", ","")&amp;"respuesta A-E","")</x:f>
      </x:c>
      <x:c r="AG53" t="str">
        <x:f>IF(AND(OR($A53="Selección de la mejor respuesta",$A53="Subítem de caso o problema"),COUNTIF($D53:$H53,"?*")&lt;5),IF(COUNTIF($Q53:$AF53,"?*")&gt;0,", ","")&amp;"incisos A-E","")</x:f>
      </x:c>
      <x:c r="AH53" t="str">
        <x:f>IF(AND(OR($A53="Selección de la mejor respuesta",$A53="Subítem de caso o problema"),TRIM($I53)&lt;&gt;"",NOT(OR(LEFT(TRIM($I53),1)="A",LEFT(TRIM($I53),1)="B",LEFT(TRIM($I53),1)="C",LEFT(TRIM($I53),1)="D",LEFT(TRIM($I53),1)="E"))),IF(COUNTIF($Q53:$AG53,"?*")&gt;0,", ","")&amp;"respuesta A-E","")</x:f>
      </x:c>
      <x:c r="AI53" t="str">
        <x:f>IF(AND(OR($A53="Ítems agrupados por caso clínico o problema",$A53="Opción de Emparejamiento Ampliado"),COUNTIF($D53:$H53,"?*")&gt;0),IF(COUNTIF($Q53:$AH53,"?*")&gt;0,", ","")&amp;"sin incisos","")</x:f>
      </x:c>
      <x:c r="AJ53" t="str">
        <x:f>IF(AND($A53="Emparejamiento Ampliado",COUNTIF($D53:$H53,"?*")&lt;2),IF(COUNTIF($Q53:$AI53,"?*")&gt;0,", ","")&amp;"minimo 2 claves","")</x:f>
      </x:c>
      <x:c r="AK53" t="str">
        <x:f>IF(AND($A53="Opción de Emparejamiento Ampliado",NOT(OR(LEFT(TRIM($I53),1)="A",LEFT(TRIM($I53),1)="B",LEFT(TRIM($I53),1)="C",LEFT(TRIM($I53),1)="D",LEFT(TRIM($I53),1)="E"))),IF(COUNTIF($Q53:$AJ53,"?*")&gt;0,", ","")&amp;"respuesta A-E","")</x:f>
      </x:c>
      <x:c r="AL53" t="str">
        <x:f>IF(TRIM($K53)="",IF(COUNTIF($M53:$M53,"?*")&gt;0,", ","")&amp;"parcial","")</x:f>
      </x:c>
      <x:c r="AM53" t="str">
        <x:f>IF(AND(TRIM($K53)&lt;&gt;"",TRIM($K53)&lt;&gt;"1P"),IF(COUNTIF($M53:$N53,"?*")&gt;0,", ","")&amp;"parcial distinto a 1P","")</x:f>
      </x:c>
      <x:c r="AN53" t="str">
        <x:f>IF(AND(OR($A53="Ítems agrupados por caso clínico o problema",$A53="Subítem de caso o problema",$A53="Emparejamiento Ampliado",$A53="Opción de Emparejamiento Ampliado"),TRIM($B53)=""),IF(COUNTIF($M53:$O53,"?*")&gt;0,", ","")&amp;"grupo","")</x:f>
      </x:c>
    </x:row>
    <x:row r="54" ht="24" customHeight="1">
      <x:c r="A54" s="294"/>
      <x:c r="B54" s="294"/>
      <x:c r="C54" s="294"/>
      <x:c r="D54" s="294" t="str">
        <x:f>IF($A54="Verdadero o Falso Simple","Verdadero",IF($A54="Respuesta A/B/Ambas/Ninguna","A. Si la primera es verdadera",IF($A54="Verdadero o Falso Complejas","1. ","")))</x:f>
      </x:c>
      <x:c r="E54" s="294" t="str">
        <x:f>IF($A54="Verdadero o Falso Simple","Falso",IF($A54="Respuesta A/B/Ambas/Ninguna","B. Si la segunda es verdadera",IF($A54="Verdadero o Falso Complejas","2. ","")))</x:f>
      </x:c>
      <x:c r="F54" s="294" t="str">
        <x:f>IF($A54="Respuesta A/B/Ambas/Ninguna","C. Si ambas son verdaderas",IF($A54="Verdadero o Falso Complejas","3. ",""))</x:f>
      </x:c>
      <x:c r="G54" s="294" t="str">
        <x:f>IF($A54="Respuesta A/B/Ambas/Ninguna","D. Si ninguna es verdadera",IF($A54="Verdadero o Falso Complejas","4. ",""))</x:f>
      </x:c>
      <x:c r="H54" s="294" t="str">
        <x:f>IF($A54="Verdadero o Falso Simple","",IF($A54="Respuesta A/B/Ambas/Ninguna","",IF($A54="Verdadero o Falso Complejas","","")))</x:f>
      </x:c>
      <x:c r="I54" s="294"/>
      <x:c r="J54" s="294" t="n">
        <x:v>3</x:v>
      </x:c>
      <x:c r="K54" s="294" t="str">
        <x:v>1P</x:v>
      </x:c>
      <x:c r="L54" s="295"/>
      <x:c r="M54" s="289"/>
      <x:c r="N54"/>
      <x:c r="O54"/>
      <x:c r="P54"/>
      <x:c r="Q54" t="str">
        <x:f>IF(TRIM($C54)="","enunciado","")</x:f>
        <x:v>enunciado</x:v>
      </x:c>
      <x:c r="R54" t="str">
        <x:f>IF(TRIM($K54)="",IF(COUNTIF($Q54:$Q54,"?*")&gt;0,", ","")&amp;"parcial","")</x:f>
      </x:c>
      <x:c r="S54" t="str">
        <x:f>IF(AND(TRIM($K54)&lt;&gt;"",TRIM($K54)&lt;&gt;"1P"),IF(COUNTIF($Q54:$R54,"?*")&gt;0,", ","")&amp;"parcial distinto a 1P","")</x:f>
      </x:c>
      <x:c r="T54" t="str">
        <x:f>IF(AND(OR($A54="Ítems agrupados por caso clínico o problema",$A54="Subítem de caso o problema",$A54="Emparejamiento Ampliado",$A54="Opción de Emparejamiento Ampliado"),TRIM($B54)=""),IF(COUNTIF($Q54:$S54,"?*")&gt;0,", ","")&amp;"grupo","")</x:f>
      </x:c>
      <x:c r="U54" t="str">
        <x:f>IF(AND(OR($A54="Verdadero o Falso Simple",$A54="Respuesta A/B/Ambas/Ninguna",$A54="Verdadero o Falso Complejas",$A54="Selección de la mejor respuesta",$A54="Subítem de caso o problema",$A54="Opción de Emparejamiento Ampliado"),TRIM($I54)=""),IF(COUNTIF($Q54:$T54,"?*")&gt;0,", ","")&amp;"respuesta_correcta","")</x:f>
      </x:c>
      <x:c r="V54" t="str">
        <x:f>IF(AND(OR($A54="Verdadero o Falso Simple",$A54="Respuesta A/B/Ambas/Ninguna",$A54="Verdadero o Falso Complejas",$A54="Selección de la mejor respuesta",$A54="Subítem de caso o problema",$A54="Opción de Emparejamiento Ampliado"),TRIM($J54)=""),IF(COUNTIF($Q54:$U54,"?*")&gt;0,", ","")&amp;"dificultad","")</x:f>
      </x:c>
      <x:c r="W54" t="str">
        <x:f>IF(AND(OR($A54="Ítems agrupados por caso clínico o problema",$A54="Emparejamiento Ampliado"),TRIM($I54)&lt;&gt;""),IF(COUNTIF($Q54:$V54,"?*")&gt;0,", ","")&amp;"respuesta debe ir vacia","")</x:f>
      </x:c>
      <x:c r="X54" t="str">
        <x:f>IF(AND(OR($A54="Ítems agrupados por caso clínico o problema",$A54="Emparejamiento Ampliado"),TRIM($J54)&lt;&gt;""),IF(COUNTIF($Q54:$W54,"?*")&gt;0,", ","")&amp;"dificultad debe ir vacia","")</x:f>
      </x:c>
      <x:c r="Y54" t="str">
        <x:f>IF(AND($A54="Verdadero o Falso Simple",OR(COUNTIF($D54:$E54,"?*")&lt;2,COUNTIF($F54:$H54,"?*")&gt;0)),IF(COUNTIF($Q54:$X54,"?*")&gt;0,", ","")&amp;"incisos A-B","")</x:f>
      </x:c>
      <x:c r="Z54" t="str">
        <x:f>IF(AND($A54="Verdadero o Falso Simple",TRIM($I54)&lt;&gt;"",NOT(OR(LEFT(TRIM($I54),1)="A",LEFT(TRIM($I54),1)="B"))),IF(COUNTIF($Q54:$Y54,"?*")&gt;0,", ","")&amp;"respuesta A-B","")</x:f>
      </x:c>
      <x:c r="AA54" t="str">
        <x:f>IF(AND($A54="Respuesta A/B/Ambas/Ninguna",COUNTIF($D54:$G54,"?*")&lt;4),IF(COUNTIF($Q54:$Z54,"?*")&gt;0,", ","")&amp;"opciones A-D","")</x:f>
      </x:c>
      <x:c r="AB54" t="str">
        <x:f>IF(AND($A54="Respuesta A/B/Ambas/Ninguna",COUNTIF($H54:$H54,"?*")&gt;0),IF(COUNTIF($Q54:$AA54,"?*")&gt;0,", ","")&amp;"opcion E deshabilitada","")</x:f>
      </x:c>
      <x:c r="AC54" t="str">
        <x:f>IF(AND($A54="Respuesta A/B/Ambas/Ninguna",TRIM($I54)&lt;&gt;"",NOT(OR(LEFT(TRIM($I54),1)="A",LEFT(TRIM($I54),1)="B",LEFT(TRIM($I54),1)="C",LEFT(TRIM($I54),1)="D"))),IF(COUNTIF($Q54:$AB54,"?*")&gt;0,", ","")&amp;"respuesta A-D","")</x:f>
      </x:c>
      <x:c r="AD54" t="str">
        <x:f>IF(AND($A54="Verdadero o Falso Complejas",OR(LEN(TRIM(SUBSTITUTE($D54,"1.","")))=0,LEN(TRIM(SUBSTITUTE($E54,"2.","")))=0,LEN(TRIM(SUBSTITUTE($F54,"3.","")))=0,LEN(TRIM(SUBSTITUTE($G54,"4.","")))=0)),IF(COUNTIF($Q54:$AC54,"?*")&gt;0,", ","")&amp;"incisos 1-4","")</x:f>
      </x:c>
      <x:c r="AE54" t="str">
        <x:f>IF(AND($A54="Verdadero o Falso Complejas",COUNTIF($H54:$H54,"?*")&gt;0),IF(COUNTIF($Q54:$AD54,"?*")&gt;0,", ","")&amp;"opcion E deshabilitada","")</x:f>
      </x:c>
      <x:c r="AF54" t="str">
        <x:f>IF(AND($A54="Verdadero o Falso Complejas",TRIM($I54)&lt;&gt;"",NOT(OR(LEFT(TRIM($I54),1)="A",LEFT(TRIM($I54),1)="B",LEFT(TRIM($I54),1)="C",LEFT(TRIM($I54),1)="D",LEFT(TRIM($I54),1)="E"))),IF(COUNTIF($Q54:$AE54,"?*")&gt;0,", ","")&amp;"respuesta A-E","")</x:f>
      </x:c>
      <x:c r="AG54" t="str">
        <x:f>IF(AND(OR($A54="Selección de la mejor respuesta",$A54="Subítem de caso o problema"),COUNTIF($D54:$H54,"?*")&lt;5),IF(COUNTIF($Q54:$AF54,"?*")&gt;0,", ","")&amp;"incisos A-E","")</x:f>
      </x:c>
      <x:c r="AH54" t="str">
        <x:f>IF(AND(OR($A54="Selección de la mejor respuesta",$A54="Subítem de caso o problema"),TRIM($I54)&lt;&gt;"",NOT(OR(LEFT(TRIM($I54),1)="A",LEFT(TRIM($I54),1)="B",LEFT(TRIM($I54),1)="C",LEFT(TRIM($I54),1)="D",LEFT(TRIM($I54),1)="E"))),IF(COUNTIF($Q54:$AG54,"?*")&gt;0,", ","")&amp;"respuesta A-E","")</x:f>
      </x:c>
      <x:c r="AI54" t="str">
        <x:f>IF(AND(OR($A54="Ítems agrupados por caso clínico o problema",$A54="Opción de Emparejamiento Ampliado"),COUNTIF($D54:$H54,"?*")&gt;0),IF(COUNTIF($Q54:$AH54,"?*")&gt;0,", ","")&amp;"sin incisos","")</x:f>
      </x:c>
      <x:c r="AJ54" t="str">
        <x:f>IF(AND($A54="Emparejamiento Ampliado",COUNTIF($D54:$H54,"?*")&lt;2),IF(COUNTIF($Q54:$AI54,"?*")&gt;0,", ","")&amp;"minimo 2 claves","")</x:f>
      </x:c>
      <x:c r="AK54" t="str">
        <x:f>IF(AND($A54="Opción de Emparejamiento Ampliado",NOT(OR(LEFT(TRIM($I54),1)="A",LEFT(TRIM($I54),1)="B",LEFT(TRIM($I54),1)="C",LEFT(TRIM($I54),1)="D",LEFT(TRIM($I54),1)="E"))),IF(COUNTIF($Q54:$AJ54,"?*")&gt;0,", ","")&amp;"respuesta A-E","")</x:f>
      </x:c>
      <x:c r="AL54" t="str">
        <x:f>IF(TRIM($K54)="",IF(COUNTIF($M54:$M54,"?*")&gt;0,", ","")&amp;"parcial","")</x:f>
      </x:c>
      <x:c r="AM54" t="str">
        <x:f>IF(AND(TRIM($K54)&lt;&gt;"",TRIM($K54)&lt;&gt;"1P"),IF(COUNTIF($M54:$N54,"?*")&gt;0,", ","")&amp;"parcial distinto a 1P","")</x:f>
      </x:c>
      <x:c r="AN54" t="str">
        <x:f>IF(AND(OR($A54="Ítems agrupados por caso clínico o problema",$A54="Subítem de caso o problema",$A54="Emparejamiento Ampliado",$A54="Opción de Emparejamiento Ampliado"),TRIM($B54)=""),IF(COUNTIF($M54:$O54,"?*")&gt;0,", ","")&amp;"grupo","")</x:f>
      </x:c>
    </x:row>
    <x:row r="55" ht="24" customHeight="1">
      <x:c r="A55" s="294"/>
      <x:c r="B55" s="294"/>
      <x:c r="C55" s="294"/>
      <x:c r="D55" s="294" t="str">
        <x:f>IF($A55="Verdadero o Falso Simple","Verdadero",IF($A55="Respuesta A/B/Ambas/Ninguna","A. Si la primera es verdadera",IF($A55="Verdadero o Falso Complejas","1. ","")))</x:f>
      </x:c>
      <x:c r="E55" s="294" t="str">
        <x:f>IF($A55="Verdadero o Falso Simple","Falso",IF($A55="Respuesta A/B/Ambas/Ninguna","B. Si la segunda es verdadera",IF($A55="Verdadero o Falso Complejas","2. ","")))</x:f>
      </x:c>
      <x:c r="F55" s="294" t="str">
        <x:f>IF($A55="Respuesta A/B/Ambas/Ninguna","C. Si ambas son verdaderas",IF($A55="Verdadero o Falso Complejas","3. ",""))</x:f>
      </x:c>
      <x:c r="G55" s="294" t="str">
        <x:f>IF($A55="Respuesta A/B/Ambas/Ninguna","D. Si ninguna es verdadera",IF($A55="Verdadero o Falso Complejas","4. ",""))</x:f>
      </x:c>
      <x:c r="H55" s="294" t="str">
        <x:f>IF($A55="Verdadero o Falso Simple","",IF($A55="Respuesta A/B/Ambas/Ninguna","",IF($A55="Verdadero o Falso Complejas","","")))</x:f>
      </x:c>
      <x:c r="I55" s="294"/>
      <x:c r="J55" s="294" t="n">
        <x:v>3</x:v>
      </x:c>
      <x:c r="K55" s="294" t="str">
        <x:v>1P</x:v>
      </x:c>
      <x:c r="L55" s="295"/>
      <x:c r="M55" s="289"/>
      <x:c r="N55"/>
      <x:c r="O55"/>
      <x:c r="P55"/>
      <x:c r="Q55" t="str">
        <x:f>IF(TRIM($C55)="","enunciado","")</x:f>
        <x:v>enunciado</x:v>
      </x:c>
      <x:c r="R55" t="str">
        <x:f>IF(TRIM($K55)="",IF(COUNTIF($Q55:$Q55,"?*")&gt;0,", ","")&amp;"parcial","")</x:f>
      </x:c>
      <x:c r="S55" t="str">
        <x:f>IF(AND(TRIM($K55)&lt;&gt;"",TRIM($K55)&lt;&gt;"1P"),IF(COUNTIF($Q55:$R55,"?*")&gt;0,", ","")&amp;"parcial distinto a 1P","")</x:f>
      </x:c>
      <x:c r="T55" t="str">
        <x:f>IF(AND(OR($A55="Ítems agrupados por caso clínico o problema",$A55="Subítem de caso o problema",$A55="Emparejamiento Ampliado",$A55="Opción de Emparejamiento Ampliado"),TRIM($B55)=""),IF(COUNTIF($Q55:$S55,"?*")&gt;0,", ","")&amp;"grupo","")</x:f>
      </x:c>
      <x:c r="U55" t="str">
        <x:f>IF(AND(OR($A55="Verdadero o Falso Simple",$A55="Respuesta A/B/Ambas/Ninguna",$A55="Verdadero o Falso Complejas",$A55="Selección de la mejor respuesta",$A55="Subítem de caso o problema",$A55="Opción de Emparejamiento Ampliado"),TRIM($I55)=""),IF(COUNTIF($Q55:$T55,"?*")&gt;0,", ","")&amp;"respuesta_correcta","")</x:f>
      </x:c>
      <x:c r="V55" t="str">
        <x:f>IF(AND(OR($A55="Verdadero o Falso Simple",$A55="Respuesta A/B/Ambas/Ninguna",$A55="Verdadero o Falso Complejas",$A55="Selección de la mejor respuesta",$A55="Subítem de caso o problema",$A55="Opción de Emparejamiento Ampliado"),TRIM($J55)=""),IF(COUNTIF($Q55:$U55,"?*")&gt;0,", ","")&amp;"dificultad","")</x:f>
      </x:c>
      <x:c r="W55" t="str">
        <x:f>IF(AND(OR($A55="Ítems agrupados por caso clínico o problema",$A55="Emparejamiento Ampliado"),TRIM($I55)&lt;&gt;""),IF(COUNTIF($Q55:$V55,"?*")&gt;0,", ","")&amp;"respuesta debe ir vacia","")</x:f>
      </x:c>
      <x:c r="X55" t="str">
        <x:f>IF(AND(OR($A55="Ítems agrupados por caso clínico o problema",$A55="Emparejamiento Ampliado"),TRIM($J55)&lt;&gt;""),IF(COUNTIF($Q55:$W55,"?*")&gt;0,", ","")&amp;"dificultad debe ir vacia","")</x:f>
      </x:c>
      <x:c r="Y55" t="str">
        <x:f>IF(AND($A55="Verdadero o Falso Simple",OR(COUNTIF($D55:$E55,"?*")&lt;2,COUNTIF($F55:$H55,"?*")&gt;0)),IF(COUNTIF($Q55:$X55,"?*")&gt;0,", ","")&amp;"incisos A-B","")</x:f>
      </x:c>
      <x:c r="Z55" t="str">
        <x:f>IF(AND($A55="Verdadero o Falso Simple",TRIM($I55)&lt;&gt;"",NOT(OR(LEFT(TRIM($I55),1)="A",LEFT(TRIM($I55),1)="B"))),IF(COUNTIF($Q55:$Y55,"?*")&gt;0,", ","")&amp;"respuesta A-B","")</x:f>
      </x:c>
      <x:c r="AA55" t="str">
        <x:f>IF(AND($A55="Respuesta A/B/Ambas/Ninguna",COUNTIF($D55:$G55,"?*")&lt;4),IF(COUNTIF($Q55:$Z55,"?*")&gt;0,", ","")&amp;"opciones A-D","")</x:f>
      </x:c>
      <x:c r="AB55" t="str">
        <x:f>IF(AND($A55="Respuesta A/B/Ambas/Ninguna",COUNTIF($H55:$H55,"?*")&gt;0),IF(COUNTIF($Q55:$AA55,"?*")&gt;0,", ","")&amp;"opcion E deshabilitada","")</x:f>
      </x:c>
      <x:c r="AC55" t="str">
        <x:f>IF(AND($A55="Respuesta A/B/Ambas/Ninguna",TRIM($I55)&lt;&gt;"",NOT(OR(LEFT(TRIM($I55),1)="A",LEFT(TRIM($I55),1)="B",LEFT(TRIM($I55),1)="C",LEFT(TRIM($I55),1)="D"))),IF(COUNTIF($Q55:$AB55,"?*")&gt;0,", ","")&amp;"respuesta A-D","")</x:f>
      </x:c>
      <x:c r="AD55" t="str">
        <x:f>IF(AND($A55="Verdadero o Falso Complejas",OR(LEN(TRIM(SUBSTITUTE($D55,"1.","")))=0,LEN(TRIM(SUBSTITUTE($E55,"2.","")))=0,LEN(TRIM(SUBSTITUTE($F55,"3.","")))=0,LEN(TRIM(SUBSTITUTE($G55,"4.","")))=0)),IF(COUNTIF($Q55:$AC55,"?*")&gt;0,", ","")&amp;"incisos 1-4","")</x:f>
      </x:c>
      <x:c r="AE55" t="str">
        <x:f>IF(AND($A55="Verdadero o Falso Complejas",COUNTIF($H55:$H55,"?*")&gt;0),IF(COUNTIF($Q55:$AD55,"?*")&gt;0,", ","")&amp;"opcion E deshabilitada","")</x:f>
      </x:c>
      <x:c r="AF55" t="str">
        <x:f>IF(AND($A55="Verdadero o Falso Complejas",TRIM($I55)&lt;&gt;"",NOT(OR(LEFT(TRIM($I55),1)="A",LEFT(TRIM($I55),1)="B",LEFT(TRIM($I55),1)="C",LEFT(TRIM($I55),1)="D",LEFT(TRIM($I55),1)="E"))),IF(COUNTIF($Q55:$AE55,"?*")&gt;0,", ","")&amp;"respuesta A-E","")</x:f>
      </x:c>
      <x:c r="AG55" t="str">
        <x:f>IF(AND(OR($A55="Selección de la mejor respuesta",$A55="Subítem de caso o problema"),COUNTIF($D55:$H55,"?*")&lt;5),IF(COUNTIF($Q55:$AF55,"?*")&gt;0,", ","")&amp;"incisos A-E","")</x:f>
      </x:c>
      <x:c r="AH55" t="str">
        <x:f>IF(AND(OR($A55="Selección de la mejor respuesta",$A55="Subítem de caso o problema"),TRIM($I55)&lt;&gt;"",NOT(OR(LEFT(TRIM($I55),1)="A",LEFT(TRIM($I55),1)="B",LEFT(TRIM($I55),1)="C",LEFT(TRIM($I55),1)="D",LEFT(TRIM($I55),1)="E"))),IF(COUNTIF($Q55:$AG55,"?*")&gt;0,", ","")&amp;"respuesta A-E","")</x:f>
      </x:c>
      <x:c r="AI55" t="str">
        <x:f>IF(AND(OR($A55="Ítems agrupados por caso clínico o problema",$A55="Opción de Emparejamiento Ampliado"),COUNTIF($D55:$H55,"?*")&gt;0),IF(COUNTIF($Q55:$AH55,"?*")&gt;0,", ","")&amp;"sin incisos","")</x:f>
      </x:c>
      <x:c r="AJ55" t="str">
        <x:f>IF(AND($A55="Emparejamiento Ampliado",COUNTIF($D55:$H55,"?*")&lt;2),IF(COUNTIF($Q55:$AI55,"?*")&gt;0,", ","")&amp;"minimo 2 claves","")</x:f>
      </x:c>
      <x:c r="AK55" t="str">
        <x:f>IF(AND($A55="Opción de Emparejamiento Ampliado",NOT(OR(LEFT(TRIM($I55),1)="A",LEFT(TRIM($I55),1)="B",LEFT(TRIM($I55),1)="C",LEFT(TRIM($I55),1)="D",LEFT(TRIM($I55),1)="E"))),IF(COUNTIF($Q55:$AJ55,"?*")&gt;0,", ","")&amp;"respuesta A-E","")</x:f>
      </x:c>
      <x:c r="AL55" t="str">
        <x:f>IF(TRIM($K55)="",IF(COUNTIF($M55:$M55,"?*")&gt;0,", ","")&amp;"parcial","")</x:f>
      </x:c>
      <x:c r="AM55" t="str">
        <x:f>IF(AND(TRIM($K55)&lt;&gt;"",TRIM($K55)&lt;&gt;"1P"),IF(COUNTIF($M55:$N55,"?*")&gt;0,", ","")&amp;"parcial distinto a 1P","")</x:f>
      </x:c>
      <x:c r="AN55" t="str">
        <x:f>IF(AND(OR($A55="Ítems agrupados por caso clínico o problema",$A55="Subítem de caso o problema",$A55="Emparejamiento Ampliado",$A55="Opción de Emparejamiento Ampliado"),TRIM($B55)=""),IF(COUNTIF($M55:$O55,"?*")&gt;0,", ","")&amp;"grupo","")</x:f>
      </x:c>
    </x:row>
    <x:row r="56" ht="24" customHeight="1">
      <x:c r="A56" s="294"/>
      <x:c r="B56" s="294"/>
      <x:c r="C56" s="294"/>
      <x:c r="D56" s="294" t="str">
        <x:f>IF($A56="Verdadero o Falso Simple","Verdadero",IF($A56="Respuesta A/B/Ambas/Ninguna","A. Si la primera es verdadera",IF($A56="Verdadero o Falso Complejas","1. ","")))</x:f>
      </x:c>
      <x:c r="E56" s="294" t="str">
        <x:f>IF($A56="Verdadero o Falso Simple","Falso",IF($A56="Respuesta A/B/Ambas/Ninguna","B. Si la segunda es verdadera",IF($A56="Verdadero o Falso Complejas","2. ","")))</x:f>
      </x:c>
      <x:c r="F56" s="294" t="str">
        <x:f>IF($A56="Respuesta A/B/Ambas/Ninguna","C. Si ambas son verdaderas",IF($A56="Verdadero o Falso Complejas","3. ",""))</x:f>
      </x:c>
      <x:c r="G56" s="294" t="str">
        <x:f>IF($A56="Respuesta A/B/Ambas/Ninguna","D. Si ninguna es verdadera",IF($A56="Verdadero o Falso Complejas","4. ",""))</x:f>
      </x:c>
      <x:c r="H56" s="294" t="str">
        <x:f>IF($A56="Verdadero o Falso Simple","",IF($A56="Respuesta A/B/Ambas/Ninguna","",IF($A56="Verdadero o Falso Complejas","","")))</x:f>
      </x:c>
      <x:c r="I56" s="294"/>
      <x:c r="J56" s="294" t="n">
        <x:v>3</x:v>
      </x:c>
      <x:c r="K56" s="294" t="str">
        <x:v>1P</x:v>
      </x:c>
      <x:c r="L56" s="295"/>
      <x:c r="M56" s="289"/>
      <x:c r="N56"/>
      <x:c r="O56"/>
      <x:c r="P56"/>
      <x:c r="Q56" t="str">
        <x:f>IF(TRIM($C56)="","enunciado","")</x:f>
        <x:v>enunciado</x:v>
      </x:c>
      <x:c r="R56" t="str">
        <x:f>IF(TRIM($K56)="",IF(COUNTIF($Q56:$Q56,"?*")&gt;0,", ","")&amp;"parcial","")</x:f>
      </x:c>
      <x:c r="S56" t="str">
        <x:f>IF(AND(TRIM($K56)&lt;&gt;"",TRIM($K56)&lt;&gt;"1P"),IF(COUNTIF($Q56:$R56,"?*")&gt;0,", ","")&amp;"parcial distinto a 1P","")</x:f>
      </x:c>
      <x:c r="T56" t="str">
        <x:f>IF(AND(OR($A56="Ítems agrupados por caso clínico o problema",$A56="Subítem de caso o problema",$A56="Emparejamiento Ampliado",$A56="Opción de Emparejamiento Ampliado"),TRIM($B56)=""),IF(COUNTIF($Q56:$S56,"?*")&gt;0,", ","")&amp;"grupo","")</x:f>
      </x:c>
      <x:c r="U56" t="str">
        <x:f>IF(AND(OR($A56="Verdadero o Falso Simple",$A56="Respuesta A/B/Ambas/Ninguna",$A56="Verdadero o Falso Complejas",$A56="Selección de la mejor respuesta",$A56="Subítem de caso o problema",$A56="Opción de Emparejamiento Ampliado"),TRIM($I56)=""),IF(COUNTIF($Q56:$T56,"?*")&gt;0,", ","")&amp;"respuesta_correcta","")</x:f>
      </x:c>
      <x:c r="V56" t="str">
        <x:f>IF(AND(OR($A56="Verdadero o Falso Simple",$A56="Respuesta A/B/Ambas/Ninguna",$A56="Verdadero o Falso Complejas",$A56="Selección de la mejor respuesta",$A56="Subítem de caso o problema",$A56="Opción de Emparejamiento Ampliado"),TRIM($J56)=""),IF(COUNTIF($Q56:$U56,"?*")&gt;0,", ","")&amp;"dificultad","")</x:f>
      </x:c>
      <x:c r="W56" t="str">
        <x:f>IF(AND(OR($A56="Ítems agrupados por caso clínico o problema",$A56="Emparejamiento Ampliado"),TRIM($I56)&lt;&gt;""),IF(COUNTIF($Q56:$V56,"?*")&gt;0,", ","")&amp;"respuesta debe ir vacia","")</x:f>
      </x:c>
      <x:c r="X56" t="str">
        <x:f>IF(AND(OR($A56="Ítems agrupados por caso clínico o problema",$A56="Emparejamiento Ampliado"),TRIM($J56)&lt;&gt;""),IF(COUNTIF($Q56:$W56,"?*")&gt;0,", ","")&amp;"dificultad debe ir vacia","")</x:f>
      </x:c>
      <x:c r="Y56" t="str">
        <x:f>IF(AND($A56="Verdadero o Falso Simple",OR(COUNTIF($D56:$E56,"?*")&lt;2,COUNTIF($F56:$H56,"?*")&gt;0)),IF(COUNTIF($Q56:$X56,"?*")&gt;0,", ","")&amp;"incisos A-B","")</x:f>
      </x:c>
      <x:c r="Z56" t="str">
        <x:f>IF(AND($A56="Verdadero o Falso Simple",TRIM($I56)&lt;&gt;"",NOT(OR(LEFT(TRIM($I56),1)="A",LEFT(TRIM($I56),1)="B"))),IF(COUNTIF($Q56:$Y56,"?*")&gt;0,", ","")&amp;"respuesta A-B","")</x:f>
      </x:c>
      <x:c r="AA56" t="str">
        <x:f>IF(AND($A56="Respuesta A/B/Ambas/Ninguna",COUNTIF($D56:$G56,"?*")&lt;4),IF(COUNTIF($Q56:$Z56,"?*")&gt;0,", ","")&amp;"opciones A-D","")</x:f>
      </x:c>
      <x:c r="AB56" t="str">
        <x:f>IF(AND($A56="Respuesta A/B/Ambas/Ninguna",COUNTIF($H56:$H56,"?*")&gt;0),IF(COUNTIF($Q56:$AA56,"?*")&gt;0,", ","")&amp;"opcion E deshabilitada","")</x:f>
      </x:c>
      <x:c r="AC56" t="str">
        <x:f>IF(AND($A56="Respuesta A/B/Ambas/Ninguna",TRIM($I56)&lt;&gt;"",NOT(OR(LEFT(TRIM($I56),1)="A",LEFT(TRIM($I56),1)="B",LEFT(TRIM($I56),1)="C",LEFT(TRIM($I56),1)="D"))),IF(COUNTIF($Q56:$AB56,"?*")&gt;0,", ","")&amp;"respuesta A-D","")</x:f>
      </x:c>
      <x:c r="AD56" t="str">
        <x:f>IF(AND($A56="Verdadero o Falso Complejas",OR(LEN(TRIM(SUBSTITUTE($D56,"1.","")))=0,LEN(TRIM(SUBSTITUTE($E56,"2.","")))=0,LEN(TRIM(SUBSTITUTE($F56,"3.","")))=0,LEN(TRIM(SUBSTITUTE($G56,"4.","")))=0)),IF(COUNTIF($Q56:$AC56,"?*")&gt;0,", ","")&amp;"incisos 1-4","")</x:f>
      </x:c>
      <x:c r="AE56" t="str">
        <x:f>IF(AND($A56="Verdadero o Falso Complejas",COUNTIF($H56:$H56,"?*")&gt;0),IF(COUNTIF($Q56:$AD56,"?*")&gt;0,", ","")&amp;"opcion E deshabilitada","")</x:f>
      </x:c>
      <x:c r="AF56" t="str">
        <x:f>IF(AND($A56="Verdadero o Falso Complejas",TRIM($I56)&lt;&gt;"",NOT(OR(LEFT(TRIM($I56),1)="A",LEFT(TRIM($I56),1)="B",LEFT(TRIM($I56),1)="C",LEFT(TRIM($I56),1)="D",LEFT(TRIM($I56),1)="E"))),IF(COUNTIF($Q56:$AE56,"?*")&gt;0,", ","")&amp;"respuesta A-E","")</x:f>
      </x:c>
      <x:c r="AG56" t="str">
        <x:f>IF(AND(OR($A56="Selección de la mejor respuesta",$A56="Subítem de caso o problema"),COUNTIF($D56:$H56,"?*")&lt;5),IF(COUNTIF($Q56:$AF56,"?*")&gt;0,", ","")&amp;"incisos A-E","")</x:f>
      </x:c>
      <x:c r="AH56" t="str">
        <x:f>IF(AND(OR($A56="Selección de la mejor respuesta",$A56="Subítem de caso o problema"),TRIM($I56)&lt;&gt;"",NOT(OR(LEFT(TRIM($I56),1)="A",LEFT(TRIM($I56),1)="B",LEFT(TRIM($I56),1)="C",LEFT(TRIM($I56),1)="D",LEFT(TRIM($I56),1)="E"))),IF(COUNTIF($Q56:$AG56,"?*")&gt;0,", ","")&amp;"respuesta A-E","")</x:f>
      </x:c>
      <x:c r="AI56" t="str">
        <x:f>IF(AND(OR($A56="Ítems agrupados por caso clínico o problema",$A56="Opción de Emparejamiento Ampliado"),COUNTIF($D56:$H56,"?*")&gt;0),IF(COUNTIF($Q56:$AH56,"?*")&gt;0,", ","")&amp;"sin incisos","")</x:f>
      </x:c>
      <x:c r="AJ56" t="str">
        <x:f>IF(AND($A56="Emparejamiento Ampliado",COUNTIF($D56:$H56,"?*")&lt;2),IF(COUNTIF($Q56:$AI56,"?*")&gt;0,", ","")&amp;"minimo 2 claves","")</x:f>
      </x:c>
      <x:c r="AK56" t="str">
        <x:f>IF(AND($A56="Opción de Emparejamiento Ampliado",NOT(OR(LEFT(TRIM($I56),1)="A",LEFT(TRIM($I56),1)="B",LEFT(TRIM($I56),1)="C",LEFT(TRIM($I56),1)="D",LEFT(TRIM($I56),1)="E"))),IF(COUNTIF($Q56:$AJ56,"?*")&gt;0,", ","")&amp;"respuesta A-E","")</x:f>
      </x:c>
      <x:c r="AL56" t="str">
        <x:f>IF(TRIM($K56)="",IF(COUNTIF($M56:$M56,"?*")&gt;0,", ","")&amp;"parcial","")</x:f>
      </x:c>
      <x:c r="AM56" t="str">
        <x:f>IF(AND(TRIM($K56)&lt;&gt;"",TRIM($K56)&lt;&gt;"1P"),IF(COUNTIF($M56:$N56,"?*")&gt;0,", ","")&amp;"parcial distinto a 1P","")</x:f>
      </x:c>
      <x:c r="AN56" t="str">
        <x:f>IF(AND(OR($A56="Ítems agrupados por caso clínico o problema",$A56="Subítem de caso o problema",$A56="Emparejamiento Ampliado",$A56="Opción de Emparejamiento Ampliado"),TRIM($B56)=""),IF(COUNTIF($M56:$O56,"?*")&gt;0,", ","")&amp;"grupo","")</x:f>
      </x:c>
    </x:row>
    <x:row r="57" ht="24" customHeight="1">
      <x:c r="A57" s="294"/>
      <x:c r="B57" s="294"/>
      <x:c r="C57" s="294"/>
      <x:c r="D57" s="294" t="str">
        <x:f>IF($A57="Verdadero o Falso Simple","Verdadero",IF($A57="Respuesta A/B/Ambas/Ninguna","A. Si la primera es verdadera",IF($A57="Verdadero o Falso Complejas","1. ","")))</x:f>
      </x:c>
      <x:c r="E57" s="294" t="str">
        <x:f>IF($A57="Verdadero o Falso Simple","Falso",IF($A57="Respuesta A/B/Ambas/Ninguna","B. Si la segunda es verdadera",IF($A57="Verdadero o Falso Complejas","2. ","")))</x:f>
      </x:c>
      <x:c r="F57" s="294" t="str">
        <x:f>IF($A57="Respuesta A/B/Ambas/Ninguna","C. Si ambas son verdaderas",IF($A57="Verdadero o Falso Complejas","3. ",""))</x:f>
      </x:c>
      <x:c r="G57" s="294" t="str">
        <x:f>IF($A57="Respuesta A/B/Ambas/Ninguna","D. Si ninguna es verdadera",IF($A57="Verdadero o Falso Complejas","4. ",""))</x:f>
      </x:c>
      <x:c r="H57" s="294" t="str">
        <x:f>IF($A57="Verdadero o Falso Simple","",IF($A57="Respuesta A/B/Ambas/Ninguna","",IF($A57="Verdadero o Falso Complejas","","")))</x:f>
      </x:c>
      <x:c r="I57" s="294"/>
      <x:c r="J57" s="294" t="n">
        <x:v>3</x:v>
      </x:c>
      <x:c r="K57" s="294" t="str">
        <x:v>1P</x:v>
      </x:c>
      <x:c r="L57" s="295"/>
      <x:c r="M57" s="289"/>
      <x:c r="N57"/>
      <x:c r="O57"/>
      <x:c r="P57"/>
      <x:c r="Q57" t="str">
        <x:f>IF(TRIM($C57)="","enunciado","")</x:f>
        <x:v>enunciado</x:v>
      </x:c>
      <x:c r="R57" t="str">
        <x:f>IF(TRIM($K57)="",IF(COUNTIF($Q57:$Q57,"?*")&gt;0,", ","")&amp;"parcial","")</x:f>
      </x:c>
      <x:c r="S57" t="str">
        <x:f>IF(AND(TRIM($K57)&lt;&gt;"",TRIM($K57)&lt;&gt;"1P"),IF(COUNTIF($Q57:$R57,"?*")&gt;0,", ","")&amp;"parcial distinto a 1P","")</x:f>
      </x:c>
      <x:c r="T57" t="str">
        <x:f>IF(AND(OR($A57="Ítems agrupados por caso clínico o problema",$A57="Subítem de caso o problema",$A57="Emparejamiento Ampliado",$A57="Opción de Emparejamiento Ampliado"),TRIM($B57)=""),IF(COUNTIF($Q57:$S57,"?*")&gt;0,", ","")&amp;"grupo","")</x:f>
      </x:c>
      <x:c r="U57" t="str">
        <x:f>IF(AND(OR($A57="Verdadero o Falso Simple",$A57="Respuesta A/B/Ambas/Ninguna",$A57="Verdadero o Falso Complejas",$A57="Selección de la mejor respuesta",$A57="Subítem de caso o problema",$A57="Opción de Emparejamiento Ampliado"),TRIM($I57)=""),IF(COUNTIF($Q57:$T57,"?*")&gt;0,", ","")&amp;"respuesta_correcta","")</x:f>
      </x:c>
      <x:c r="V57" t="str">
        <x:f>IF(AND(OR($A57="Verdadero o Falso Simple",$A57="Respuesta A/B/Ambas/Ninguna",$A57="Verdadero o Falso Complejas",$A57="Selección de la mejor respuesta",$A57="Subítem de caso o problema",$A57="Opción de Emparejamiento Ampliado"),TRIM($J57)=""),IF(COUNTIF($Q57:$U57,"?*")&gt;0,", ","")&amp;"dificultad","")</x:f>
      </x:c>
      <x:c r="W57" t="str">
        <x:f>IF(AND(OR($A57="Ítems agrupados por caso clínico o problema",$A57="Emparejamiento Ampliado"),TRIM($I57)&lt;&gt;""),IF(COUNTIF($Q57:$V57,"?*")&gt;0,", ","")&amp;"respuesta debe ir vacia","")</x:f>
      </x:c>
      <x:c r="X57" t="str">
        <x:f>IF(AND(OR($A57="Ítems agrupados por caso clínico o problema",$A57="Emparejamiento Ampliado"),TRIM($J57)&lt;&gt;""),IF(COUNTIF($Q57:$W57,"?*")&gt;0,", ","")&amp;"dificultad debe ir vacia","")</x:f>
      </x:c>
      <x:c r="Y57" t="str">
        <x:f>IF(AND($A57="Verdadero o Falso Simple",OR(COUNTIF($D57:$E57,"?*")&lt;2,COUNTIF($F57:$H57,"?*")&gt;0)),IF(COUNTIF($Q57:$X57,"?*")&gt;0,", ","")&amp;"incisos A-B","")</x:f>
      </x:c>
      <x:c r="Z57" t="str">
        <x:f>IF(AND($A57="Verdadero o Falso Simple",TRIM($I57)&lt;&gt;"",NOT(OR(LEFT(TRIM($I57),1)="A",LEFT(TRIM($I57),1)="B"))),IF(COUNTIF($Q57:$Y57,"?*")&gt;0,", ","")&amp;"respuesta A-B","")</x:f>
      </x:c>
      <x:c r="AA57" t="str">
        <x:f>IF(AND($A57="Respuesta A/B/Ambas/Ninguna",COUNTIF($D57:$G57,"?*")&lt;4),IF(COUNTIF($Q57:$Z57,"?*")&gt;0,", ","")&amp;"opciones A-D","")</x:f>
      </x:c>
      <x:c r="AB57" t="str">
        <x:f>IF(AND($A57="Respuesta A/B/Ambas/Ninguna",COUNTIF($H57:$H57,"?*")&gt;0),IF(COUNTIF($Q57:$AA57,"?*")&gt;0,", ","")&amp;"opcion E deshabilitada","")</x:f>
      </x:c>
      <x:c r="AC57" t="str">
        <x:f>IF(AND($A57="Respuesta A/B/Ambas/Ninguna",TRIM($I57)&lt;&gt;"",NOT(OR(LEFT(TRIM($I57),1)="A",LEFT(TRIM($I57),1)="B",LEFT(TRIM($I57),1)="C",LEFT(TRIM($I57),1)="D"))),IF(COUNTIF($Q57:$AB57,"?*")&gt;0,", ","")&amp;"respuesta A-D","")</x:f>
      </x:c>
      <x:c r="AD57" t="str">
        <x:f>IF(AND($A57="Verdadero o Falso Complejas",OR(LEN(TRIM(SUBSTITUTE($D57,"1.","")))=0,LEN(TRIM(SUBSTITUTE($E57,"2.","")))=0,LEN(TRIM(SUBSTITUTE($F57,"3.","")))=0,LEN(TRIM(SUBSTITUTE($G57,"4.","")))=0)),IF(COUNTIF($Q57:$AC57,"?*")&gt;0,", ","")&amp;"incisos 1-4","")</x:f>
      </x:c>
      <x:c r="AE57" t="str">
        <x:f>IF(AND($A57="Verdadero o Falso Complejas",COUNTIF($H57:$H57,"?*")&gt;0),IF(COUNTIF($Q57:$AD57,"?*")&gt;0,", ","")&amp;"opcion E deshabilitada","")</x:f>
      </x:c>
      <x:c r="AF57" t="str">
        <x:f>IF(AND($A57="Verdadero o Falso Complejas",TRIM($I57)&lt;&gt;"",NOT(OR(LEFT(TRIM($I57),1)="A",LEFT(TRIM($I57),1)="B",LEFT(TRIM($I57),1)="C",LEFT(TRIM($I57),1)="D",LEFT(TRIM($I57),1)="E"))),IF(COUNTIF($Q57:$AE57,"?*")&gt;0,", ","")&amp;"respuesta A-E","")</x:f>
      </x:c>
      <x:c r="AG57" t="str">
        <x:f>IF(AND(OR($A57="Selección de la mejor respuesta",$A57="Subítem de caso o problema"),COUNTIF($D57:$H57,"?*")&lt;5),IF(COUNTIF($Q57:$AF57,"?*")&gt;0,", ","")&amp;"incisos A-E","")</x:f>
      </x:c>
      <x:c r="AH57" t="str">
        <x:f>IF(AND(OR($A57="Selección de la mejor respuesta",$A57="Subítem de caso o problema"),TRIM($I57)&lt;&gt;"",NOT(OR(LEFT(TRIM($I57),1)="A",LEFT(TRIM($I57),1)="B",LEFT(TRIM($I57),1)="C",LEFT(TRIM($I57),1)="D",LEFT(TRIM($I57),1)="E"))),IF(COUNTIF($Q57:$AG57,"?*")&gt;0,", ","")&amp;"respuesta A-E","")</x:f>
      </x:c>
      <x:c r="AI57" t="str">
        <x:f>IF(AND(OR($A57="Ítems agrupados por caso clínico o problema",$A57="Opción de Emparejamiento Ampliado"),COUNTIF($D57:$H57,"?*")&gt;0),IF(COUNTIF($Q57:$AH57,"?*")&gt;0,", ","")&amp;"sin incisos","")</x:f>
      </x:c>
      <x:c r="AJ57" t="str">
        <x:f>IF(AND($A57="Emparejamiento Ampliado",COUNTIF($D57:$H57,"?*")&lt;2),IF(COUNTIF($Q57:$AI57,"?*")&gt;0,", ","")&amp;"minimo 2 claves","")</x:f>
      </x:c>
      <x:c r="AK57" t="str">
        <x:f>IF(AND($A57="Opción de Emparejamiento Ampliado",NOT(OR(LEFT(TRIM($I57),1)="A",LEFT(TRIM($I57),1)="B",LEFT(TRIM($I57),1)="C",LEFT(TRIM($I57),1)="D",LEFT(TRIM($I57),1)="E"))),IF(COUNTIF($Q57:$AJ57,"?*")&gt;0,", ","")&amp;"respuesta A-E","")</x:f>
      </x:c>
      <x:c r="AL57" t="str">
        <x:f>IF(TRIM($K57)="",IF(COUNTIF($M57:$M57,"?*")&gt;0,", ","")&amp;"parcial","")</x:f>
      </x:c>
      <x:c r="AM57" t="str">
        <x:f>IF(AND(TRIM($K57)&lt;&gt;"",TRIM($K57)&lt;&gt;"1P"),IF(COUNTIF($M57:$N57,"?*")&gt;0,", ","")&amp;"parcial distinto a 1P","")</x:f>
      </x:c>
      <x:c r="AN57" t="str">
        <x:f>IF(AND(OR($A57="Ítems agrupados por caso clínico o problema",$A57="Subítem de caso o problema",$A57="Emparejamiento Ampliado",$A57="Opción de Emparejamiento Ampliado"),TRIM($B57)=""),IF(COUNTIF($M57:$O57,"?*")&gt;0,", ","")&amp;"grupo","")</x:f>
      </x:c>
    </x:row>
    <x:row r="58" ht="24" customHeight="1">
      <x:c r="A58" s="294"/>
      <x:c r="B58" s="294"/>
      <x:c r="C58" s="294"/>
      <x:c r="D58" s="294" t="str">
        <x:f>IF($A58="Verdadero o Falso Simple","Verdadero",IF($A58="Respuesta A/B/Ambas/Ninguna","A. Si la primera es verdadera",IF($A58="Verdadero o Falso Complejas","1. ","")))</x:f>
      </x:c>
      <x:c r="E58" s="294" t="str">
        <x:f>IF($A58="Verdadero o Falso Simple","Falso",IF($A58="Respuesta A/B/Ambas/Ninguna","B. Si la segunda es verdadera",IF($A58="Verdadero o Falso Complejas","2. ","")))</x:f>
      </x:c>
      <x:c r="F58" s="294" t="str">
        <x:f>IF($A58="Respuesta A/B/Ambas/Ninguna","C. Si ambas son verdaderas",IF($A58="Verdadero o Falso Complejas","3. ",""))</x:f>
      </x:c>
      <x:c r="G58" s="294" t="str">
        <x:f>IF($A58="Respuesta A/B/Ambas/Ninguna","D. Si ninguna es verdadera",IF($A58="Verdadero o Falso Complejas","4. ",""))</x:f>
      </x:c>
      <x:c r="H58" s="294" t="str">
        <x:f>IF($A58="Verdadero o Falso Simple","",IF($A58="Respuesta A/B/Ambas/Ninguna","",IF($A58="Verdadero o Falso Complejas","","")))</x:f>
      </x:c>
      <x:c r="I58" s="294"/>
      <x:c r="J58" s="294" t="n">
        <x:v>3</x:v>
      </x:c>
      <x:c r="K58" s="294" t="str">
        <x:v>1P</x:v>
      </x:c>
      <x:c r="L58" s="295"/>
      <x:c r="M58" s="289"/>
      <x:c r="N58"/>
      <x:c r="O58"/>
      <x:c r="P58"/>
      <x:c r="Q58" t="str">
        <x:f>IF(TRIM($C58)="","enunciado","")</x:f>
        <x:v>enunciado</x:v>
      </x:c>
      <x:c r="R58" t="str">
        <x:f>IF(TRIM($K58)="",IF(COUNTIF($Q58:$Q58,"?*")&gt;0,", ","")&amp;"parcial","")</x:f>
      </x:c>
      <x:c r="S58" t="str">
        <x:f>IF(AND(TRIM($K58)&lt;&gt;"",TRIM($K58)&lt;&gt;"1P"),IF(COUNTIF($Q58:$R58,"?*")&gt;0,", ","")&amp;"parcial distinto a 1P","")</x:f>
      </x:c>
      <x:c r="T58" t="str">
        <x:f>IF(AND(OR($A58="Ítems agrupados por caso clínico o problema",$A58="Subítem de caso o problema",$A58="Emparejamiento Ampliado",$A58="Opción de Emparejamiento Ampliado"),TRIM($B58)=""),IF(COUNTIF($Q58:$S58,"?*")&gt;0,", ","")&amp;"grupo","")</x:f>
      </x:c>
      <x:c r="U58" t="str">
        <x:f>IF(AND(OR($A58="Verdadero o Falso Simple",$A58="Respuesta A/B/Ambas/Ninguna",$A58="Verdadero o Falso Complejas",$A58="Selección de la mejor respuesta",$A58="Subítem de caso o problema",$A58="Opción de Emparejamiento Ampliado"),TRIM($I58)=""),IF(COUNTIF($Q58:$T58,"?*")&gt;0,", ","")&amp;"respuesta_correcta","")</x:f>
      </x:c>
      <x:c r="V58" t="str">
        <x:f>IF(AND(OR($A58="Verdadero o Falso Simple",$A58="Respuesta A/B/Ambas/Ninguna",$A58="Verdadero o Falso Complejas",$A58="Selección de la mejor respuesta",$A58="Subítem de caso o problema",$A58="Opción de Emparejamiento Ampliado"),TRIM($J58)=""),IF(COUNTIF($Q58:$U58,"?*")&gt;0,", ","")&amp;"dificultad","")</x:f>
      </x:c>
      <x:c r="W58" t="str">
        <x:f>IF(AND(OR($A58="Ítems agrupados por caso clínico o problema",$A58="Emparejamiento Ampliado"),TRIM($I58)&lt;&gt;""),IF(COUNTIF($Q58:$V58,"?*")&gt;0,", ","")&amp;"respuesta debe ir vacia","")</x:f>
      </x:c>
      <x:c r="X58" t="str">
        <x:f>IF(AND(OR($A58="Ítems agrupados por caso clínico o problema",$A58="Emparejamiento Ampliado"),TRIM($J58)&lt;&gt;""),IF(COUNTIF($Q58:$W58,"?*")&gt;0,", ","")&amp;"dificultad debe ir vacia","")</x:f>
      </x:c>
      <x:c r="Y58" t="str">
        <x:f>IF(AND($A58="Verdadero o Falso Simple",OR(COUNTIF($D58:$E58,"?*")&lt;2,COUNTIF($F58:$H58,"?*")&gt;0)),IF(COUNTIF($Q58:$X58,"?*")&gt;0,", ","")&amp;"incisos A-B","")</x:f>
      </x:c>
      <x:c r="Z58" t="str">
        <x:f>IF(AND($A58="Verdadero o Falso Simple",TRIM($I58)&lt;&gt;"",NOT(OR(LEFT(TRIM($I58),1)="A",LEFT(TRIM($I58),1)="B"))),IF(COUNTIF($Q58:$Y58,"?*")&gt;0,", ","")&amp;"respuesta A-B","")</x:f>
      </x:c>
      <x:c r="AA58" t="str">
        <x:f>IF(AND($A58="Respuesta A/B/Ambas/Ninguna",COUNTIF($D58:$G58,"?*")&lt;4),IF(COUNTIF($Q58:$Z58,"?*")&gt;0,", ","")&amp;"opciones A-D","")</x:f>
      </x:c>
      <x:c r="AB58" t="str">
        <x:f>IF(AND($A58="Respuesta A/B/Ambas/Ninguna",COUNTIF($H58:$H58,"?*")&gt;0),IF(COUNTIF($Q58:$AA58,"?*")&gt;0,", ","")&amp;"opcion E deshabilitada","")</x:f>
      </x:c>
      <x:c r="AC58" t="str">
        <x:f>IF(AND($A58="Respuesta A/B/Ambas/Ninguna",TRIM($I58)&lt;&gt;"",NOT(OR(LEFT(TRIM($I58),1)="A",LEFT(TRIM($I58),1)="B",LEFT(TRIM($I58),1)="C",LEFT(TRIM($I58),1)="D"))),IF(COUNTIF($Q58:$AB58,"?*")&gt;0,", ","")&amp;"respuesta A-D","")</x:f>
      </x:c>
      <x:c r="AD58" t="str">
        <x:f>IF(AND($A58="Verdadero o Falso Complejas",OR(LEN(TRIM(SUBSTITUTE($D58,"1.","")))=0,LEN(TRIM(SUBSTITUTE($E58,"2.","")))=0,LEN(TRIM(SUBSTITUTE($F58,"3.","")))=0,LEN(TRIM(SUBSTITUTE($G58,"4.","")))=0)),IF(COUNTIF($Q58:$AC58,"?*")&gt;0,", ","")&amp;"incisos 1-4","")</x:f>
      </x:c>
      <x:c r="AE58" t="str">
        <x:f>IF(AND($A58="Verdadero o Falso Complejas",COUNTIF($H58:$H58,"?*")&gt;0),IF(COUNTIF($Q58:$AD58,"?*")&gt;0,", ","")&amp;"opcion E deshabilitada","")</x:f>
      </x:c>
      <x:c r="AF58" t="str">
        <x:f>IF(AND($A58="Verdadero o Falso Complejas",TRIM($I58)&lt;&gt;"",NOT(OR(LEFT(TRIM($I58),1)="A",LEFT(TRIM($I58),1)="B",LEFT(TRIM($I58),1)="C",LEFT(TRIM($I58),1)="D",LEFT(TRIM($I58),1)="E"))),IF(COUNTIF($Q58:$AE58,"?*")&gt;0,", ","")&amp;"respuesta A-E","")</x:f>
      </x:c>
      <x:c r="AG58" t="str">
        <x:f>IF(AND(OR($A58="Selección de la mejor respuesta",$A58="Subítem de caso o problema"),COUNTIF($D58:$H58,"?*")&lt;5),IF(COUNTIF($Q58:$AF58,"?*")&gt;0,", ","")&amp;"incisos A-E","")</x:f>
      </x:c>
      <x:c r="AH58" t="str">
        <x:f>IF(AND(OR($A58="Selección de la mejor respuesta",$A58="Subítem de caso o problema"),TRIM($I58)&lt;&gt;"",NOT(OR(LEFT(TRIM($I58),1)="A",LEFT(TRIM($I58),1)="B",LEFT(TRIM($I58),1)="C",LEFT(TRIM($I58),1)="D",LEFT(TRIM($I58),1)="E"))),IF(COUNTIF($Q58:$AG58,"?*")&gt;0,", ","")&amp;"respuesta A-E","")</x:f>
      </x:c>
      <x:c r="AI58" t="str">
        <x:f>IF(AND(OR($A58="Ítems agrupados por caso clínico o problema",$A58="Opción de Emparejamiento Ampliado"),COUNTIF($D58:$H58,"?*")&gt;0),IF(COUNTIF($Q58:$AH58,"?*")&gt;0,", ","")&amp;"sin incisos","")</x:f>
      </x:c>
      <x:c r="AJ58" t="str">
        <x:f>IF(AND($A58="Emparejamiento Ampliado",COUNTIF($D58:$H58,"?*")&lt;2),IF(COUNTIF($Q58:$AI58,"?*")&gt;0,", ","")&amp;"minimo 2 claves","")</x:f>
      </x:c>
      <x:c r="AK58" t="str">
        <x:f>IF(AND($A58="Opción de Emparejamiento Ampliado",NOT(OR(LEFT(TRIM($I58),1)="A",LEFT(TRIM($I58),1)="B",LEFT(TRIM($I58),1)="C",LEFT(TRIM($I58),1)="D",LEFT(TRIM($I58),1)="E"))),IF(COUNTIF($Q58:$AJ58,"?*")&gt;0,", ","")&amp;"respuesta A-E","")</x:f>
      </x:c>
      <x:c r="AL58" t="str">
        <x:f>IF(TRIM($K58)="",IF(COUNTIF($M58:$M58,"?*")&gt;0,", ","")&amp;"parcial","")</x:f>
      </x:c>
      <x:c r="AM58" t="str">
        <x:f>IF(AND(TRIM($K58)&lt;&gt;"",TRIM($K58)&lt;&gt;"1P"),IF(COUNTIF($M58:$N58,"?*")&gt;0,", ","")&amp;"parcial distinto a 1P","")</x:f>
      </x:c>
      <x:c r="AN58" t="str">
        <x:f>IF(AND(OR($A58="Ítems agrupados por caso clínico o problema",$A58="Subítem de caso o problema",$A58="Emparejamiento Ampliado",$A58="Opción de Emparejamiento Ampliado"),TRIM($B58)=""),IF(COUNTIF($M58:$O58,"?*")&gt;0,", ","")&amp;"grupo","")</x:f>
      </x:c>
    </x:row>
    <x:row r="59" ht="24" customHeight="1">
      <x:c r="A59" s="294"/>
      <x:c r="B59" s="294"/>
      <x:c r="C59" s="294"/>
      <x:c r="D59" s="294" t="str">
        <x:f>IF($A59="Verdadero o Falso Simple","Verdadero",IF($A59="Respuesta A/B/Ambas/Ninguna","A. Si la primera es verdadera",IF($A59="Verdadero o Falso Complejas","1. ","")))</x:f>
      </x:c>
      <x:c r="E59" s="294" t="str">
        <x:f>IF($A59="Verdadero o Falso Simple","Falso",IF($A59="Respuesta A/B/Ambas/Ninguna","B. Si la segunda es verdadera",IF($A59="Verdadero o Falso Complejas","2. ","")))</x:f>
      </x:c>
      <x:c r="F59" s="294" t="str">
        <x:f>IF($A59="Respuesta A/B/Ambas/Ninguna","C. Si ambas son verdaderas",IF($A59="Verdadero o Falso Complejas","3. ",""))</x:f>
      </x:c>
      <x:c r="G59" s="294" t="str">
        <x:f>IF($A59="Respuesta A/B/Ambas/Ninguna","D. Si ninguna es verdadera",IF($A59="Verdadero o Falso Complejas","4. ",""))</x:f>
      </x:c>
      <x:c r="H59" s="294" t="str">
        <x:f>IF($A59="Verdadero o Falso Simple","",IF($A59="Respuesta A/B/Ambas/Ninguna","",IF($A59="Verdadero o Falso Complejas","","")))</x:f>
      </x:c>
      <x:c r="I59" s="294"/>
      <x:c r="J59" s="294" t="n">
        <x:v>3</x:v>
      </x:c>
      <x:c r="K59" s="294" t="str">
        <x:v>1P</x:v>
      </x:c>
      <x:c r="L59" s="295"/>
      <x:c r="M59" s="289"/>
      <x:c r="N59"/>
      <x:c r="O59"/>
      <x:c r="P59"/>
      <x:c r="Q59" t="str">
        <x:f>IF(TRIM($C59)="","enunciado","")</x:f>
        <x:v>enunciado</x:v>
      </x:c>
      <x:c r="R59" t="str">
        <x:f>IF(TRIM($K59)="",IF(COUNTIF($Q59:$Q59,"?*")&gt;0,", ","")&amp;"parcial","")</x:f>
      </x:c>
      <x:c r="S59" t="str">
        <x:f>IF(AND(TRIM($K59)&lt;&gt;"",TRIM($K59)&lt;&gt;"1P"),IF(COUNTIF($Q59:$R59,"?*")&gt;0,", ","")&amp;"parcial distinto a 1P","")</x:f>
      </x:c>
      <x:c r="T59" t="str">
        <x:f>IF(AND(OR($A59="Ítems agrupados por caso clínico o problema",$A59="Subítem de caso o problema",$A59="Emparejamiento Ampliado",$A59="Opción de Emparejamiento Ampliado"),TRIM($B59)=""),IF(COUNTIF($Q59:$S59,"?*")&gt;0,", ","")&amp;"grupo","")</x:f>
      </x:c>
      <x:c r="U59" t="str">
        <x:f>IF(AND(OR($A59="Verdadero o Falso Simple",$A59="Respuesta A/B/Ambas/Ninguna",$A59="Verdadero o Falso Complejas",$A59="Selección de la mejor respuesta",$A59="Subítem de caso o problema",$A59="Opción de Emparejamiento Ampliado"),TRIM($I59)=""),IF(COUNTIF($Q59:$T59,"?*")&gt;0,", ","")&amp;"respuesta_correcta","")</x:f>
      </x:c>
      <x:c r="V59" t="str">
        <x:f>IF(AND(OR($A59="Verdadero o Falso Simple",$A59="Respuesta A/B/Ambas/Ninguna",$A59="Verdadero o Falso Complejas",$A59="Selección de la mejor respuesta",$A59="Subítem de caso o problema",$A59="Opción de Emparejamiento Ampliado"),TRIM($J59)=""),IF(COUNTIF($Q59:$U59,"?*")&gt;0,", ","")&amp;"dificultad","")</x:f>
      </x:c>
      <x:c r="W59" t="str">
        <x:f>IF(AND(OR($A59="Ítems agrupados por caso clínico o problema",$A59="Emparejamiento Ampliado"),TRIM($I59)&lt;&gt;""),IF(COUNTIF($Q59:$V59,"?*")&gt;0,", ","")&amp;"respuesta debe ir vacia","")</x:f>
      </x:c>
      <x:c r="X59" t="str">
        <x:f>IF(AND(OR($A59="Ítems agrupados por caso clínico o problema",$A59="Emparejamiento Ampliado"),TRIM($J59)&lt;&gt;""),IF(COUNTIF($Q59:$W59,"?*")&gt;0,", ","")&amp;"dificultad debe ir vacia","")</x:f>
      </x:c>
      <x:c r="Y59" t="str">
        <x:f>IF(AND($A59="Verdadero o Falso Simple",OR(COUNTIF($D59:$E59,"?*")&lt;2,COUNTIF($F59:$H59,"?*")&gt;0)),IF(COUNTIF($Q59:$X59,"?*")&gt;0,", ","")&amp;"incisos A-B","")</x:f>
      </x:c>
      <x:c r="Z59" t="str">
        <x:f>IF(AND($A59="Verdadero o Falso Simple",TRIM($I59)&lt;&gt;"",NOT(OR(LEFT(TRIM($I59),1)="A",LEFT(TRIM($I59),1)="B"))),IF(COUNTIF($Q59:$Y59,"?*")&gt;0,", ","")&amp;"respuesta A-B","")</x:f>
      </x:c>
      <x:c r="AA59" t="str">
        <x:f>IF(AND($A59="Respuesta A/B/Ambas/Ninguna",COUNTIF($D59:$G59,"?*")&lt;4),IF(COUNTIF($Q59:$Z59,"?*")&gt;0,", ","")&amp;"opciones A-D","")</x:f>
      </x:c>
      <x:c r="AB59" t="str">
        <x:f>IF(AND($A59="Respuesta A/B/Ambas/Ninguna",COUNTIF($H59:$H59,"?*")&gt;0),IF(COUNTIF($Q59:$AA59,"?*")&gt;0,", ","")&amp;"opcion E deshabilitada","")</x:f>
      </x:c>
      <x:c r="AC59" t="str">
        <x:f>IF(AND($A59="Respuesta A/B/Ambas/Ninguna",TRIM($I59)&lt;&gt;"",NOT(OR(LEFT(TRIM($I59),1)="A",LEFT(TRIM($I59),1)="B",LEFT(TRIM($I59),1)="C",LEFT(TRIM($I59),1)="D"))),IF(COUNTIF($Q59:$AB59,"?*")&gt;0,", ","")&amp;"respuesta A-D","")</x:f>
      </x:c>
      <x:c r="AD59" t="str">
        <x:f>IF(AND($A59="Verdadero o Falso Complejas",OR(LEN(TRIM(SUBSTITUTE($D59,"1.","")))=0,LEN(TRIM(SUBSTITUTE($E59,"2.","")))=0,LEN(TRIM(SUBSTITUTE($F59,"3.","")))=0,LEN(TRIM(SUBSTITUTE($G59,"4.","")))=0)),IF(COUNTIF($Q59:$AC59,"?*")&gt;0,", ","")&amp;"incisos 1-4","")</x:f>
      </x:c>
      <x:c r="AE59" t="str">
        <x:f>IF(AND($A59="Verdadero o Falso Complejas",COUNTIF($H59:$H59,"?*")&gt;0),IF(COUNTIF($Q59:$AD59,"?*")&gt;0,", ","")&amp;"opcion E deshabilitada","")</x:f>
      </x:c>
      <x:c r="AF59" t="str">
        <x:f>IF(AND($A59="Verdadero o Falso Complejas",TRIM($I59)&lt;&gt;"",NOT(OR(LEFT(TRIM($I59),1)="A",LEFT(TRIM($I59),1)="B",LEFT(TRIM($I59),1)="C",LEFT(TRIM($I59),1)="D",LEFT(TRIM($I59),1)="E"))),IF(COUNTIF($Q59:$AE59,"?*")&gt;0,", ","")&amp;"respuesta A-E","")</x:f>
      </x:c>
      <x:c r="AG59" t="str">
        <x:f>IF(AND(OR($A59="Selección de la mejor respuesta",$A59="Subítem de caso o problema"),COUNTIF($D59:$H59,"?*")&lt;5),IF(COUNTIF($Q59:$AF59,"?*")&gt;0,", ","")&amp;"incisos A-E","")</x:f>
      </x:c>
      <x:c r="AH59" t="str">
        <x:f>IF(AND(OR($A59="Selección de la mejor respuesta",$A59="Subítem de caso o problema"),TRIM($I59)&lt;&gt;"",NOT(OR(LEFT(TRIM($I59),1)="A",LEFT(TRIM($I59),1)="B",LEFT(TRIM($I59),1)="C",LEFT(TRIM($I59),1)="D",LEFT(TRIM($I59),1)="E"))),IF(COUNTIF($Q59:$AG59,"?*")&gt;0,", ","")&amp;"respuesta A-E","")</x:f>
      </x:c>
      <x:c r="AI59" t="str">
        <x:f>IF(AND(OR($A59="Ítems agrupados por caso clínico o problema",$A59="Opción de Emparejamiento Ampliado"),COUNTIF($D59:$H59,"?*")&gt;0),IF(COUNTIF($Q59:$AH59,"?*")&gt;0,", ","")&amp;"sin incisos","")</x:f>
      </x:c>
      <x:c r="AJ59" t="str">
        <x:f>IF(AND($A59="Emparejamiento Ampliado",COUNTIF($D59:$H59,"?*")&lt;2),IF(COUNTIF($Q59:$AI59,"?*")&gt;0,", ","")&amp;"minimo 2 claves","")</x:f>
      </x:c>
      <x:c r="AK59" t="str">
        <x:f>IF(AND($A59="Opción de Emparejamiento Ampliado",NOT(OR(LEFT(TRIM($I59),1)="A",LEFT(TRIM($I59),1)="B",LEFT(TRIM($I59),1)="C",LEFT(TRIM($I59),1)="D",LEFT(TRIM($I59),1)="E"))),IF(COUNTIF($Q59:$AJ59,"?*")&gt;0,", ","")&amp;"respuesta A-E","")</x:f>
      </x:c>
      <x:c r="AL59" t="str">
        <x:f>IF(TRIM($K59)="",IF(COUNTIF($M59:$M59,"?*")&gt;0,", ","")&amp;"parcial","")</x:f>
      </x:c>
      <x:c r="AM59" t="str">
        <x:f>IF(AND(TRIM($K59)&lt;&gt;"",TRIM($K59)&lt;&gt;"1P"),IF(COUNTIF($M59:$N59,"?*")&gt;0,", ","")&amp;"parcial distinto a 1P","")</x:f>
      </x:c>
      <x:c r="AN59" t="str">
        <x:f>IF(AND(OR($A59="Ítems agrupados por caso clínico o problema",$A59="Subítem de caso o problema",$A59="Emparejamiento Ampliado",$A59="Opción de Emparejamiento Ampliado"),TRIM($B59)=""),IF(COUNTIF($M59:$O59,"?*")&gt;0,", ","")&amp;"grupo","")</x:f>
      </x:c>
    </x:row>
    <x:row r="60" ht="24" customHeight="1">
      <x:c r="A60" s="294"/>
      <x:c r="B60" s="294"/>
      <x:c r="C60" s="294"/>
      <x:c r="D60" s="294" t="str">
        <x:f>IF($A60="Verdadero o Falso Simple","Verdadero",IF($A60="Respuesta A/B/Ambas/Ninguna","A. Si la primera es verdadera",IF($A60="Verdadero o Falso Complejas","1. ","")))</x:f>
      </x:c>
      <x:c r="E60" s="294" t="str">
        <x:f>IF($A60="Verdadero o Falso Simple","Falso",IF($A60="Respuesta A/B/Ambas/Ninguna","B. Si la segunda es verdadera",IF($A60="Verdadero o Falso Complejas","2. ","")))</x:f>
      </x:c>
      <x:c r="F60" s="294" t="str">
        <x:f>IF($A60="Respuesta A/B/Ambas/Ninguna","C. Si ambas son verdaderas",IF($A60="Verdadero o Falso Complejas","3. ",""))</x:f>
      </x:c>
      <x:c r="G60" s="294" t="str">
        <x:f>IF($A60="Respuesta A/B/Ambas/Ninguna","D. Si ninguna es verdadera",IF($A60="Verdadero o Falso Complejas","4. ",""))</x:f>
      </x:c>
      <x:c r="H60" s="294" t="str">
        <x:f>IF($A60="Verdadero o Falso Simple","",IF($A60="Respuesta A/B/Ambas/Ninguna","",IF($A60="Verdadero o Falso Complejas","","")))</x:f>
      </x:c>
      <x:c r="I60" s="294"/>
      <x:c r="J60" s="294" t="n">
        <x:v>3</x:v>
      </x:c>
      <x:c r="K60" s="294" t="str">
        <x:v>1P</x:v>
      </x:c>
      <x:c r="L60" s="295"/>
      <x:c r="M60" s="289"/>
      <x:c r="N60"/>
      <x:c r="O60"/>
      <x:c r="P60"/>
      <x:c r="Q60" t="str">
        <x:f>IF(TRIM($C60)="","enunciado","")</x:f>
        <x:v>enunciado</x:v>
      </x:c>
      <x:c r="R60" t="str">
        <x:f>IF(TRIM($K60)="",IF(COUNTIF($Q60:$Q60,"?*")&gt;0,", ","")&amp;"parcial","")</x:f>
      </x:c>
      <x:c r="S60" t="str">
        <x:f>IF(AND(TRIM($K60)&lt;&gt;"",TRIM($K60)&lt;&gt;"1P"),IF(COUNTIF($Q60:$R60,"?*")&gt;0,", ","")&amp;"parcial distinto a 1P","")</x:f>
      </x:c>
      <x:c r="T60" t="str">
        <x:f>IF(AND(OR($A60="Ítems agrupados por caso clínico o problema",$A60="Subítem de caso o problema",$A60="Emparejamiento Ampliado",$A60="Opción de Emparejamiento Ampliado"),TRIM($B60)=""),IF(COUNTIF($Q60:$S60,"?*")&gt;0,", ","")&amp;"grupo","")</x:f>
      </x:c>
      <x:c r="U60" t="str">
        <x:f>IF(AND(OR($A60="Verdadero o Falso Simple",$A60="Respuesta A/B/Ambas/Ninguna",$A60="Verdadero o Falso Complejas",$A60="Selección de la mejor respuesta",$A60="Subítem de caso o problema",$A60="Opción de Emparejamiento Ampliado"),TRIM($I60)=""),IF(COUNTIF($Q60:$T60,"?*")&gt;0,", ","")&amp;"respuesta_correcta","")</x:f>
      </x:c>
      <x:c r="V60" t="str">
        <x:f>IF(AND(OR($A60="Verdadero o Falso Simple",$A60="Respuesta A/B/Ambas/Ninguna",$A60="Verdadero o Falso Complejas",$A60="Selección de la mejor respuesta",$A60="Subítem de caso o problema",$A60="Opción de Emparejamiento Ampliado"),TRIM($J60)=""),IF(COUNTIF($Q60:$U60,"?*")&gt;0,", ","")&amp;"dificultad","")</x:f>
      </x:c>
      <x:c r="W60" t="str">
        <x:f>IF(AND(OR($A60="Ítems agrupados por caso clínico o problema",$A60="Emparejamiento Ampliado"),TRIM($I60)&lt;&gt;""),IF(COUNTIF($Q60:$V60,"?*")&gt;0,", ","")&amp;"respuesta debe ir vacia","")</x:f>
      </x:c>
      <x:c r="X60" t="str">
        <x:f>IF(AND(OR($A60="Ítems agrupados por caso clínico o problema",$A60="Emparejamiento Ampliado"),TRIM($J60)&lt;&gt;""),IF(COUNTIF($Q60:$W60,"?*")&gt;0,", ","")&amp;"dificultad debe ir vacia","")</x:f>
      </x:c>
      <x:c r="Y60" t="str">
        <x:f>IF(AND($A60="Verdadero o Falso Simple",OR(COUNTIF($D60:$E60,"?*")&lt;2,COUNTIF($F60:$H60,"?*")&gt;0)),IF(COUNTIF($Q60:$X60,"?*")&gt;0,", ","")&amp;"incisos A-B","")</x:f>
      </x:c>
      <x:c r="Z60" t="str">
        <x:f>IF(AND($A60="Verdadero o Falso Simple",TRIM($I60)&lt;&gt;"",NOT(OR(LEFT(TRIM($I60),1)="A",LEFT(TRIM($I60),1)="B"))),IF(COUNTIF($Q60:$Y60,"?*")&gt;0,", ","")&amp;"respuesta A-B","")</x:f>
      </x:c>
      <x:c r="AA60" t="str">
        <x:f>IF(AND($A60="Respuesta A/B/Ambas/Ninguna",COUNTIF($D60:$G60,"?*")&lt;4),IF(COUNTIF($Q60:$Z60,"?*")&gt;0,", ","")&amp;"opciones A-D","")</x:f>
      </x:c>
      <x:c r="AB60" t="str">
        <x:f>IF(AND($A60="Respuesta A/B/Ambas/Ninguna",COUNTIF($H60:$H60,"?*")&gt;0),IF(COUNTIF($Q60:$AA60,"?*")&gt;0,", ","")&amp;"opcion E deshabilitada","")</x:f>
      </x:c>
      <x:c r="AC60" t="str">
        <x:f>IF(AND($A60="Respuesta A/B/Ambas/Ninguna",TRIM($I60)&lt;&gt;"",NOT(OR(LEFT(TRIM($I60),1)="A",LEFT(TRIM($I60),1)="B",LEFT(TRIM($I60),1)="C",LEFT(TRIM($I60),1)="D"))),IF(COUNTIF($Q60:$AB60,"?*")&gt;0,", ","")&amp;"respuesta A-D","")</x:f>
      </x:c>
      <x:c r="AD60" t="str">
        <x:f>IF(AND($A60="Verdadero o Falso Complejas",OR(LEN(TRIM(SUBSTITUTE($D60,"1.","")))=0,LEN(TRIM(SUBSTITUTE($E60,"2.","")))=0,LEN(TRIM(SUBSTITUTE($F60,"3.","")))=0,LEN(TRIM(SUBSTITUTE($G60,"4.","")))=0)),IF(COUNTIF($Q60:$AC60,"?*")&gt;0,", ","")&amp;"incisos 1-4","")</x:f>
      </x:c>
      <x:c r="AE60" t="str">
        <x:f>IF(AND($A60="Verdadero o Falso Complejas",COUNTIF($H60:$H60,"?*")&gt;0),IF(COUNTIF($Q60:$AD60,"?*")&gt;0,", ","")&amp;"opcion E deshabilitada","")</x:f>
      </x:c>
      <x:c r="AF60" t="str">
        <x:f>IF(AND($A60="Verdadero o Falso Complejas",TRIM($I60)&lt;&gt;"",NOT(OR(LEFT(TRIM($I60),1)="A",LEFT(TRIM($I60),1)="B",LEFT(TRIM($I60),1)="C",LEFT(TRIM($I60),1)="D",LEFT(TRIM($I60),1)="E"))),IF(COUNTIF($Q60:$AE60,"?*")&gt;0,", ","")&amp;"respuesta A-E","")</x:f>
      </x:c>
      <x:c r="AG60" t="str">
        <x:f>IF(AND(OR($A60="Selección de la mejor respuesta",$A60="Subítem de caso o problema"),COUNTIF($D60:$H60,"?*")&lt;5),IF(COUNTIF($Q60:$AF60,"?*")&gt;0,", ","")&amp;"incisos A-E","")</x:f>
      </x:c>
      <x:c r="AH60" t="str">
        <x:f>IF(AND(OR($A60="Selección de la mejor respuesta",$A60="Subítem de caso o problema"),TRIM($I60)&lt;&gt;"",NOT(OR(LEFT(TRIM($I60),1)="A",LEFT(TRIM($I60),1)="B",LEFT(TRIM($I60),1)="C",LEFT(TRIM($I60),1)="D",LEFT(TRIM($I60),1)="E"))),IF(COUNTIF($Q60:$AG60,"?*")&gt;0,", ","")&amp;"respuesta A-E","")</x:f>
      </x:c>
      <x:c r="AI60" t="str">
        <x:f>IF(AND(OR($A60="Ítems agrupados por caso clínico o problema",$A60="Opción de Emparejamiento Ampliado"),COUNTIF($D60:$H60,"?*")&gt;0),IF(COUNTIF($Q60:$AH60,"?*")&gt;0,", ","")&amp;"sin incisos","")</x:f>
      </x:c>
      <x:c r="AJ60" t="str">
        <x:f>IF(AND($A60="Emparejamiento Ampliado",COUNTIF($D60:$H60,"?*")&lt;2),IF(COUNTIF($Q60:$AI60,"?*")&gt;0,", ","")&amp;"minimo 2 claves","")</x:f>
      </x:c>
      <x:c r="AK60" t="str">
        <x:f>IF(AND($A60="Opción de Emparejamiento Ampliado",NOT(OR(LEFT(TRIM($I60),1)="A",LEFT(TRIM($I60),1)="B",LEFT(TRIM($I60),1)="C",LEFT(TRIM($I60),1)="D",LEFT(TRIM($I60),1)="E"))),IF(COUNTIF($Q60:$AJ60,"?*")&gt;0,", ","")&amp;"respuesta A-E","")</x:f>
      </x:c>
      <x:c r="AL60" t="str">
        <x:f>IF(TRIM($K60)="",IF(COUNTIF($M60:$M60,"?*")&gt;0,", ","")&amp;"parcial","")</x:f>
      </x:c>
      <x:c r="AM60" t="str">
        <x:f>IF(AND(TRIM($K60)&lt;&gt;"",TRIM($K60)&lt;&gt;"1P"),IF(COUNTIF($M60:$N60,"?*")&gt;0,", ","")&amp;"parcial distinto a 1P","")</x:f>
      </x:c>
      <x:c r="AN60" t="str">
        <x:f>IF(AND(OR($A60="Ítems agrupados por caso clínico o problema",$A60="Subítem de caso o problema",$A60="Emparejamiento Ampliado",$A60="Opción de Emparejamiento Ampliado"),TRIM($B60)=""),IF(COUNTIF($M60:$O60,"?*")&gt;0,", ","")&amp;"grupo","")</x:f>
      </x:c>
    </x:row>
    <x:row r="61" ht="24" customHeight="1">
      <x:c r="A61" s="294"/>
      <x:c r="B61" s="294"/>
      <x:c r="C61" s="294"/>
      <x:c r="D61" s="294" t="str">
        <x:f>IF($A61="Verdadero o Falso Simple","Verdadero",IF($A61="Respuesta A/B/Ambas/Ninguna","A. Si la primera es verdadera",IF($A61="Verdadero o Falso Complejas","1. ","")))</x:f>
      </x:c>
      <x:c r="E61" s="294" t="str">
        <x:f>IF($A61="Verdadero o Falso Simple","Falso",IF($A61="Respuesta A/B/Ambas/Ninguna","B. Si la segunda es verdadera",IF($A61="Verdadero o Falso Complejas","2. ","")))</x:f>
      </x:c>
      <x:c r="F61" s="294" t="str">
        <x:f>IF($A61="Respuesta A/B/Ambas/Ninguna","C. Si ambas son verdaderas",IF($A61="Verdadero o Falso Complejas","3. ",""))</x:f>
      </x:c>
      <x:c r="G61" s="294" t="str">
        <x:f>IF($A61="Respuesta A/B/Ambas/Ninguna","D. Si ninguna es verdadera",IF($A61="Verdadero o Falso Complejas","4. ",""))</x:f>
      </x:c>
      <x:c r="H61" s="294" t="str">
        <x:f>IF($A61="Verdadero o Falso Simple","",IF($A61="Respuesta A/B/Ambas/Ninguna","",IF($A61="Verdadero o Falso Complejas","","")))</x:f>
      </x:c>
      <x:c r="I61" s="294"/>
      <x:c r="J61" s="294" t="n">
        <x:v>3</x:v>
      </x:c>
      <x:c r="K61" s="294" t="str">
        <x:v>1P</x:v>
      </x:c>
      <x:c r="L61" s="295"/>
      <x:c r="M61" s="289"/>
      <x:c r="N61"/>
      <x:c r="O61"/>
      <x:c r="P61"/>
      <x:c r="Q61" t="str">
        <x:f>IF(TRIM($C61)="","enunciado","")</x:f>
        <x:v>enunciado</x:v>
      </x:c>
      <x:c r="R61" t="str">
        <x:f>IF(TRIM($K61)="",IF(COUNTIF($Q61:$Q61,"?*")&gt;0,", ","")&amp;"parcial","")</x:f>
      </x:c>
      <x:c r="S61" t="str">
        <x:f>IF(AND(TRIM($K61)&lt;&gt;"",TRIM($K61)&lt;&gt;"1P"),IF(COUNTIF($Q61:$R61,"?*")&gt;0,", ","")&amp;"parcial distinto a 1P","")</x:f>
      </x:c>
      <x:c r="T61" t="str">
        <x:f>IF(AND(OR($A61="Ítems agrupados por caso clínico o problema",$A61="Subítem de caso o problema",$A61="Emparejamiento Ampliado",$A61="Opción de Emparejamiento Ampliado"),TRIM($B61)=""),IF(COUNTIF($Q61:$S61,"?*")&gt;0,", ","")&amp;"grupo","")</x:f>
      </x:c>
      <x:c r="U61" t="str">
        <x:f>IF(AND(OR($A61="Verdadero o Falso Simple",$A61="Respuesta A/B/Ambas/Ninguna",$A61="Verdadero o Falso Complejas",$A61="Selección de la mejor respuesta",$A61="Subítem de caso o problema",$A61="Opción de Emparejamiento Ampliado"),TRIM($I61)=""),IF(COUNTIF($Q61:$T61,"?*")&gt;0,", ","")&amp;"respuesta_correcta","")</x:f>
      </x:c>
      <x:c r="V61" t="str">
        <x:f>IF(AND(OR($A61="Verdadero o Falso Simple",$A61="Respuesta A/B/Ambas/Ninguna",$A61="Verdadero o Falso Complejas",$A61="Selección de la mejor respuesta",$A61="Subítem de caso o problema",$A61="Opción de Emparejamiento Ampliado"),TRIM($J61)=""),IF(COUNTIF($Q61:$U61,"?*")&gt;0,", ","")&amp;"dificultad","")</x:f>
      </x:c>
      <x:c r="W61" t="str">
        <x:f>IF(AND(OR($A61="Ítems agrupados por caso clínico o problema",$A61="Emparejamiento Ampliado"),TRIM($I61)&lt;&gt;""),IF(COUNTIF($Q61:$V61,"?*")&gt;0,", ","")&amp;"respuesta debe ir vacia","")</x:f>
      </x:c>
      <x:c r="X61" t="str">
        <x:f>IF(AND(OR($A61="Ítems agrupados por caso clínico o problema",$A61="Emparejamiento Ampliado"),TRIM($J61)&lt;&gt;""),IF(COUNTIF($Q61:$W61,"?*")&gt;0,", ","")&amp;"dificultad debe ir vacia","")</x:f>
      </x:c>
      <x:c r="Y61" t="str">
        <x:f>IF(AND($A61="Verdadero o Falso Simple",OR(COUNTIF($D61:$E61,"?*")&lt;2,COUNTIF($F61:$H61,"?*")&gt;0)),IF(COUNTIF($Q61:$X61,"?*")&gt;0,", ","")&amp;"incisos A-B","")</x:f>
      </x:c>
      <x:c r="Z61" t="str">
        <x:f>IF(AND($A61="Verdadero o Falso Simple",TRIM($I61)&lt;&gt;"",NOT(OR(LEFT(TRIM($I61),1)="A",LEFT(TRIM($I61),1)="B"))),IF(COUNTIF($Q61:$Y61,"?*")&gt;0,", ","")&amp;"respuesta A-B","")</x:f>
      </x:c>
      <x:c r="AA61" t="str">
        <x:f>IF(AND($A61="Respuesta A/B/Ambas/Ninguna",COUNTIF($D61:$G61,"?*")&lt;4),IF(COUNTIF($Q61:$Z61,"?*")&gt;0,", ","")&amp;"opciones A-D","")</x:f>
      </x:c>
      <x:c r="AB61" t="str">
        <x:f>IF(AND($A61="Respuesta A/B/Ambas/Ninguna",COUNTIF($H61:$H61,"?*")&gt;0),IF(COUNTIF($Q61:$AA61,"?*")&gt;0,", ","")&amp;"opcion E deshabilitada","")</x:f>
      </x:c>
      <x:c r="AC61" t="str">
        <x:f>IF(AND($A61="Respuesta A/B/Ambas/Ninguna",TRIM($I61)&lt;&gt;"",NOT(OR(LEFT(TRIM($I61),1)="A",LEFT(TRIM($I61),1)="B",LEFT(TRIM($I61),1)="C",LEFT(TRIM($I61),1)="D"))),IF(COUNTIF($Q61:$AB61,"?*")&gt;0,", ","")&amp;"respuesta A-D","")</x:f>
      </x:c>
      <x:c r="AD61" t="str">
        <x:f>IF(AND($A61="Verdadero o Falso Complejas",OR(LEN(TRIM(SUBSTITUTE($D61,"1.","")))=0,LEN(TRIM(SUBSTITUTE($E61,"2.","")))=0,LEN(TRIM(SUBSTITUTE($F61,"3.","")))=0,LEN(TRIM(SUBSTITUTE($G61,"4.","")))=0)),IF(COUNTIF($Q61:$AC61,"?*")&gt;0,", ","")&amp;"incisos 1-4","")</x:f>
      </x:c>
      <x:c r="AE61" t="str">
        <x:f>IF(AND($A61="Verdadero o Falso Complejas",COUNTIF($H61:$H61,"?*")&gt;0),IF(COUNTIF($Q61:$AD61,"?*")&gt;0,", ","")&amp;"opcion E deshabilitada","")</x:f>
      </x:c>
      <x:c r="AF61" t="str">
        <x:f>IF(AND($A61="Verdadero o Falso Complejas",TRIM($I61)&lt;&gt;"",NOT(OR(LEFT(TRIM($I61),1)="A",LEFT(TRIM($I61),1)="B",LEFT(TRIM($I61),1)="C",LEFT(TRIM($I61),1)="D",LEFT(TRIM($I61),1)="E"))),IF(COUNTIF($Q61:$AE61,"?*")&gt;0,", ","")&amp;"respuesta A-E","")</x:f>
      </x:c>
      <x:c r="AG61" t="str">
        <x:f>IF(AND(OR($A61="Selección de la mejor respuesta",$A61="Subítem de caso o problema"),COUNTIF($D61:$H61,"?*")&lt;5),IF(COUNTIF($Q61:$AF61,"?*")&gt;0,", ","")&amp;"incisos A-E","")</x:f>
      </x:c>
      <x:c r="AH61" t="str">
        <x:f>IF(AND(OR($A61="Selección de la mejor respuesta",$A61="Subítem de caso o problema"),TRIM($I61)&lt;&gt;"",NOT(OR(LEFT(TRIM($I61),1)="A",LEFT(TRIM($I61),1)="B",LEFT(TRIM($I61),1)="C",LEFT(TRIM($I61),1)="D",LEFT(TRIM($I61),1)="E"))),IF(COUNTIF($Q61:$AG61,"?*")&gt;0,", ","")&amp;"respuesta A-E","")</x:f>
      </x:c>
      <x:c r="AI61" t="str">
        <x:f>IF(AND(OR($A61="Ítems agrupados por caso clínico o problema",$A61="Opción de Emparejamiento Ampliado"),COUNTIF($D61:$H61,"?*")&gt;0),IF(COUNTIF($Q61:$AH61,"?*")&gt;0,", ","")&amp;"sin incisos","")</x:f>
      </x:c>
      <x:c r="AJ61" t="str">
        <x:f>IF(AND($A61="Emparejamiento Ampliado",COUNTIF($D61:$H61,"?*")&lt;2),IF(COUNTIF($Q61:$AI61,"?*")&gt;0,", ","")&amp;"minimo 2 claves","")</x:f>
      </x:c>
      <x:c r="AK61" t="str">
        <x:f>IF(AND($A61="Opción de Emparejamiento Ampliado",NOT(OR(LEFT(TRIM($I61),1)="A",LEFT(TRIM($I61),1)="B",LEFT(TRIM($I61),1)="C",LEFT(TRIM($I61),1)="D",LEFT(TRIM($I61),1)="E"))),IF(COUNTIF($Q61:$AJ61,"?*")&gt;0,", ","")&amp;"respuesta A-E","")</x:f>
      </x:c>
      <x:c r="AL61" t="str">
        <x:f>IF(TRIM($K61)="",IF(COUNTIF($M61:$M61,"?*")&gt;0,", ","")&amp;"parcial","")</x:f>
      </x:c>
      <x:c r="AM61" t="str">
        <x:f>IF(AND(TRIM($K61)&lt;&gt;"",TRIM($K61)&lt;&gt;"1P"),IF(COUNTIF($M61:$N61,"?*")&gt;0,", ","")&amp;"parcial distinto a 1P","")</x:f>
      </x:c>
      <x:c r="AN61" t="str">
        <x:f>IF(AND(OR($A61="Ítems agrupados por caso clínico o problema",$A61="Subítem de caso o problema",$A61="Emparejamiento Ampliado",$A61="Opción de Emparejamiento Ampliado"),TRIM($B61)=""),IF(COUNTIF($M61:$O61,"?*")&gt;0,", ","")&amp;"grupo","")</x:f>
      </x:c>
    </x:row>
    <x:row r="62" ht="24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  <x:c r="AI62"/>
      <x:c r="AJ62"/>
      <x:c r="AK62"/>
      <x:c r="AL62"/>
      <x:c r="AM62"/>
      <x:c r="AN62"/>
    </x:row>
    <x:row r="63" ht="24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</x:row>
    <x:row r="64" ht="24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</x:row>
    <x:row r="65" ht="24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</x:row>
    <x:row r="66" ht="24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</x:row>
    <x:row r="67" ht="24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</x:row>
    <x:row r="68" ht="24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</x:row>
    <x:row r="69" ht="24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</x:row>
    <x:row r="70" ht="24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</x:row>
    <x:row r="71" ht="24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</x:row>
    <x:row r="72" ht="24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</x:row>
    <x:row r="73" ht="2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</x:row>
    <x:row r="74" ht="24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</x:row>
    <x:row r="75" ht="24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</x:row>
    <x:row r="76" ht="24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</x:row>
    <x:row r="77" ht="24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</x:row>
    <x:row r="78" ht="24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</x:row>
    <x:row r="79" ht="24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</x:row>
    <x:row r="80" ht="24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</x:row>
    <x:row r="81" ht="24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</x:row>
    <x:row r="82" ht="24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</x:row>
    <x:row r="83" ht="24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</x:row>
    <x:row r="84" ht="24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</x:row>
    <x:row r="85" ht="24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</x:row>
    <x:row r="86" ht="24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</x:row>
    <x:row r="87" ht="24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</x:row>
    <x:row r="88" ht="24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</x:row>
    <x:row r="89" ht="24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</x:row>
    <x:row r="90" ht="24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</x:row>
    <x:row r="91" ht="24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</x:row>
    <x:row r="92" ht="24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</x:row>
    <x:row r="93" ht="24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</x:row>
    <x:row r="94" ht="24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</x:row>
    <x:row r="95" ht="24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</x:row>
    <x:row r="96" ht="24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</x:row>
    <x:row r="97" ht="24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</x:row>
    <x:row r="98" ht="24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</x:row>
    <x:row r="99" ht="24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</x:row>
    <x:row r="100" ht="24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</x:row>
    <x:row r="101" ht="24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</x:row>
    <x:row r="102" ht="24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</x:row>
    <x:row r="103" ht="24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</x:row>
    <x:row r="104" ht="24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</x:row>
    <x:row r="105" ht="24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</x:row>
    <x:row r="106" ht="24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</x:row>
    <x:row r="107" ht="24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</x:row>
    <x:row r="108" ht="24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</x:row>
    <x:row r="109" ht="24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</x:row>
    <x:row r="110" ht="24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</x:row>
    <x:row r="111" ht="24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</x:row>
    <x:row r="112" ht="24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</x:row>
    <x:row r="113" ht="24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</x:row>
    <x:row r="114" ht="24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</x:row>
    <x:row r="115" ht="24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</x:row>
    <x:row r="116" ht="24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</x:row>
    <x:row r="117" ht="24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</x:row>
    <x:row r="118" ht="24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</x:row>
    <x:row r="119" ht="24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</x:row>
    <x:row r="120" ht="24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</x:row>
    <x:row r="121" ht="24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</x:row>
    <x:row r="122" ht="28" customHeight="1">
      <x:c r="L122"/>
      <x:c r="M122"/>
      <x:c r="O122"/>
      <x:c r="P122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</x:row>
    <x:row r="123" ht="20" customHeight="1">
      <x:c r="I123"/>
      <x:c r="J123"/>
      <x:c r="L123"/>
      <x:c r="M123"/>
      <x:c r="O123"/>
      <x:c r="P123"/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</x:row>
    <x:row r="124" ht="20" customHeight="1">
      <x:c r="I124"/>
      <x:c r="J124"/>
      <x:c r="L124"/>
      <x:c r="M124"/>
      <x:c r="O124"/>
      <x:c r="P124"/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</x:row>
    <x:row r="125" ht="20" customHeight="1">
      <x:c r="I125"/>
      <x:c r="J125"/>
      <x:c r="L125"/>
      <x:c r="M125"/>
      <x:c r="O125"/>
      <x:c r="P125"/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</x:row>
    <x:row r="126">
      <x:c r="L126"/>
      <x:c r="M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</x:row>
    <x:row r="127">
      <x:c r="I127"/>
      <x:c r="J127"/>
      <x:c r="L127"/>
      <x:c r="M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</x:row>
    <x:row r="128">
      <x:c r="I128"/>
      <x:c r="J128"/>
      <x:c r="L128"/>
      <x:c r="M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</x:row>
    <x:row r="129">
      <x:c r="I129"/>
      <x:c r="J129"/>
      <x:c r="L129"/>
      <x:c r="M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</x:row>
    <x:row r="130">
      <x:c r="L130"/>
      <x:c r="M130"/>
      <x:c r="Q130"/>
      <x:c r="R130"/>
      <x:c r="S130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</x:row>
    <x:row r="131">
      <x:c r="A131"/>
      <x:c r="L131"/>
      <x:c r="M131"/>
      <x:c r="Q131"/>
      <x:c r="R131"/>
      <x:c r="S131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</x:row>
    <x:row r="132">
      <x:c r="A132"/>
      <x:c r="L132"/>
      <x:c r="M132"/>
      <x:c r="Q132"/>
      <x:c r="R132"/>
      <x:c r="S132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</x:row>
    <x:row r="133">
      <x:c r="A133"/>
      <x:c r="L133"/>
      <x:c r="M133"/>
      <x:c r="Q133"/>
      <x:c r="R133"/>
      <x:c r="S13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</x:row>
    <x:row r="134">
      <x:c r="A134"/>
      <x:c r="L134"/>
      <x:c r="M134"/>
      <x:c r="Q134"/>
      <x:c r="R134"/>
      <x:c r="S134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</x:row>
    <x:row r="135">
      <x:c r="A135"/>
      <x:c r="L135"/>
      <x:c r="M135"/>
      <x:c r="Q135"/>
      <x:c r="R135"/>
      <x:c r="S135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</x:row>
    <x:row r="136">
      <x:c r="A136"/>
      <x:c r="L136"/>
      <x:c r="M136"/>
      <x:c r="Q136"/>
      <x:c r="R136"/>
      <x:c r="S136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</x:row>
    <x:row r="137">
      <x:c r="A137"/>
      <x:c r="L137"/>
      <x:c r="M137"/>
      <x:c r="Q137"/>
      <x:c r="R137"/>
      <x:c r="S137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</x:row>
    <x:row r="138">
      <x:c r="A138"/>
      <x:c r="L138"/>
      <x:c r="M138"/>
      <x:c r="Q138"/>
      <x:c r="R138"/>
      <x:c r="S138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</x:row>
    <x:row r="139">
      <x:c r="A139"/>
      <x:c r="L139"/>
      <x:c r="M139"/>
      <x:c r="Q139"/>
      <x:c r="R139"/>
      <x:c r="S139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</x:row>
    <x:row r="140">
      <x:c r="A140"/>
      <x:c r="L140"/>
      <x:c r="M140"/>
      <x:c r="Q140"/>
      <x:c r="R140"/>
      <x:c r="S140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</x:row>
  </x:sheetData>
  <x:mergeCells>
    <x:mergeCell ref="O122:P122"/>
    <x:mergeCell ref="AO1:AQ1"/>
  </x:mergeCells>
  <x:conditionalFormatting sqref="D2:H61">
    <x:cfRule type="expression" dxfId="0" priority="1">
      <x:formula>OR($A2="Ítems agrupados por caso clínico o problema",$A2="Opción de Emparejamiento Ampliado")</x:formula>
    </x:cfRule>
  </x:conditionalFormatting>
  <x:conditionalFormatting sqref="F2:H61">
    <x:cfRule type="expression" dxfId="1" priority="2">
      <x:formula>$A2="Verdadero o Falso Simple"</x:formula>
    </x:cfRule>
  </x:conditionalFormatting>
  <x:conditionalFormatting sqref="H2:H61">
    <x:cfRule type="expression" dxfId="2" priority="3">
      <x:formula>OR($A2="Respuesta A/B/Ambas/Ninguna",$A2="Verdadero o Falso Complejas")</x:formula>
    </x:cfRule>
  </x:conditionalFormatting>
  <x:conditionalFormatting sqref="I2:J61">
    <x:cfRule type="expression" dxfId="3" priority="4">
      <x:formula>OR($A2="Ítems agrupados por caso clínico o problema",$A2="Emparejamiento Ampliado")</x:formula>
    </x:cfRule>
  </x:conditionalFormatting>
  <x:conditionalFormatting sqref="L2:L61">
    <x:cfRule type="expression" dxfId="4" priority="5">
      <x:formula>LEFT($L2,2)="OK"</x:formula>
    </x:cfRule>
    <x:cfRule type="expression" dxfId="5" priority="6">
      <x:formula>AND($L2&lt;&gt;"",LEFT($L2,2)&lt;&gt;"OK")</x:formula>
    </x:cfRule>
  </x:conditionalFormatting>
  <x:dataValidations count="481">
    <x:dataValidation type="custom" allowBlank="1" showErrorMessage="1" errorTitle="Grupo invalido" error="El grupo solo se llena en casos/problemas, subitems, emparejamiento ampliado y opciones de emparejamiento." sqref="B10">
      <x:formula1>IF(ISNUMBER(MATCH($A10,TIPOS_REQUIEREN_GRUPO,0)),LEN(TRIM($B10))&gt;0,LEN(TRIM($B10))=0)</x:formula1>
    </x:dataValidation>
    <x:dataValidation type="custom" allowBlank="1" showErrorMessage="1" errorTitle="Grupo invalido" error="El grupo solo se llena en casos/problemas, subitems, emparejamiento ampliado y opciones de emparejamiento." sqref="B11">
      <x:formula1>IF(ISNUMBER(MATCH($A11,TIPOS_REQUIEREN_GRUPO,0)),LEN(TRIM($B11))&gt;0,LEN(TRIM($B11))=0)</x:formula1>
    </x:dataValidation>
    <x:dataValidation type="custom" allowBlank="1" showErrorMessage="1" errorTitle="Grupo invalido" error="El grupo solo se llena en casos/problemas, subitems, emparejamiento ampliado y opciones de emparejamiento." sqref="B12">
      <x:formula1>IF(ISNUMBER(MATCH($A12,TIPOS_REQUIEREN_GRUPO,0)),LEN(TRIM($B12))&gt;0,LEN(TRIM($B12))=0)</x:formula1>
    </x:dataValidation>
    <x:dataValidation type="custom" allowBlank="1" showErrorMessage="1" errorTitle="Grupo invalido" error="El grupo solo se llena en casos/problemas, subitems, emparejamiento ampliado y opciones de emparejamiento." sqref="B13">
      <x:formula1>IF(ISNUMBER(MATCH($A13,TIPOS_REQUIEREN_GRUPO,0)),LEN(TRIM($B13))&gt;0,LEN(TRIM($B13))=0)</x:formula1>
    </x:dataValidation>
    <x:dataValidation type="custom" allowBlank="1" showErrorMessage="1" errorTitle="Grupo invalido" error="El grupo solo se llena en casos/problemas, subitems, emparejamiento ampliado y opciones de emparejamiento." sqref="B14">
      <x:formula1>IF(ISNUMBER(MATCH($A14,TIPOS_REQUIEREN_GRUPO,0)),LEN(TRIM($B14))&gt;0,LEN(TRIM($B14))=0)</x:formula1>
    </x:dataValidation>
    <x:dataValidation type="custom" allowBlank="1" showErrorMessage="1" errorTitle="Grupo invalido" error="El grupo solo se llena en casos/problemas, subitems, emparejamiento ampliado y opciones de emparejamiento." sqref="B15">
      <x:formula1>IF(ISNUMBER(MATCH($A15,TIPOS_REQUIEREN_GRUPO,0)),LEN(TRIM($B15))&gt;0,LEN(TRIM($B15))=0)</x:formula1>
    </x:dataValidation>
    <x:dataValidation type="custom" allowBlank="1" showErrorMessage="1" errorTitle="Grupo invalido" error="El grupo solo se llena en casos/problemas, subitems, emparejamiento ampliado y opciones de emparejamiento." sqref="B16">
      <x:formula1>IF(ISNUMBER(MATCH($A16,TIPOS_REQUIEREN_GRUPO,0)),LEN(TRIM($B16))&gt;0,LEN(TRIM($B16))=0)</x:formula1>
    </x:dataValidation>
    <x:dataValidation type="custom" allowBlank="1" showErrorMessage="1" errorTitle="Grupo invalido" error="El grupo solo se llena en casos/problemas, subitems, emparejamiento ampliado y opciones de emparejamiento." sqref="B17">
      <x:formula1>IF(ISNUMBER(MATCH($A17,TIPOS_REQUIEREN_GRUPO,0)),LEN(TRIM($B17))&gt;0,LEN(TRIM($B17))=0)</x:formula1>
    </x:dataValidation>
    <x:dataValidation type="custom" allowBlank="1" showErrorMessage="1" errorTitle="Grupo invalido" error="El grupo solo se llena en casos/problemas, subitems, emparejamiento ampliado y opciones de emparejamiento." sqref="B18">
      <x:formula1>IF(ISNUMBER(MATCH($A18,TIPOS_REQUIEREN_GRUPO,0)),LEN(TRIM($B18))&gt;0,LEN(TRIM($B18))=0)</x:formula1>
    </x:dataValidation>
    <x:dataValidation type="custom" allowBlank="1" showErrorMessage="1" errorTitle="Grupo invalido" error="El grupo solo se llena en casos/problemas, subitems, emparejamiento ampliado y opciones de emparejamiento." sqref="B19">
      <x:formula1>IF(ISNUMBER(MATCH($A19,TIPOS_REQUIEREN_GRUPO,0)),LEN(TRIM($B19))&gt;0,LEN(TRIM($B19))=0)</x:formula1>
    </x:dataValidation>
    <x:dataValidation type="custom" allowBlank="1" showErrorMessage="1" errorTitle="Grupo invalido" error="El grupo solo se llena en casos/problemas, subitems, emparejamiento ampliado y opciones de emparejamiento." sqref="B2">
      <x:formula1>IF(ISNUMBER(MATCH($A2,TIPOS_REQUIEREN_GRUPO,0)),LEN(TRIM($B2))&gt;0,LEN(TRIM($B2))=0)</x:formula1>
    </x:dataValidation>
    <x:dataValidation type="custom" allowBlank="1" showErrorMessage="1" errorTitle="Grupo invalido" error="El grupo solo se llena en casos/problemas, subitems, emparejamiento ampliado y opciones de emparejamiento." sqref="B20">
      <x:formula1>IF(ISNUMBER(MATCH($A20,TIPOS_REQUIEREN_GRUPO,0)),LEN(TRIM($B20))&gt;0,LEN(TRIM($B20))=0)</x:formula1>
    </x:dataValidation>
    <x:dataValidation type="custom" allowBlank="1" showErrorMessage="1" errorTitle="Grupo invalido" error="El grupo solo se llena en casos/problemas, subitems, emparejamiento ampliado y opciones de emparejamiento." sqref="B21">
      <x:formula1>IF(ISNUMBER(MATCH($A21,TIPOS_REQUIEREN_GRUPO,0)),LEN(TRIM($B21))&gt;0,LEN(TRIM($B21))=0)</x:formula1>
    </x:dataValidation>
    <x:dataValidation type="custom" allowBlank="1" showErrorMessage="1" errorTitle="Grupo invalido" error="El grupo solo se llena en casos/problemas, subitems, emparejamiento ampliado y opciones de emparejamiento." sqref="B22">
      <x:formula1>IF(ISNUMBER(MATCH($A22,TIPOS_REQUIEREN_GRUPO,0)),LEN(TRIM($B22))&gt;0,LEN(TRIM($B22))=0)</x:formula1>
    </x:dataValidation>
    <x:dataValidation type="custom" allowBlank="1" showErrorMessage="1" errorTitle="Grupo invalido" error="El grupo solo se llena en casos/problemas, subitems, emparejamiento ampliado y opciones de emparejamiento." sqref="B23">
      <x:formula1>IF(ISNUMBER(MATCH($A23,TIPOS_REQUIEREN_GRUPO,0)),LEN(TRIM($B23))&gt;0,LEN(TRIM($B23))=0)</x:formula1>
    </x:dataValidation>
    <x:dataValidation type="custom" allowBlank="1" showErrorMessage="1" errorTitle="Grupo invalido" error="El grupo solo se llena en casos/problemas, subitems, emparejamiento ampliado y opciones de emparejamiento." sqref="B24">
      <x:formula1>IF(ISNUMBER(MATCH($A24,TIPOS_REQUIEREN_GRUPO,0)),LEN(TRIM($B24))&gt;0,LEN(TRIM($B24))=0)</x:formula1>
    </x:dataValidation>
    <x:dataValidation type="custom" allowBlank="1" showErrorMessage="1" errorTitle="Grupo invalido" error="El grupo solo se llena en casos/problemas, subitems, emparejamiento ampliado y opciones de emparejamiento." sqref="B25">
      <x:formula1>IF(ISNUMBER(MATCH($A25,TIPOS_REQUIEREN_GRUPO,0)),LEN(TRIM($B25))&gt;0,LEN(TRIM($B25))=0)</x:formula1>
    </x:dataValidation>
    <x:dataValidation type="custom" allowBlank="1" showErrorMessage="1" errorTitle="Grupo invalido" error="El grupo solo se llena en casos/problemas, subitems, emparejamiento ampliado y opciones de emparejamiento." sqref="B26">
      <x:formula1>IF(ISNUMBER(MATCH($A26,TIPOS_REQUIEREN_GRUPO,0)),LEN(TRIM($B26))&gt;0,LEN(TRIM($B26))=0)</x:formula1>
    </x:dataValidation>
    <x:dataValidation type="custom" allowBlank="1" showErrorMessage="1" errorTitle="Grupo invalido" error="El grupo solo se llena en casos/problemas, subitems, emparejamiento ampliado y opciones de emparejamiento." sqref="B27">
      <x:formula1>IF(ISNUMBER(MATCH($A27,TIPOS_REQUIEREN_GRUPO,0)),LEN(TRIM($B27))&gt;0,LEN(TRIM($B27))=0)</x:formula1>
    </x:dataValidation>
    <x:dataValidation type="custom" allowBlank="1" showErrorMessage="1" errorTitle="Grupo invalido" error="El grupo solo se llena en casos/problemas, subitems, emparejamiento ampliado y opciones de emparejamiento." sqref="B28">
      <x:formula1>IF(ISNUMBER(MATCH($A28,TIPOS_REQUIEREN_GRUPO,0)),LEN(TRIM($B28))&gt;0,LEN(TRIM($B28))=0)</x:formula1>
    </x:dataValidation>
    <x:dataValidation type="custom" allowBlank="1" showErrorMessage="1" errorTitle="Grupo invalido" error="El grupo solo se llena en casos/problemas, subitems, emparejamiento ampliado y opciones de emparejamiento." sqref="B29">
      <x:formula1>IF(ISNUMBER(MATCH($A29,TIPOS_REQUIEREN_GRUPO,0)),LEN(TRIM($B29))&gt;0,LEN(TRIM($B29))=0)</x:formula1>
    </x:dataValidation>
    <x:dataValidation type="custom" allowBlank="1" showErrorMessage="1" errorTitle="Grupo invalido" error="El grupo solo se llena en casos/problemas, subitems, emparejamiento ampliado y opciones de emparejamiento." sqref="B3">
      <x:formula1>IF(ISNUMBER(MATCH($A3,TIPOS_REQUIEREN_GRUPO,0)),LEN(TRIM($B3))&gt;0,LEN(TRIM($B3))=0)</x:formula1>
    </x:dataValidation>
    <x:dataValidation type="custom" allowBlank="1" showErrorMessage="1" errorTitle="Grupo invalido" error="El grupo solo se llena en casos/problemas, subitems, emparejamiento ampliado y opciones de emparejamiento." sqref="B30">
      <x:formula1>IF(ISNUMBER(MATCH($A30,TIPOS_REQUIEREN_GRUPO,0)),LEN(TRIM($B30))&gt;0,LEN(TRIM($B30))=0)</x:formula1>
    </x:dataValidation>
    <x:dataValidation type="custom" allowBlank="1" showErrorMessage="1" errorTitle="Grupo invalido" error="El grupo solo se llena en casos/problemas, subitems, emparejamiento ampliado y opciones de emparejamiento." sqref="B31">
      <x:formula1>IF(ISNUMBER(MATCH($A31,TIPOS_REQUIEREN_GRUPO,0)),LEN(TRIM($B31))&gt;0,LEN(TRIM($B31))=0)</x:formula1>
    </x:dataValidation>
    <x:dataValidation type="custom" allowBlank="1" showErrorMessage="1" errorTitle="Grupo invalido" error="El grupo solo se llena en casos/problemas, subitems, emparejamiento ampliado y opciones de emparejamiento." sqref="B32">
      <x:formula1>IF(ISNUMBER(MATCH($A32,TIPOS_REQUIEREN_GRUPO,0)),LEN(TRIM($B32))&gt;0,LEN(TRIM($B32))=0)</x:formula1>
    </x:dataValidation>
    <x:dataValidation type="custom" allowBlank="1" showErrorMessage="1" errorTitle="Grupo invalido" error="El grupo solo se llena en casos/problemas, subitems, emparejamiento ampliado y opciones de emparejamiento." sqref="B33">
      <x:formula1>IF(ISNUMBER(MATCH($A33,TIPOS_REQUIEREN_GRUPO,0)),LEN(TRIM($B33))&gt;0,LEN(TRIM($B33))=0)</x:formula1>
    </x:dataValidation>
    <x:dataValidation type="custom" allowBlank="1" showErrorMessage="1" errorTitle="Grupo invalido" error="El grupo solo se llena en casos/problemas, subitems, emparejamiento ampliado y opciones de emparejamiento." sqref="B34">
      <x:formula1>IF(ISNUMBER(MATCH($A34,TIPOS_REQUIEREN_GRUPO,0)),LEN(TRIM($B34))&gt;0,LEN(TRIM($B34))=0)</x:formula1>
    </x:dataValidation>
    <x:dataValidation type="custom" allowBlank="1" showErrorMessage="1" errorTitle="Grupo invalido" error="El grupo solo se llena en casos/problemas, subitems, emparejamiento ampliado y opciones de emparejamiento." sqref="B35">
      <x:formula1>IF(ISNUMBER(MATCH($A35,TIPOS_REQUIEREN_GRUPO,0)),LEN(TRIM($B35))&gt;0,LEN(TRIM($B35))=0)</x:formula1>
    </x:dataValidation>
    <x:dataValidation type="custom" allowBlank="1" showErrorMessage="1" errorTitle="Grupo invalido" error="El grupo solo se llena en casos/problemas, subitems, emparejamiento ampliado y opciones de emparejamiento." sqref="B36">
      <x:formula1>IF(ISNUMBER(MATCH($A36,TIPOS_REQUIEREN_GRUPO,0)),LEN(TRIM($B36))&gt;0,LEN(TRIM($B36))=0)</x:formula1>
    </x:dataValidation>
    <x:dataValidation type="custom" allowBlank="1" showErrorMessage="1" errorTitle="Grupo invalido" error="El grupo solo se llena en casos/problemas, subitems, emparejamiento ampliado y opciones de emparejamiento." sqref="B37">
      <x:formula1>IF(ISNUMBER(MATCH($A37,TIPOS_REQUIEREN_GRUPO,0)),LEN(TRIM($B37))&gt;0,LEN(TRIM($B37))=0)</x:formula1>
    </x:dataValidation>
    <x:dataValidation type="custom" allowBlank="1" showErrorMessage="1" errorTitle="Grupo invalido" error="El grupo solo se llena en casos/problemas, subitems, emparejamiento ampliado y opciones de emparejamiento." sqref="B38">
      <x:formula1>IF(ISNUMBER(MATCH($A38,TIPOS_REQUIEREN_GRUPO,0)),LEN(TRIM($B38))&gt;0,LEN(TRIM($B38))=0)</x:formula1>
    </x:dataValidation>
    <x:dataValidation type="custom" allowBlank="1" showErrorMessage="1" errorTitle="Grupo invalido" error="El grupo solo se llena en casos/problemas, subitems, emparejamiento ampliado y opciones de emparejamiento." sqref="B39">
      <x:formula1>IF(ISNUMBER(MATCH($A39,TIPOS_REQUIEREN_GRUPO,0)),LEN(TRIM($B39))&gt;0,LEN(TRIM($B39))=0)</x:formula1>
    </x:dataValidation>
    <x:dataValidation type="custom" allowBlank="1" showErrorMessage="1" errorTitle="Grupo invalido" error="El grupo solo se llena en casos/problemas, subitems, emparejamiento ampliado y opciones de emparejamiento." sqref="B4">
      <x:formula1>IF(ISNUMBER(MATCH($A4,TIPOS_REQUIEREN_GRUPO,0)),LEN(TRIM($B4))&gt;0,LEN(TRIM($B4))=0)</x:formula1>
    </x:dataValidation>
    <x:dataValidation type="custom" allowBlank="1" showErrorMessage="1" errorTitle="Grupo invalido" error="El grupo solo se llena en casos/problemas, subitems, emparejamiento ampliado y opciones de emparejamiento." sqref="B40">
      <x:formula1>IF(ISNUMBER(MATCH($A40,TIPOS_REQUIEREN_GRUPO,0)),LEN(TRIM($B40))&gt;0,LEN(TRIM($B40))=0)</x:formula1>
    </x:dataValidation>
    <x:dataValidation type="custom" allowBlank="1" showErrorMessage="1" errorTitle="Grupo invalido" error="El grupo solo se llena en casos/problemas, subitems, emparejamiento ampliado y opciones de emparejamiento." sqref="B41">
      <x:formula1>IF(ISNUMBER(MATCH($A41,TIPOS_REQUIEREN_GRUPO,0)),LEN(TRIM($B41))&gt;0,LEN(TRIM($B41))=0)</x:formula1>
    </x:dataValidation>
    <x:dataValidation type="custom" allowBlank="1" showErrorMessage="1" errorTitle="Grupo invalido" error="El grupo solo se llena en casos/problemas, subitems, emparejamiento ampliado y opciones de emparejamiento." sqref="B42">
      <x:formula1>IF(ISNUMBER(MATCH($A42,TIPOS_REQUIEREN_GRUPO,0)),LEN(TRIM($B42))&gt;0,LEN(TRIM($B42))=0)</x:formula1>
    </x:dataValidation>
    <x:dataValidation type="custom" allowBlank="1" showErrorMessage="1" errorTitle="Grupo invalido" error="El grupo solo se llena en casos/problemas, subitems, emparejamiento ampliado y opciones de emparejamiento." sqref="B43">
      <x:formula1>IF(ISNUMBER(MATCH($A43,TIPOS_REQUIEREN_GRUPO,0)),LEN(TRIM($B43))&gt;0,LEN(TRIM($B43))=0)</x:formula1>
    </x:dataValidation>
    <x:dataValidation type="custom" allowBlank="1" showErrorMessage="1" errorTitle="Grupo invalido" error="El grupo solo se llena en casos/problemas, subitems, emparejamiento ampliado y opciones de emparejamiento." sqref="B44">
      <x:formula1>IF(ISNUMBER(MATCH($A44,TIPOS_REQUIEREN_GRUPO,0)),LEN(TRIM($B44))&gt;0,LEN(TRIM($B44))=0)</x:formula1>
    </x:dataValidation>
    <x:dataValidation type="custom" allowBlank="1" showErrorMessage="1" errorTitle="Grupo invalido" error="El grupo solo se llena en casos/problemas, subitems, emparejamiento ampliado y opciones de emparejamiento." sqref="B45">
      <x:formula1>IF(ISNUMBER(MATCH($A45,TIPOS_REQUIEREN_GRUPO,0)),LEN(TRIM($B45))&gt;0,LEN(TRIM($B45))=0)</x:formula1>
    </x:dataValidation>
    <x:dataValidation type="custom" allowBlank="1" showErrorMessage="1" errorTitle="Grupo invalido" error="El grupo solo se llena en casos/problemas, subitems, emparejamiento ampliado y opciones de emparejamiento." sqref="B46">
      <x:formula1>IF(ISNUMBER(MATCH($A46,TIPOS_REQUIEREN_GRUPO,0)),LEN(TRIM($B46))&gt;0,LEN(TRIM($B46))=0)</x:formula1>
    </x:dataValidation>
    <x:dataValidation type="custom" allowBlank="1" showErrorMessage="1" errorTitle="Grupo invalido" error="El grupo solo se llena en casos/problemas, subitems, emparejamiento ampliado y opciones de emparejamiento." sqref="B47">
      <x:formula1>IF(ISNUMBER(MATCH($A47,TIPOS_REQUIEREN_GRUPO,0)),LEN(TRIM($B47))&gt;0,LEN(TRIM($B47))=0)</x:formula1>
    </x:dataValidation>
    <x:dataValidation type="custom" allowBlank="1" showErrorMessage="1" errorTitle="Grupo invalido" error="El grupo solo se llena en casos/problemas, subitems, emparejamiento ampliado y opciones de emparejamiento." sqref="B48">
      <x:formula1>IF(ISNUMBER(MATCH($A48,TIPOS_REQUIEREN_GRUPO,0)),LEN(TRIM($B48))&gt;0,LEN(TRIM($B48))=0)</x:formula1>
    </x:dataValidation>
    <x:dataValidation type="custom" allowBlank="1" showErrorMessage="1" errorTitle="Grupo invalido" error="El grupo solo se llena en casos/problemas, subitems, emparejamiento ampliado y opciones de emparejamiento." sqref="B49">
      <x:formula1>IF(ISNUMBER(MATCH($A49,TIPOS_REQUIEREN_GRUPO,0)),LEN(TRIM($B49))&gt;0,LEN(TRIM($B49))=0)</x:formula1>
    </x:dataValidation>
    <x:dataValidation type="custom" allowBlank="1" showErrorMessage="1" errorTitle="Grupo invalido" error="El grupo solo se llena en casos/problemas, subitems, emparejamiento ampliado y opciones de emparejamiento." sqref="B5">
      <x:formula1>IF(ISNUMBER(MATCH($A5,TIPOS_REQUIEREN_GRUPO,0)),LEN(TRIM($B5))&gt;0,LEN(TRIM($B5))=0)</x:formula1>
    </x:dataValidation>
    <x:dataValidation type="custom" allowBlank="1" showErrorMessage="1" errorTitle="Grupo invalido" error="El grupo solo se llena en casos/problemas, subitems, emparejamiento ampliado y opciones de emparejamiento." sqref="B50">
      <x:formula1>IF(ISNUMBER(MATCH($A50,TIPOS_REQUIEREN_GRUPO,0)),LEN(TRIM($B50))&gt;0,LEN(TRIM($B50))=0)</x:formula1>
    </x:dataValidation>
    <x:dataValidation type="custom" allowBlank="1" showErrorMessage="1" errorTitle="Grupo invalido" error="El grupo solo se llena en casos/problemas, subitems, emparejamiento ampliado y opciones de emparejamiento." sqref="B51">
      <x:formula1>IF(ISNUMBER(MATCH($A51,TIPOS_REQUIEREN_GRUPO,0)),LEN(TRIM($B51))&gt;0,LEN(TRIM($B51))=0)</x:formula1>
    </x:dataValidation>
    <x:dataValidation type="custom" allowBlank="1" showErrorMessage="1" errorTitle="Grupo invalido" error="El grupo solo se llena en casos/problemas, subitems, emparejamiento ampliado y opciones de emparejamiento." sqref="B52">
      <x:formula1>IF(ISNUMBER(MATCH($A52,TIPOS_REQUIEREN_GRUPO,0)),LEN(TRIM($B52))&gt;0,LEN(TRIM($B52))=0)</x:formula1>
    </x:dataValidation>
    <x:dataValidation type="custom" allowBlank="1" showErrorMessage="1" errorTitle="Grupo invalido" error="El grupo solo se llena en casos/problemas, subitems, emparejamiento ampliado y opciones de emparejamiento." sqref="B53">
      <x:formula1>IF(ISNUMBER(MATCH($A53,TIPOS_REQUIEREN_GRUPO,0)),LEN(TRIM($B53))&gt;0,LEN(TRIM($B53))=0)</x:formula1>
    </x:dataValidation>
    <x:dataValidation type="custom" allowBlank="1" showErrorMessage="1" errorTitle="Grupo invalido" error="El grupo solo se llena en casos/problemas, subitems, emparejamiento ampliado y opciones de emparejamiento." sqref="B54">
      <x:formula1>IF(ISNUMBER(MATCH($A54,TIPOS_REQUIEREN_GRUPO,0)),LEN(TRIM($B54))&gt;0,LEN(TRIM($B54))=0)</x:formula1>
    </x:dataValidation>
    <x:dataValidation type="custom" allowBlank="1" showErrorMessage="1" errorTitle="Grupo invalido" error="El grupo solo se llena en casos/problemas, subitems, emparejamiento ampliado y opciones de emparejamiento." sqref="B55">
      <x:formula1>IF(ISNUMBER(MATCH($A55,TIPOS_REQUIEREN_GRUPO,0)),LEN(TRIM($B55))&gt;0,LEN(TRIM($B55))=0)</x:formula1>
    </x:dataValidation>
    <x:dataValidation type="custom" allowBlank="1" showErrorMessage="1" errorTitle="Grupo invalido" error="El grupo solo se llena en casos/problemas, subitems, emparejamiento ampliado y opciones de emparejamiento." sqref="B56">
      <x:formula1>IF(ISNUMBER(MATCH($A56,TIPOS_REQUIEREN_GRUPO,0)),LEN(TRIM($B56))&gt;0,LEN(TRIM($B56))=0)</x:formula1>
    </x:dataValidation>
    <x:dataValidation type="custom" allowBlank="1" showErrorMessage="1" errorTitle="Grupo invalido" error="El grupo solo se llena en casos/problemas, subitems, emparejamiento ampliado y opciones de emparejamiento." sqref="B57">
      <x:formula1>IF(ISNUMBER(MATCH($A57,TIPOS_REQUIEREN_GRUPO,0)),LEN(TRIM($B57))&gt;0,LEN(TRIM($B57))=0)</x:formula1>
    </x:dataValidation>
    <x:dataValidation type="custom" allowBlank="1" showErrorMessage="1" errorTitle="Grupo invalido" error="El grupo solo se llena en casos/problemas, subitems, emparejamiento ampliado y opciones de emparejamiento." sqref="B58">
      <x:formula1>IF(ISNUMBER(MATCH($A58,TIPOS_REQUIEREN_GRUPO,0)),LEN(TRIM($B58))&gt;0,LEN(TRIM($B58))=0)</x:formula1>
    </x:dataValidation>
    <x:dataValidation type="custom" allowBlank="1" showErrorMessage="1" errorTitle="Grupo invalido" error="El grupo solo se llena en casos/problemas, subitems, emparejamiento ampliado y opciones de emparejamiento." sqref="B59">
      <x:formula1>IF(ISNUMBER(MATCH($A59,TIPOS_REQUIEREN_GRUPO,0)),LEN(TRIM($B59))&gt;0,LEN(TRIM($B59))=0)</x:formula1>
    </x:dataValidation>
    <x:dataValidation type="custom" allowBlank="1" showErrorMessage="1" errorTitle="Grupo invalido" error="El grupo solo se llena en casos/problemas, subitems, emparejamiento ampliado y opciones de emparejamiento." sqref="B6">
      <x:formula1>IF(ISNUMBER(MATCH($A6,TIPOS_REQUIEREN_GRUPO,0)),LEN(TRIM($B6))&gt;0,LEN(TRIM($B6))=0)</x:formula1>
    </x:dataValidation>
    <x:dataValidation type="custom" allowBlank="1" showErrorMessage="1" errorTitle="Grupo invalido" error="El grupo solo se llena en casos/problemas, subitems, emparejamiento ampliado y opciones de emparejamiento." sqref="B60">
      <x:formula1>IF(ISNUMBER(MATCH($A60,TIPOS_REQUIEREN_GRUPO,0)),LEN(TRIM($B60))&gt;0,LEN(TRIM($B60))=0)</x:formula1>
    </x:dataValidation>
    <x:dataValidation type="custom" allowBlank="1" showErrorMessage="1" errorTitle="Grupo invalido" error="El grupo solo se llena en casos/problemas, subitems, emparejamiento ampliado y opciones de emparejamiento." sqref="B61">
      <x:formula1>IF(ISNUMBER(MATCH($A61,TIPOS_REQUIEREN_GRUPO,0)),LEN(TRIM($B61))&gt;0,LEN(TRIM($B61))=0)</x:formula1>
    </x:dataValidation>
    <x:dataValidation type="custom" allowBlank="1" showErrorMessage="1" errorTitle="Grupo invalido" error="El grupo solo se llena en casos/problemas, subitems, emparejamiento ampliado y opciones de emparejamiento." sqref="B7">
      <x:formula1>IF(ISNUMBER(MATCH($A7,TIPOS_REQUIEREN_GRUPO,0)),LEN(TRIM($B7))&gt;0,LEN(TRIM($B7))=0)</x:formula1>
    </x:dataValidation>
    <x:dataValidation type="custom" allowBlank="1" showErrorMessage="1" errorTitle="Grupo invalido" error="El grupo solo se llena en casos/problemas, subitems, emparejamiento ampliado y opciones de emparejamiento." sqref="B8">
      <x:formula1>IF(ISNUMBER(MATCH($A8,TIPOS_REQUIEREN_GRUPO,0)),LEN(TRIM($B8))&gt;0,LEN(TRIM($B8))=0)</x:formula1>
    </x:dataValidation>
    <x:dataValidation type="custom" allowBlank="1" showErrorMessage="1" errorTitle="Grupo invalido" error="El grupo solo se llena en casos/problemas, subitems, emparejamiento ampliado y opciones de emparejamiento." sqref="B9">
      <x:formula1>IF(ISNUMBER(MATCH($A9,TIPOS_REQUIEREN_GRUPO,0)),LEN(TRIM($B9))&gt;0,LEN(TRIM($B9))=0)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0">
      <x:formula1>IF(ISNUMBER(MATCH($A10,TIPOS_OPCION_D,0)),TRUE,LEN(TRIM($D10))=0)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1">
      <x:formula1>IF(ISNUMBER(MATCH($A11,TIPOS_OPCION_D,0)),TRUE,LEN(TRIM($D11))=0)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2">
      <x:formula1>IF(ISNUMBER(MATCH($A12,TIPOS_OPCION_D,0)),TRUE,LEN(TRIM($D12))=0)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3">
      <x:formula1>IF(ISNUMBER(MATCH($A13,TIPOS_OPCION_D,0)),TRUE,LEN(TRIM($D13))=0)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4">
      <x:formula1>IF(ISNUMBER(MATCH($A14,TIPOS_OPCION_D,0)),TRUE,LEN(TRIM($D14))=0)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5">
      <x:formula1>IF(ISNUMBER(MATCH($A15,TIPOS_OPCION_D,0)),TRUE,LEN(TRIM($D15))=0)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6">
      <x:formula1>IF(ISNUMBER(MATCH($A16,TIPOS_OPCION_D,0)),TRUE,LEN(TRIM($D16))=0)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7">
      <x:formula1>IF(ISNUMBER(MATCH($A17,TIPOS_OPCION_D,0)),TRUE,LEN(TRIM($D17))=0)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8">
      <x:formula1>IF(ISNUMBER(MATCH($A18,TIPOS_OPCION_D,0)),TRUE,LEN(TRIM($D18))=0)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9">
      <x:formula1>IF(ISNUMBER(MATCH($A19,TIPOS_OPCION_D,0)),TRUE,LEN(TRIM($D19))=0)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">
      <x:formula1>IF(ISNUMBER(MATCH($A2,TIPOS_OPCION_D,0)),TRUE,LEN(TRIM($D2))=0)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0">
      <x:formula1>IF(ISNUMBER(MATCH($A20,TIPOS_OPCION_D,0)),TRUE,LEN(TRIM($D20))=0)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1">
      <x:formula1>IF(ISNUMBER(MATCH($A21,TIPOS_OPCION_D,0)),TRUE,LEN(TRIM($D21))=0)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2">
      <x:formula1>IF(ISNUMBER(MATCH($A22,TIPOS_OPCION_D,0)),TRUE,LEN(TRIM($D22))=0)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3">
      <x:formula1>IF(ISNUMBER(MATCH($A23,TIPOS_OPCION_D,0)),TRUE,LEN(TRIM($D23))=0)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4">
      <x:formula1>IF(ISNUMBER(MATCH($A24,TIPOS_OPCION_D,0)),TRUE,LEN(TRIM($D24))=0)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5">
      <x:formula1>IF(ISNUMBER(MATCH($A25,TIPOS_OPCION_D,0)),TRUE,LEN(TRIM($D25))=0)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6">
      <x:formula1>IF(ISNUMBER(MATCH($A26,TIPOS_OPCION_D,0)),TRUE,LEN(TRIM($D26))=0)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7">
      <x:formula1>IF(ISNUMBER(MATCH($A27,TIPOS_OPCION_D,0)),TRUE,LEN(TRIM($D27))=0)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8">
      <x:formula1>IF(ISNUMBER(MATCH($A28,TIPOS_OPCION_D,0)),TRUE,LEN(TRIM($D28))=0)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9">
      <x:formula1>IF(ISNUMBER(MATCH($A29,TIPOS_OPCION_D,0)),TRUE,LEN(TRIM($D29))=0)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">
      <x:formula1>IF(ISNUMBER(MATCH($A3,TIPOS_OPCION_D,0)),TRUE,LEN(TRIM($D3))=0)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0">
      <x:formula1>IF(ISNUMBER(MATCH($A30,TIPOS_OPCION_D,0)),TRUE,LEN(TRIM($D30))=0)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1">
      <x:formula1>IF(ISNUMBER(MATCH($A31,TIPOS_OPCION_D,0)),TRUE,LEN(TRIM($D31))=0)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2">
      <x:formula1>IF(ISNUMBER(MATCH($A32,TIPOS_OPCION_D,0)),TRUE,LEN(TRIM($D32))=0)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3">
      <x:formula1>IF(ISNUMBER(MATCH($A33,TIPOS_OPCION_D,0)),TRUE,LEN(TRIM($D33))=0)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4">
      <x:formula1>IF(ISNUMBER(MATCH($A34,TIPOS_OPCION_D,0)),TRUE,LEN(TRIM($D34))=0)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5">
      <x:formula1>IF(ISNUMBER(MATCH($A35,TIPOS_OPCION_D,0)),TRUE,LEN(TRIM($D35))=0)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6">
      <x:formula1>IF(ISNUMBER(MATCH($A36,TIPOS_OPCION_D,0)),TRUE,LEN(TRIM($D36))=0)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7">
      <x:formula1>IF(ISNUMBER(MATCH($A37,TIPOS_OPCION_D,0)),TRUE,LEN(TRIM($D37))=0)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8">
      <x:formula1>IF(ISNUMBER(MATCH($A38,TIPOS_OPCION_D,0)),TRUE,LEN(TRIM($D38))=0)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9">
      <x:formula1>IF(ISNUMBER(MATCH($A39,TIPOS_OPCION_D,0)),TRUE,LEN(TRIM($D39))=0)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">
      <x:formula1>IF(ISNUMBER(MATCH($A4,TIPOS_OPCION_D,0)),TRUE,LEN(TRIM($D4))=0)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0">
      <x:formula1>IF(ISNUMBER(MATCH($A40,TIPOS_OPCION_D,0)),TRUE,LEN(TRIM($D40))=0)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1">
      <x:formula1>IF(ISNUMBER(MATCH($A41,TIPOS_OPCION_D,0)),TRUE,LEN(TRIM($D41))=0)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2">
      <x:formula1>IF(ISNUMBER(MATCH($A42,TIPOS_OPCION_D,0)),TRUE,LEN(TRIM($D42))=0)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3">
      <x:formula1>IF(ISNUMBER(MATCH($A43,TIPOS_OPCION_D,0)),TRUE,LEN(TRIM($D43))=0)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4">
      <x:formula1>IF(ISNUMBER(MATCH($A44,TIPOS_OPCION_D,0)),TRUE,LEN(TRIM($D44))=0)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5">
      <x:formula1>IF(ISNUMBER(MATCH($A45,TIPOS_OPCION_D,0)),TRUE,LEN(TRIM($D45))=0)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6">
      <x:formula1>IF(ISNUMBER(MATCH($A46,TIPOS_OPCION_D,0)),TRUE,LEN(TRIM($D46))=0)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7">
      <x:formula1>IF(ISNUMBER(MATCH($A47,TIPOS_OPCION_D,0)),TRUE,LEN(TRIM($D47))=0)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8">
      <x:formula1>IF(ISNUMBER(MATCH($A48,TIPOS_OPCION_D,0)),TRUE,LEN(TRIM($D48))=0)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9">
      <x:formula1>IF(ISNUMBER(MATCH($A49,TIPOS_OPCION_D,0)),TRUE,LEN(TRIM($D49))=0)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">
      <x:formula1>IF(ISNUMBER(MATCH($A5,TIPOS_OPCION_D,0)),TRUE,LEN(TRIM($D5))=0)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0">
      <x:formula1>IF(ISNUMBER(MATCH($A50,TIPOS_OPCION_D,0)),TRUE,LEN(TRIM($D50))=0)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1">
      <x:formula1>IF(ISNUMBER(MATCH($A51,TIPOS_OPCION_D,0)),TRUE,LEN(TRIM($D51))=0)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2">
      <x:formula1>IF(ISNUMBER(MATCH($A52,TIPOS_OPCION_D,0)),TRUE,LEN(TRIM($D52))=0)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3">
      <x:formula1>IF(ISNUMBER(MATCH($A53,TIPOS_OPCION_D,0)),TRUE,LEN(TRIM($D53))=0)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4">
      <x:formula1>IF(ISNUMBER(MATCH($A54,TIPOS_OPCION_D,0)),TRUE,LEN(TRIM($D54))=0)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5">
      <x:formula1>IF(ISNUMBER(MATCH($A55,TIPOS_OPCION_D,0)),TRUE,LEN(TRIM($D55))=0)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6">
      <x:formula1>IF(ISNUMBER(MATCH($A56,TIPOS_OPCION_D,0)),TRUE,LEN(TRIM($D56))=0)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7">
      <x:formula1>IF(ISNUMBER(MATCH($A57,TIPOS_OPCION_D,0)),TRUE,LEN(TRIM($D57))=0)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8">
      <x:formula1>IF(ISNUMBER(MATCH($A58,TIPOS_OPCION_D,0)),TRUE,LEN(TRIM($D58))=0)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9">
      <x:formula1>IF(ISNUMBER(MATCH($A59,TIPOS_OPCION_D,0)),TRUE,LEN(TRIM($D59))=0)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6">
      <x:formula1>IF(ISNUMBER(MATCH($A6,TIPOS_OPCION_D,0)),TRUE,LEN(TRIM($D6))=0)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60">
      <x:formula1>IF(ISNUMBER(MATCH($A60,TIPOS_OPCION_D,0)),TRUE,LEN(TRIM($D60))=0)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61">
      <x:formula1>IF(ISNUMBER(MATCH($A61,TIPOS_OPCION_D,0)),TRUE,LEN(TRIM($D61))=0)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7">
      <x:formula1>IF(ISNUMBER(MATCH($A7,TIPOS_OPCION_D,0)),TRUE,LEN(TRIM($D7))=0)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8">
      <x:formula1>IF(ISNUMBER(MATCH($A8,TIPOS_OPCION_D,0)),TRUE,LEN(TRIM($D8))=0)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9">
      <x:formula1>IF(ISNUMBER(MATCH($A9,TIPOS_OPCION_D,0)),TRUE,LEN(TRIM($D9))=0)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0">
      <x:formula1>IF(ISNUMBER(MATCH($A10,TIPOS_OPCION_E,0)),TRUE,LEN(TRIM($E10))=0)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1">
      <x:formula1>IF(ISNUMBER(MATCH($A11,TIPOS_OPCION_E,0)),TRUE,LEN(TRIM($E11))=0)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2">
      <x:formula1>IF(ISNUMBER(MATCH($A12,TIPOS_OPCION_E,0)),TRUE,LEN(TRIM($E12))=0)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3">
      <x:formula1>IF(ISNUMBER(MATCH($A13,TIPOS_OPCION_E,0)),TRUE,LEN(TRIM($E13))=0)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4">
      <x:formula1>IF(ISNUMBER(MATCH($A14,TIPOS_OPCION_E,0)),TRUE,LEN(TRIM($E14))=0)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5">
      <x:formula1>IF(ISNUMBER(MATCH($A15,TIPOS_OPCION_E,0)),TRUE,LEN(TRIM($E15))=0)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6">
      <x:formula1>IF(ISNUMBER(MATCH($A16,TIPOS_OPCION_E,0)),TRUE,LEN(TRIM($E16))=0)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7">
      <x:formula1>IF(ISNUMBER(MATCH($A17,TIPOS_OPCION_E,0)),TRUE,LEN(TRIM($E17))=0)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8">
      <x:formula1>IF(ISNUMBER(MATCH($A18,TIPOS_OPCION_E,0)),TRUE,LEN(TRIM($E18))=0)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9">
      <x:formula1>IF(ISNUMBER(MATCH($A19,TIPOS_OPCION_E,0)),TRUE,LEN(TRIM($E19))=0)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">
      <x:formula1>IF(ISNUMBER(MATCH($A2,TIPOS_OPCION_E,0)),TRUE,LEN(TRIM($E2))=0)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0">
      <x:formula1>IF(ISNUMBER(MATCH($A20,TIPOS_OPCION_E,0)),TRUE,LEN(TRIM($E20))=0)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1">
      <x:formula1>IF(ISNUMBER(MATCH($A21,TIPOS_OPCION_E,0)),TRUE,LEN(TRIM($E21))=0)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2">
      <x:formula1>IF(ISNUMBER(MATCH($A22,TIPOS_OPCION_E,0)),TRUE,LEN(TRIM($E22))=0)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3">
      <x:formula1>IF(ISNUMBER(MATCH($A23,TIPOS_OPCION_E,0)),TRUE,LEN(TRIM($E23))=0)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4">
      <x:formula1>IF(ISNUMBER(MATCH($A24,TIPOS_OPCION_E,0)),TRUE,LEN(TRIM($E24))=0)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5">
      <x:formula1>IF(ISNUMBER(MATCH($A25,TIPOS_OPCION_E,0)),TRUE,LEN(TRIM($E25))=0)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6">
      <x:formula1>IF(ISNUMBER(MATCH($A26,TIPOS_OPCION_E,0)),TRUE,LEN(TRIM($E26))=0)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7">
      <x:formula1>IF(ISNUMBER(MATCH($A27,TIPOS_OPCION_E,0)),TRUE,LEN(TRIM($E27))=0)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8">
      <x:formula1>IF(ISNUMBER(MATCH($A28,TIPOS_OPCION_E,0)),TRUE,LEN(TRIM($E28))=0)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9">
      <x:formula1>IF(ISNUMBER(MATCH($A29,TIPOS_OPCION_E,0)),TRUE,LEN(TRIM($E29))=0)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">
      <x:formula1>IF(ISNUMBER(MATCH($A3,TIPOS_OPCION_E,0)),TRUE,LEN(TRIM($E3))=0)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0">
      <x:formula1>IF(ISNUMBER(MATCH($A30,TIPOS_OPCION_E,0)),TRUE,LEN(TRIM($E30))=0)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1">
      <x:formula1>IF(ISNUMBER(MATCH($A31,TIPOS_OPCION_E,0)),TRUE,LEN(TRIM($E31))=0)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2">
      <x:formula1>IF(ISNUMBER(MATCH($A32,TIPOS_OPCION_E,0)),TRUE,LEN(TRIM($E32))=0)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3">
      <x:formula1>IF(ISNUMBER(MATCH($A33,TIPOS_OPCION_E,0)),TRUE,LEN(TRIM($E33))=0)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4">
      <x:formula1>IF(ISNUMBER(MATCH($A34,TIPOS_OPCION_E,0)),TRUE,LEN(TRIM($E34))=0)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5">
      <x:formula1>IF(ISNUMBER(MATCH($A35,TIPOS_OPCION_E,0)),TRUE,LEN(TRIM($E35))=0)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6">
      <x:formula1>IF(ISNUMBER(MATCH($A36,TIPOS_OPCION_E,0)),TRUE,LEN(TRIM($E36))=0)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7">
      <x:formula1>IF(ISNUMBER(MATCH($A37,TIPOS_OPCION_E,0)),TRUE,LEN(TRIM($E37))=0)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8">
      <x:formula1>IF(ISNUMBER(MATCH($A38,TIPOS_OPCION_E,0)),TRUE,LEN(TRIM($E38))=0)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9">
      <x:formula1>IF(ISNUMBER(MATCH($A39,TIPOS_OPCION_E,0)),TRUE,LEN(TRIM($E39))=0)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">
      <x:formula1>IF(ISNUMBER(MATCH($A4,TIPOS_OPCION_E,0)),TRUE,LEN(TRIM($E4))=0)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0">
      <x:formula1>IF(ISNUMBER(MATCH($A40,TIPOS_OPCION_E,0)),TRUE,LEN(TRIM($E40))=0)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1">
      <x:formula1>IF(ISNUMBER(MATCH($A41,TIPOS_OPCION_E,0)),TRUE,LEN(TRIM($E41))=0)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2">
      <x:formula1>IF(ISNUMBER(MATCH($A42,TIPOS_OPCION_E,0)),TRUE,LEN(TRIM($E42))=0)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3">
      <x:formula1>IF(ISNUMBER(MATCH($A43,TIPOS_OPCION_E,0)),TRUE,LEN(TRIM($E43))=0)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4">
      <x:formula1>IF(ISNUMBER(MATCH($A44,TIPOS_OPCION_E,0)),TRUE,LEN(TRIM($E44))=0)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5">
      <x:formula1>IF(ISNUMBER(MATCH($A45,TIPOS_OPCION_E,0)),TRUE,LEN(TRIM($E45))=0)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6">
      <x:formula1>IF(ISNUMBER(MATCH($A46,TIPOS_OPCION_E,0)),TRUE,LEN(TRIM($E46))=0)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7">
      <x:formula1>IF(ISNUMBER(MATCH($A47,TIPOS_OPCION_E,0)),TRUE,LEN(TRIM($E47))=0)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8">
      <x:formula1>IF(ISNUMBER(MATCH($A48,TIPOS_OPCION_E,0)),TRUE,LEN(TRIM($E48))=0)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9">
      <x:formula1>IF(ISNUMBER(MATCH($A49,TIPOS_OPCION_E,0)),TRUE,LEN(TRIM($E49))=0)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">
      <x:formula1>IF(ISNUMBER(MATCH($A5,TIPOS_OPCION_E,0)),TRUE,LEN(TRIM($E5))=0)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0">
      <x:formula1>IF(ISNUMBER(MATCH($A50,TIPOS_OPCION_E,0)),TRUE,LEN(TRIM($E50))=0)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1">
      <x:formula1>IF(ISNUMBER(MATCH($A51,TIPOS_OPCION_E,0)),TRUE,LEN(TRIM($E51))=0)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2">
      <x:formula1>IF(ISNUMBER(MATCH($A52,TIPOS_OPCION_E,0)),TRUE,LEN(TRIM($E52))=0)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3">
      <x:formula1>IF(ISNUMBER(MATCH($A53,TIPOS_OPCION_E,0)),TRUE,LEN(TRIM($E53))=0)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4">
      <x:formula1>IF(ISNUMBER(MATCH($A54,TIPOS_OPCION_E,0)),TRUE,LEN(TRIM($E54))=0)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5">
      <x:formula1>IF(ISNUMBER(MATCH($A55,TIPOS_OPCION_E,0)),TRUE,LEN(TRIM($E55))=0)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6">
      <x:formula1>IF(ISNUMBER(MATCH($A56,TIPOS_OPCION_E,0)),TRUE,LEN(TRIM($E56))=0)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7">
      <x:formula1>IF(ISNUMBER(MATCH($A57,TIPOS_OPCION_E,0)),TRUE,LEN(TRIM($E57))=0)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8">
      <x:formula1>IF(ISNUMBER(MATCH($A58,TIPOS_OPCION_E,0)),TRUE,LEN(TRIM($E58))=0)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9">
      <x:formula1>IF(ISNUMBER(MATCH($A59,TIPOS_OPCION_E,0)),TRUE,LEN(TRIM($E59))=0)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6">
      <x:formula1>IF(ISNUMBER(MATCH($A6,TIPOS_OPCION_E,0)),TRUE,LEN(TRIM($E6))=0)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60">
      <x:formula1>IF(ISNUMBER(MATCH($A60,TIPOS_OPCION_E,0)),TRUE,LEN(TRIM($E60))=0)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61">
      <x:formula1>IF(ISNUMBER(MATCH($A61,TIPOS_OPCION_E,0)),TRUE,LEN(TRIM($E61))=0)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7">
      <x:formula1>IF(ISNUMBER(MATCH($A7,TIPOS_OPCION_E,0)),TRUE,LEN(TRIM($E7))=0)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8">
      <x:formula1>IF(ISNUMBER(MATCH($A8,TIPOS_OPCION_E,0)),TRUE,LEN(TRIM($E8))=0)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9">
      <x:formula1>IF(ISNUMBER(MATCH($A9,TIPOS_OPCION_E,0)),TRUE,LEN(TRIM($E9))=0)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0">
      <x:formula1>IF(ISNUMBER(MATCH($A10,TIPOS_OPCION_F,0)),TRUE,LEN(TRIM($F10))=0)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1">
      <x:formula1>IF(ISNUMBER(MATCH($A11,TIPOS_OPCION_F,0)),TRUE,LEN(TRIM($F11))=0)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2">
      <x:formula1>IF(ISNUMBER(MATCH($A12,TIPOS_OPCION_F,0)),TRUE,LEN(TRIM($F12))=0)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3">
      <x:formula1>IF(ISNUMBER(MATCH($A13,TIPOS_OPCION_F,0)),TRUE,LEN(TRIM($F13))=0)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4">
      <x:formula1>IF(ISNUMBER(MATCH($A14,TIPOS_OPCION_F,0)),TRUE,LEN(TRIM($F14))=0)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5">
      <x:formula1>IF(ISNUMBER(MATCH($A15,TIPOS_OPCION_F,0)),TRUE,LEN(TRIM($F15))=0)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6">
      <x:formula1>IF(ISNUMBER(MATCH($A16,TIPOS_OPCION_F,0)),TRUE,LEN(TRIM($F16))=0)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7">
      <x:formula1>IF(ISNUMBER(MATCH($A17,TIPOS_OPCION_F,0)),TRUE,LEN(TRIM($F17))=0)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8">
      <x:formula1>IF(ISNUMBER(MATCH($A18,TIPOS_OPCION_F,0)),TRUE,LEN(TRIM($F18))=0)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9">
      <x:formula1>IF(ISNUMBER(MATCH($A19,TIPOS_OPCION_F,0)),TRUE,LEN(TRIM($F19))=0)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">
      <x:formula1>IF(ISNUMBER(MATCH($A2,TIPOS_OPCION_F,0)),TRUE,LEN(TRIM($F2))=0)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0">
      <x:formula1>IF(ISNUMBER(MATCH($A20,TIPOS_OPCION_F,0)),TRUE,LEN(TRIM($F20))=0)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1">
      <x:formula1>IF(ISNUMBER(MATCH($A21,TIPOS_OPCION_F,0)),TRUE,LEN(TRIM($F21))=0)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2">
      <x:formula1>IF(ISNUMBER(MATCH($A22,TIPOS_OPCION_F,0)),TRUE,LEN(TRIM($F22))=0)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3">
      <x:formula1>IF(ISNUMBER(MATCH($A23,TIPOS_OPCION_F,0)),TRUE,LEN(TRIM($F23))=0)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4">
      <x:formula1>IF(ISNUMBER(MATCH($A24,TIPOS_OPCION_F,0)),TRUE,LEN(TRIM($F24))=0)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5">
      <x:formula1>IF(ISNUMBER(MATCH($A25,TIPOS_OPCION_F,0)),TRUE,LEN(TRIM($F25))=0)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6">
      <x:formula1>IF(ISNUMBER(MATCH($A26,TIPOS_OPCION_F,0)),TRUE,LEN(TRIM($F26))=0)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7">
      <x:formula1>IF(ISNUMBER(MATCH($A27,TIPOS_OPCION_F,0)),TRUE,LEN(TRIM($F27))=0)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8">
      <x:formula1>IF(ISNUMBER(MATCH($A28,TIPOS_OPCION_F,0)),TRUE,LEN(TRIM($F28))=0)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9">
      <x:formula1>IF(ISNUMBER(MATCH($A29,TIPOS_OPCION_F,0)),TRUE,LEN(TRIM($F29))=0)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">
      <x:formula1>IF(ISNUMBER(MATCH($A3,TIPOS_OPCION_F,0)),TRUE,LEN(TRIM($F3))=0)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0">
      <x:formula1>IF(ISNUMBER(MATCH($A30,TIPOS_OPCION_F,0)),TRUE,LEN(TRIM($F30))=0)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1">
      <x:formula1>IF(ISNUMBER(MATCH($A31,TIPOS_OPCION_F,0)),TRUE,LEN(TRIM($F31))=0)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2">
      <x:formula1>IF(ISNUMBER(MATCH($A32,TIPOS_OPCION_F,0)),TRUE,LEN(TRIM($F32))=0)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3">
      <x:formula1>IF(ISNUMBER(MATCH($A33,TIPOS_OPCION_F,0)),TRUE,LEN(TRIM($F33))=0)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4">
      <x:formula1>IF(ISNUMBER(MATCH($A34,TIPOS_OPCION_F,0)),TRUE,LEN(TRIM($F34))=0)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5">
      <x:formula1>IF(ISNUMBER(MATCH($A35,TIPOS_OPCION_F,0)),TRUE,LEN(TRIM($F35))=0)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6">
      <x:formula1>IF(ISNUMBER(MATCH($A36,TIPOS_OPCION_F,0)),TRUE,LEN(TRIM($F36))=0)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7">
      <x:formula1>IF(ISNUMBER(MATCH($A37,TIPOS_OPCION_F,0)),TRUE,LEN(TRIM($F37))=0)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8">
      <x:formula1>IF(ISNUMBER(MATCH($A38,TIPOS_OPCION_F,0)),TRUE,LEN(TRIM($F38))=0)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9">
      <x:formula1>IF(ISNUMBER(MATCH($A39,TIPOS_OPCION_F,0)),TRUE,LEN(TRIM($F39))=0)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">
      <x:formula1>IF(ISNUMBER(MATCH($A4,TIPOS_OPCION_F,0)),TRUE,LEN(TRIM($F4))=0)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0">
      <x:formula1>IF(ISNUMBER(MATCH($A40,TIPOS_OPCION_F,0)),TRUE,LEN(TRIM($F40))=0)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1">
      <x:formula1>IF(ISNUMBER(MATCH($A41,TIPOS_OPCION_F,0)),TRUE,LEN(TRIM($F41))=0)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2">
      <x:formula1>IF(ISNUMBER(MATCH($A42,TIPOS_OPCION_F,0)),TRUE,LEN(TRIM($F42))=0)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3">
      <x:formula1>IF(ISNUMBER(MATCH($A43,TIPOS_OPCION_F,0)),TRUE,LEN(TRIM($F43))=0)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4">
      <x:formula1>IF(ISNUMBER(MATCH($A44,TIPOS_OPCION_F,0)),TRUE,LEN(TRIM($F44))=0)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5">
      <x:formula1>IF(ISNUMBER(MATCH($A45,TIPOS_OPCION_F,0)),TRUE,LEN(TRIM($F45))=0)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6">
      <x:formula1>IF(ISNUMBER(MATCH($A46,TIPOS_OPCION_F,0)),TRUE,LEN(TRIM($F46))=0)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7">
      <x:formula1>IF(ISNUMBER(MATCH($A47,TIPOS_OPCION_F,0)),TRUE,LEN(TRIM($F47))=0)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8">
      <x:formula1>IF(ISNUMBER(MATCH($A48,TIPOS_OPCION_F,0)),TRUE,LEN(TRIM($F48))=0)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9">
      <x:formula1>IF(ISNUMBER(MATCH($A49,TIPOS_OPCION_F,0)),TRUE,LEN(TRIM($F49))=0)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">
      <x:formula1>IF(ISNUMBER(MATCH($A5,TIPOS_OPCION_F,0)),TRUE,LEN(TRIM($F5))=0)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0">
      <x:formula1>IF(ISNUMBER(MATCH($A50,TIPOS_OPCION_F,0)),TRUE,LEN(TRIM($F50))=0)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1">
      <x:formula1>IF(ISNUMBER(MATCH($A51,TIPOS_OPCION_F,0)),TRUE,LEN(TRIM($F51))=0)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2">
      <x:formula1>IF(ISNUMBER(MATCH($A52,TIPOS_OPCION_F,0)),TRUE,LEN(TRIM($F52))=0)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3">
      <x:formula1>IF(ISNUMBER(MATCH($A53,TIPOS_OPCION_F,0)),TRUE,LEN(TRIM($F53))=0)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4">
      <x:formula1>IF(ISNUMBER(MATCH($A54,TIPOS_OPCION_F,0)),TRUE,LEN(TRIM($F54))=0)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5">
      <x:formula1>IF(ISNUMBER(MATCH($A55,TIPOS_OPCION_F,0)),TRUE,LEN(TRIM($F55))=0)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6">
      <x:formula1>IF(ISNUMBER(MATCH($A56,TIPOS_OPCION_F,0)),TRUE,LEN(TRIM($F56))=0)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7">
      <x:formula1>IF(ISNUMBER(MATCH($A57,TIPOS_OPCION_F,0)),TRUE,LEN(TRIM($F57))=0)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8">
      <x:formula1>IF(ISNUMBER(MATCH($A58,TIPOS_OPCION_F,0)),TRUE,LEN(TRIM($F58))=0)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9">
      <x:formula1>IF(ISNUMBER(MATCH($A59,TIPOS_OPCION_F,0)),TRUE,LEN(TRIM($F59))=0)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6">
      <x:formula1>IF(ISNUMBER(MATCH($A6,TIPOS_OPCION_F,0)),TRUE,LEN(TRIM($F6))=0)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60">
      <x:formula1>IF(ISNUMBER(MATCH($A60,TIPOS_OPCION_F,0)),TRUE,LEN(TRIM($F60))=0)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61">
      <x:formula1>IF(ISNUMBER(MATCH($A61,TIPOS_OPCION_F,0)),TRUE,LEN(TRIM($F61))=0)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7">
      <x:formula1>IF(ISNUMBER(MATCH($A7,TIPOS_OPCION_F,0)),TRUE,LEN(TRIM($F7))=0)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8">
      <x:formula1>IF(ISNUMBER(MATCH($A8,TIPOS_OPCION_F,0)),TRUE,LEN(TRIM($F8))=0)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9">
      <x:formula1>IF(ISNUMBER(MATCH($A9,TIPOS_OPCION_F,0)),TRUE,LEN(TRIM($F9))=0)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0">
      <x:formula1>IF(ISNUMBER(MATCH($A10,TIPOS_OPCION_G,0)),TRUE,LEN(TRIM($G10))=0)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1">
      <x:formula1>IF(ISNUMBER(MATCH($A11,TIPOS_OPCION_G,0)),TRUE,LEN(TRIM($G11))=0)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2">
      <x:formula1>IF(ISNUMBER(MATCH($A12,TIPOS_OPCION_G,0)),TRUE,LEN(TRIM($G12))=0)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3">
      <x:formula1>IF(ISNUMBER(MATCH($A13,TIPOS_OPCION_G,0)),TRUE,LEN(TRIM($G13))=0)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4">
      <x:formula1>IF(ISNUMBER(MATCH($A14,TIPOS_OPCION_G,0)),TRUE,LEN(TRIM($G14))=0)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5">
      <x:formula1>IF(ISNUMBER(MATCH($A15,TIPOS_OPCION_G,0)),TRUE,LEN(TRIM($G15))=0)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6">
      <x:formula1>IF(ISNUMBER(MATCH($A16,TIPOS_OPCION_G,0)),TRUE,LEN(TRIM($G16))=0)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7">
      <x:formula1>IF(ISNUMBER(MATCH($A17,TIPOS_OPCION_G,0)),TRUE,LEN(TRIM($G17))=0)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8">
      <x:formula1>IF(ISNUMBER(MATCH($A18,TIPOS_OPCION_G,0)),TRUE,LEN(TRIM($G18))=0)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9">
      <x:formula1>IF(ISNUMBER(MATCH($A19,TIPOS_OPCION_G,0)),TRUE,LEN(TRIM($G19))=0)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">
      <x:formula1>IF(ISNUMBER(MATCH($A2,TIPOS_OPCION_G,0)),TRUE,LEN(TRIM($G2))=0)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0">
      <x:formula1>IF(ISNUMBER(MATCH($A20,TIPOS_OPCION_G,0)),TRUE,LEN(TRIM($G20))=0)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1">
      <x:formula1>IF(ISNUMBER(MATCH($A21,TIPOS_OPCION_G,0)),TRUE,LEN(TRIM($G21))=0)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2">
      <x:formula1>IF(ISNUMBER(MATCH($A22,TIPOS_OPCION_G,0)),TRUE,LEN(TRIM($G22))=0)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3">
      <x:formula1>IF(ISNUMBER(MATCH($A23,TIPOS_OPCION_G,0)),TRUE,LEN(TRIM($G23))=0)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4">
      <x:formula1>IF(ISNUMBER(MATCH($A24,TIPOS_OPCION_G,0)),TRUE,LEN(TRIM($G24))=0)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5">
      <x:formula1>IF(ISNUMBER(MATCH($A25,TIPOS_OPCION_G,0)),TRUE,LEN(TRIM($G25))=0)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6">
      <x:formula1>IF(ISNUMBER(MATCH($A26,TIPOS_OPCION_G,0)),TRUE,LEN(TRIM($G26))=0)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7">
      <x:formula1>IF(ISNUMBER(MATCH($A27,TIPOS_OPCION_G,0)),TRUE,LEN(TRIM($G27))=0)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8">
      <x:formula1>IF(ISNUMBER(MATCH($A28,TIPOS_OPCION_G,0)),TRUE,LEN(TRIM($G28))=0)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9">
      <x:formula1>IF(ISNUMBER(MATCH($A29,TIPOS_OPCION_G,0)),TRUE,LEN(TRIM($G29))=0)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">
      <x:formula1>IF(ISNUMBER(MATCH($A3,TIPOS_OPCION_G,0)),TRUE,LEN(TRIM($G3))=0)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0">
      <x:formula1>IF(ISNUMBER(MATCH($A30,TIPOS_OPCION_G,0)),TRUE,LEN(TRIM($G30))=0)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1">
      <x:formula1>IF(ISNUMBER(MATCH($A31,TIPOS_OPCION_G,0)),TRUE,LEN(TRIM($G31))=0)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2">
      <x:formula1>IF(ISNUMBER(MATCH($A32,TIPOS_OPCION_G,0)),TRUE,LEN(TRIM($G32))=0)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3">
      <x:formula1>IF(ISNUMBER(MATCH($A33,TIPOS_OPCION_G,0)),TRUE,LEN(TRIM($G33))=0)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4">
      <x:formula1>IF(ISNUMBER(MATCH($A34,TIPOS_OPCION_G,0)),TRUE,LEN(TRIM($G34))=0)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5">
      <x:formula1>IF(ISNUMBER(MATCH($A35,TIPOS_OPCION_G,0)),TRUE,LEN(TRIM($G35))=0)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6">
      <x:formula1>IF(ISNUMBER(MATCH($A36,TIPOS_OPCION_G,0)),TRUE,LEN(TRIM($G36))=0)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7">
      <x:formula1>IF(ISNUMBER(MATCH($A37,TIPOS_OPCION_G,0)),TRUE,LEN(TRIM($G37))=0)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8">
      <x:formula1>IF(ISNUMBER(MATCH($A38,TIPOS_OPCION_G,0)),TRUE,LEN(TRIM($G38))=0)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9">
      <x:formula1>IF(ISNUMBER(MATCH($A39,TIPOS_OPCION_G,0)),TRUE,LEN(TRIM($G39))=0)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">
      <x:formula1>IF(ISNUMBER(MATCH($A4,TIPOS_OPCION_G,0)),TRUE,LEN(TRIM($G4))=0)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0">
      <x:formula1>IF(ISNUMBER(MATCH($A40,TIPOS_OPCION_G,0)),TRUE,LEN(TRIM($G40))=0)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1">
      <x:formula1>IF(ISNUMBER(MATCH($A41,TIPOS_OPCION_G,0)),TRUE,LEN(TRIM($G41))=0)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2">
      <x:formula1>IF(ISNUMBER(MATCH($A42,TIPOS_OPCION_G,0)),TRUE,LEN(TRIM($G42))=0)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3">
      <x:formula1>IF(ISNUMBER(MATCH($A43,TIPOS_OPCION_G,0)),TRUE,LEN(TRIM($G43))=0)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4">
      <x:formula1>IF(ISNUMBER(MATCH($A44,TIPOS_OPCION_G,0)),TRUE,LEN(TRIM($G44))=0)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5">
      <x:formula1>IF(ISNUMBER(MATCH($A45,TIPOS_OPCION_G,0)),TRUE,LEN(TRIM($G45))=0)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6">
      <x:formula1>IF(ISNUMBER(MATCH($A46,TIPOS_OPCION_G,0)),TRUE,LEN(TRIM($G46))=0)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7">
      <x:formula1>IF(ISNUMBER(MATCH($A47,TIPOS_OPCION_G,0)),TRUE,LEN(TRIM($G47))=0)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8">
      <x:formula1>IF(ISNUMBER(MATCH($A48,TIPOS_OPCION_G,0)),TRUE,LEN(TRIM($G48))=0)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9">
      <x:formula1>IF(ISNUMBER(MATCH($A49,TIPOS_OPCION_G,0)),TRUE,LEN(TRIM($G49))=0)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">
      <x:formula1>IF(ISNUMBER(MATCH($A5,TIPOS_OPCION_G,0)),TRUE,LEN(TRIM($G5))=0)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0">
      <x:formula1>IF(ISNUMBER(MATCH($A50,TIPOS_OPCION_G,0)),TRUE,LEN(TRIM($G50))=0)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1">
      <x:formula1>IF(ISNUMBER(MATCH($A51,TIPOS_OPCION_G,0)),TRUE,LEN(TRIM($G51))=0)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2">
      <x:formula1>IF(ISNUMBER(MATCH($A52,TIPOS_OPCION_G,0)),TRUE,LEN(TRIM($G52))=0)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3">
      <x:formula1>IF(ISNUMBER(MATCH($A53,TIPOS_OPCION_G,0)),TRUE,LEN(TRIM($G53))=0)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4">
      <x:formula1>IF(ISNUMBER(MATCH($A54,TIPOS_OPCION_G,0)),TRUE,LEN(TRIM($G54))=0)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5">
      <x:formula1>IF(ISNUMBER(MATCH($A55,TIPOS_OPCION_G,0)),TRUE,LEN(TRIM($G55))=0)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6">
      <x:formula1>IF(ISNUMBER(MATCH($A56,TIPOS_OPCION_G,0)),TRUE,LEN(TRIM($G56))=0)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7">
      <x:formula1>IF(ISNUMBER(MATCH($A57,TIPOS_OPCION_G,0)),TRUE,LEN(TRIM($G57))=0)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8">
      <x:formula1>IF(ISNUMBER(MATCH($A58,TIPOS_OPCION_G,0)),TRUE,LEN(TRIM($G58))=0)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9">
      <x:formula1>IF(ISNUMBER(MATCH($A59,TIPOS_OPCION_G,0)),TRUE,LEN(TRIM($G59))=0)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6">
      <x:formula1>IF(ISNUMBER(MATCH($A6,TIPOS_OPCION_G,0)),TRUE,LEN(TRIM($G6))=0)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60">
      <x:formula1>IF(ISNUMBER(MATCH($A60,TIPOS_OPCION_G,0)),TRUE,LEN(TRIM($G60))=0)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61">
      <x:formula1>IF(ISNUMBER(MATCH($A61,TIPOS_OPCION_G,0)),TRUE,LEN(TRIM($G61))=0)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7">
      <x:formula1>IF(ISNUMBER(MATCH($A7,TIPOS_OPCION_G,0)),TRUE,LEN(TRIM($G7))=0)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8">
      <x:formula1>IF(ISNUMBER(MATCH($A8,TIPOS_OPCION_G,0)),TRUE,LEN(TRIM($G8))=0)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9">
      <x:formula1>IF(ISNUMBER(MATCH($A9,TIPOS_OPCION_G,0)),TRUE,LEN(TRIM($G9))=0)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0">
      <x:formula1>IF(ISNUMBER(MATCH($A10,TIPOS_OPCION_H,0)),TRUE,LEN(TRIM($H10))=0)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1">
      <x:formula1>IF(ISNUMBER(MATCH($A11,TIPOS_OPCION_H,0)),TRUE,LEN(TRIM($H11))=0)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2">
      <x:formula1>IF(ISNUMBER(MATCH($A12,TIPOS_OPCION_H,0)),TRUE,LEN(TRIM($H12))=0)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3">
      <x:formula1>IF(ISNUMBER(MATCH($A13,TIPOS_OPCION_H,0)),TRUE,LEN(TRIM($H13))=0)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4">
      <x:formula1>IF(ISNUMBER(MATCH($A14,TIPOS_OPCION_H,0)),TRUE,LEN(TRIM($H14))=0)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5">
      <x:formula1>IF(ISNUMBER(MATCH($A15,TIPOS_OPCION_H,0)),TRUE,LEN(TRIM($H15))=0)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6">
      <x:formula1>IF(ISNUMBER(MATCH($A16,TIPOS_OPCION_H,0)),TRUE,LEN(TRIM($H16))=0)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7">
      <x:formula1>IF(ISNUMBER(MATCH($A17,TIPOS_OPCION_H,0)),TRUE,LEN(TRIM($H17))=0)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8">
      <x:formula1>IF(ISNUMBER(MATCH($A18,TIPOS_OPCION_H,0)),TRUE,LEN(TRIM($H18))=0)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9">
      <x:formula1>IF(ISNUMBER(MATCH($A19,TIPOS_OPCION_H,0)),TRUE,LEN(TRIM($H19))=0)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">
      <x:formula1>IF(ISNUMBER(MATCH($A2,TIPOS_OPCION_H,0)),TRUE,LEN(TRIM($H2))=0)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0">
      <x:formula1>IF(ISNUMBER(MATCH($A20,TIPOS_OPCION_H,0)),TRUE,LEN(TRIM($H20))=0)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1">
      <x:formula1>IF(ISNUMBER(MATCH($A21,TIPOS_OPCION_H,0)),TRUE,LEN(TRIM($H21))=0)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2">
      <x:formula1>IF(ISNUMBER(MATCH($A22,TIPOS_OPCION_H,0)),TRUE,LEN(TRIM($H22))=0)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3">
      <x:formula1>IF(ISNUMBER(MATCH($A23,TIPOS_OPCION_H,0)),TRUE,LEN(TRIM($H23))=0)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4">
      <x:formula1>IF(ISNUMBER(MATCH($A24,TIPOS_OPCION_H,0)),TRUE,LEN(TRIM($H24))=0)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5">
      <x:formula1>IF(ISNUMBER(MATCH($A25,TIPOS_OPCION_H,0)),TRUE,LEN(TRIM($H25))=0)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6">
      <x:formula1>IF(ISNUMBER(MATCH($A26,TIPOS_OPCION_H,0)),TRUE,LEN(TRIM($H26))=0)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7">
      <x:formula1>IF(ISNUMBER(MATCH($A27,TIPOS_OPCION_H,0)),TRUE,LEN(TRIM($H27))=0)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8">
      <x:formula1>IF(ISNUMBER(MATCH($A28,TIPOS_OPCION_H,0)),TRUE,LEN(TRIM($H28))=0)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9">
      <x:formula1>IF(ISNUMBER(MATCH($A29,TIPOS_OPCION_H,0)),TRUE,LEN(TRIM($H29))=0)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">
      <x:formula1>IF(ISNUMBER(MATCH($A3,TIPOS_OPCION_H,0)),TRUE,LEN(TRIM($H3))=0)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0">
      <x:formula1>IF(ISNUMBER(MATCH($A30,TIPOS_OPCION_H,0)),TRUE,LEN(TRIM($H30))=0)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1">
      <x:formula1>IF(ISNUMBER(MATCH($A31,TIPOS_OPCION_H,0)),TRUE,LEN(TRIM($H31))=0)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2">
      <x:formula1>IF(ISNUMBER(MATCH($A32,TIPOS_OPCION_H,0)),TRUE,LEN(TRIM($H32))=0)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3">
      <x:formula1>IF(ISNUMBER(MATCH($A33,TIPOS_OPCION_H,0)),TRUE,LEN(TRIM($H33))=0)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4">
      <x:formula1>IF(ISNUMBER(MATCH($A34,TIPOS_OPCION_H,0)),TRUE,LEN(TRIM($H34))=0)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5">
      <x:formula1>IF(ISNUMBER(MATCH($A35,TIPOS_OPCION_H,0)),TRUE,LEN(TRIM($H35))=0)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6">
      <x:formula1>IF(ISNUMBER(MATCH($A36,TIPOS_OPCION_H,0)),TRUE,LEN(TRIM($H36))=0)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7">
      <x:formula1>IF(ISNUMBER(MATCH($A37,TIPOS_OPCION_H,0)),TRUE,LEN(TRIM($H37))=0)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8">
      <x:formula1>IF(ISNUMBER(MATCH($A38,TIPOS_OPCION_H,0)),TRUE,LEN(TRIM($H38))=0)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9">
      <x:formula1>IF(ISNUMBER(MATCH($A39,TIPOS_OPCION_H,0)),TRUE,LEN(TRIM($H39))=0)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">
      <x:formula1>IF(ISNUMBER(MATCH($A4,TIPOS_OPCION_H,0)),TRUE,LEN(TRIM($H4))=0)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0">
      <x:formula1>IF(ISNUMBER(MATCH($A40,TIPOS_OPCION_H,0)),TRUE,LEN(TRIM($H40))=0)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1">
      <x:formula1>IF(ISNUMBER(MATCH($A41,TIPOS_OPCION_H,0)),TRUE,LEN(TRIM($H41))=0)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2">
      <x:formula1>IF(ISNUMBER(MATCH($A42,TIPOS_OPCION_H,0)),TRUE,LEN(TRIM($H42))=0)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3">
      <x:formula1>IF(ISNUMBER(MATCH($A43,TIPOS_OPCION_H,0)),TRUE,LEN(TRIM($H43))=0)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4">
      <x:formula1>IF(ISNUMBER(MATCH($A44,TIPOS_OPCION_H,0)),TRUE,LEN(TRIM($H44))=0)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5">
      <x:formula1>IF(ISNUMBER(MATCH($A45,TIPOS_OPCION_H,0)),TRUE,LEN(TRIM($H45))=0)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6">
      <x:formula1>IF(ISNUMBER(MATCH($A46,TIPOS_OPCION_H,0)),TRUE,LEN(TRIM($H46))=0)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7">
      <x:formula1>IF(ISNUMBER(MATCH($A47,TIPOS_OPCION_H,0)),TRUE,LEN(TRIM($H47))=0)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8">
      <x:formula1>IF(ISNUMBER(MATCH($A48,TIPOS_OPCION_H,0)),TRUE,LEN(TRIM($H48))=0)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9">
      <x:formula1>IF(ISNUMBER(MATCH($A49,TIPOS_OPCION_H,0)),TRUE,LEN(TRIM($H49))=0)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">
      <x:formula1>IF(ISNUMBER(MATCH($A5,TIPOS_OPCION_H,0)),TRUE,LEN(TRIM($H5))=0)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0">
      <x:formula1>IF(ISNUMBER(MATCH($A50,TIPOS_OPCION_H,0)),TRUE,LEN(TRIM($H50))=0)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1">
      <x:formula1>IF(ISNUMBER(MATCH($A51,TIPOS_OPCION_H,0)),TRUE,LEN(TRIM($H51))=0)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2">
      <x:formula1>IF(ISNUMBER(MATCH($A52,TIPOS_OPCION_H,0)),TRUE,LEN(TRIM($H52))=0)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3">
      <x:formula1>IF(ISNUMBER(MATCH($A53,TIPOS_OPCION_H,0)),TRUE,LEN(TRIM($H53))=0)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4">
      <x:formula1>IF(ISNUMBER(MATCH($A54,TIPOS_OPCION_H,0)),TRUE,LEN(TRIM($H54))=0)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5">
      <x:formula1>IF(ISNUMBER(MATCH($A55,TIPOS_OPCION_H,0)),TRUE,LEN(TRIM($H55))=0)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6">
      <x:formula1>IF(ISNUMBER(MATCH($A56,TIPOS_OPCION_H,0)),TRUE,LEN(TRIM($H56))=0)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7">
      <x:formula1>IF(ISNUMBER(MATCH($A57,TIPOS_OPCION_H,0)),TRUE,LEN(TRIM($H57))=0)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8">
      <x:formula1>IF(ISNUMBER(MATCH($A58,TIPOS_OPCION_H,0)),TRUE,LEN(TRIM($H58))=0)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9">
      <x:formula1>IF(ISNUMBER(MATCH($A59,TIPOS_OPCION_H,0)),TRUE,LEN(TRIM($H59))=0)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6">
      <x:formula1>IF(ISNUMBER(MATCH($A6,TIPOS_OPCION_H,0)),TRUE,LEN(TRIM($H6))=0)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60">
      <x:formula1>IF(ISNUMBER(MATCH($A60,TIPOS_OPCION_H,0)),TRUE,LEN(TRIM($H60))=0)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61">
      <x:formula1>IF(ISNUMBER(MATCH($A61,TIPOS_OPCION_H,0)),TRUE,LEN(TRIM($H61))=0)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7">
      <x:formula1>IF(ISNUMBER(MATCH($A7,TIPOS_OPCION_H,0)),TRUE,LEN(TRIM($H7))=0)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8">
      <x:formula1>IF(ISNUMBER(MATCH($A8,TIPOS_OPCION_H,0)),TRUE,LEN(TRIM($H8))=0)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9">
      <x:formula1>IF(ISNUMBER(MATCH($A9,TIPOS_OPCION_H,0)),TRUE,LEN(TRIM($H9))=0)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">
      <x:formula1>INDIRECT(IFERROR(VLOOKUP($A10,MAPA_RESPUESTA_TIPO,2,FALSE),"RESP_VACIA"))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">
      <x:formula1>INDIRECT(IFERROR(VLOOKUP($A11,MAPA_RESPUESTA_TIPO,2,FALSE),"RESP_VACIA"))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">
      <x:formula1>INDIRECT(IFERROR(VLOOKUP($A12,MAPA_RESPUESTA_TIPO,2,FALSE),"RESP_VACIA"))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3">
      <x:formula1>INDIRECT(IFERROR(VLOOKUP($A13,MAPA_RESPUESTA_TIPO,2,FALSE),"RESP_VACIA"))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4">
      <x:formula1>INDIRECT(IFERROR(VLOOKUP($A14,MAPA_RESPUESTA_TIPO,2,FALSE),"RESP_VACIA"))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5">
      <x:formula1>INDIRECT(IFERROR(VLOOKUP($A15,MAPA_RESPUESTA_TIPO,2,FALSE),"RESP_VACIA"))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6">
      <x:formula1>INDIRECT(IFERROR(VLOOKUP($A16,MAPA_RESPUESTA_TIPO,2,FALSE),"RESP_VACIA"))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7">
      <x:formula1>INDIRECT(IFERROR(VLOOKUP($A17,MAPA_RESPUESTA_TIPO,2,FALSE),"RESP_VACIA"))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8">
      <x:formula1>INDIRECT(IFERROR(VLOOKUP($A18,MAPA_RESPUESTA_TIPO,2,FALSE),"RESP_VACIA"))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9">
      <x:formula1>INDIRECT(IFERROR(VLOOKUP($A19,MAPA_RESPUESTA_TIPO,2,FALSE),"RESP_VACIA"))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">
      <x:formula1>INDIRECT(IFERROR(VLOOKUP($A2,MAPA_RESPUESTA_TIPO,2,FALSE),"RESP_VACIA"))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0">
      <x:formula1>INDIRECT(IFERROR(VLOOKUP($A20,MAPA_RESPUESTA_TIPO,2,FALSE),"RESP_VACIA"))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1">
      <x:formula1>INDIRECT(IFERROR(VLOOKUP($A21,MAPA_RESPUESTA_TIPO,2,FALSE),"RESP_VACIA"))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2">
      <x:formula1>INDIRECT(IFERROR(VLOOKUP($A22,MAPA_RESPUESTA_TIPO,2,FALSE),"RESP_VACIA"))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3">
      <x:formula1>INDIRECT(IFERROR(VLOOKUP($A23,MAPA_RESPUESTA_TIPO,2,FALSE),"RESP_VACIA"))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4">
      <x:formula1>INDIRECT(IFERROR(VLOOKUP($A24,MAPA_RESPUESTA_TIPO,2,FALSE),"RESP_VACIA"))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5">
      <x:formula1>INDIRECT(IFERROR(VLOOKUP($A25,MAPA_RESPUESTA_TIPO,2,FALSE),"RESP_VACIA"))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6">
      <x:formula1>INDIRECT(IFERROR(VLOOKUP($A26,MAPA_RESPUESTA_TIPO,2,FALSE),"RESP_VACIA"))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7">
      <x:formula1>INDIRECT(IFERROR(VLOOKUP($A27,MAPA_RESPUESTA_TIPO,2,FALSE),"RESP_VACIA"))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8">
      <x:formula1>INDIRECT(IFERROR(VLOOKUP($A28,MAPA_RESPUESTA_TIPO,2,FALSE),"RESP_VACIA"))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9">
      <x:formula1>INDIRECT(IFERROR(VLOOKUP($A29,MAPA_RESPUESTA_TIPO,2,FALSE),"RESP_VACIA"))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">
      <x:formula1>INDIRECT(IFERROR(VLOOKUP($A3,MAPA_RESPUESTA_TIPO,2,FALSE),"RESP_VACIA"))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0">
      <x:formula1>INDIRECT(IFERROR(VLOOKUP($A30,MAPA_RESPUESTA_TIPO,2,FALSE),"RESP_VACIA"))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1">
      <x:formula1>INDIRECT(IFERROR(VLOOKUP($A31,MAPA_RESPUESTA_TIPO,2,FALSE),"RESP_VACIA"))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2">
      <x:formula1>INDIRECT(IFERROR(VLOOKUP($A32,MAPA_RESPUESTA_TIPO,2,FALSE),"RESP_VACIA"))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3">
      <x:formula1>INDIRECT(IFERROR(VLOOKUP($A33,MAPA_RESPUESTA_TIPO,2,FALSE),"RESP_VACIA"))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4">
      <x:formula1>INDIRECT(IFERROR(VLOOKUP($A34,MAPA_RESPUESTA_TIPO,2,FALSE),"RESP_VACIA"))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5">
      <x:formula1>INDIRECT(IFERROR(VLOOKUP($A35,MAPA_RESPUESTA_TIPO,2,FALSE),"RESP_VACIA"))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6">
      <x:formula1>INDIRECT(IFERROR(VLOOKUP($A36,MAPA_RESPUESTA_TIPO,2,FALSE),"RESP_VACIA"))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7">
      <x:formula1>INDIRECT(IFERROR(VLOOKUP($A37,MAPA_RESPUESTA_TIPO,2,FALSE),"RESP_VACIA"))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8">
      <x:formula1>INDIRECT(IFERROR(VLOOKUP($A38,MAPA_RESPUESTA_TIPO,2,FALSE),"RESP_VACIA"))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9">
      <x:formula1>INDIRECT(IFERROR(VLOOKUP($A39,MAPA_RESPUESTA_TIPO,2,FALSE),"RESP_VACIA"))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">
      <x:formula1>INDIRECT(IFERROR(VLOOKUP($A4,MAPA_RESPUESTA_TIPO,2,FALSE),"RESP_VACIA"))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0">
      <x:formula1>INDIRECT(IFERROR(VLOOKUP($A40,MAPA_RESPUESTA_TIPO,2,FALSE),"RESP_VACIA"))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1">
      <x:formula1>INDIRECT(IFERROR(VLOOKUP($A41,MAPA_RESPUESTA_TIPO,2,FALSE),"RESP_VACIA"))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2">
      <x:formula1>INDIRECT(IFERROR(VLOOKUP($A42,MAPA_RESPUESTA_TIPO,2,FALSE),"RESP_VACIA"))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3">
      <x:formula1>INDIRECT(IFERROR(VLOOKUP($A43,MAPA_RESPUESTA_TIPO,2,FALSE),"RESP_VACIA"))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4">
      <x:formula1>INDIRECT(IFERROR(VLOOKUP($A44,MAPA_RESPUESTA_TIPO,2,FALSE),"RESP_VACIA"))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5">
      <x:formula1>INDIRECT(IFERROR(VLOOKUP($A45,MAPA_RESPUESTA_TIPO,2,FALSE),"RESP_VACIA"))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6">
      <x:formula1>INDIRECT(IFERROR(VLOOKUP($A46,MAPA_RESPUESTA_TIPO,2,FALSE),"RESP_VACIA"))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7">
      <x:formula1>INDIRECT(IFERROR(VLOOKUP($A47,MAPA_RESPUESTA_TIPO,2,FALSE),"RESP_VACIA"))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8">
      <x:formula1>INDIRECT(IFERROR(VLOOKUP($A48,MAPA_RESPUESTA_TIPO,2,FALSE),"RESP_VACIA"))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9">
      <x:formula1>INDIRECT(IFERROR(VLOOKUP($A49,MAPA_RESPUESTA_TIPO,2,FALSE),"RESP_VACIA"))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">
      <x:formula1>INDIRECT(IFERROR(VLOOKUP($A5,MAPA_RESPUESTA_TIPO,2,FALSE),"RESP_VACIA"))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0">
      <x:formula1>INDIRECT(IFERROR(VLOOKUP($A50,MAPA_RESPUESTA_TIPO,2,FALSE),"RESP_VACIA"))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1">
      <x:formula1>INDIRECT(IFERROR(VLOOKUP($A51,MAPA_RESPUESTA_TIPO,2,FALSE),"RESP_VACIA"))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2">
      <x:formula1>INDIRECT(IFERROR(VLOOKUP($A52,MAPA_RESPUESTA_TIPO,2,FALSE),"RESP_VACIA"))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3">
      <x:formula1>INDIRECT(IFERROR(VLOOKUP($A53,MAPA_RESPUESTA_TIPO,2,FALSE),"RESP_VACIA"))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4">
      <x:formula1>INDIRECT(IFERROR(VLOOKUP($A54,MAPA_RESPUESTA_TIPO,2,FALSE),"RESP_VACIA"))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5">
      <x:formula1>INDIRECT(IFERROR(VLOOKUP($A55,MAPA_RESPUESTA_TIPO,2,FALSE),"RESP_VACIA"))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6">
      <x:formula1>INDIRECT(IFERROR(VLOOKUP($A56,MAPA_RESPUESTA_TIPO,2,FALSE),"RESP_VACIA"))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7">
      <x:formula1>INDIRECT(IFERROR(VLOOKUP($A57,MAPA_RESPUESTA_TIPO,2,FALSE),"RESP_VACIA"))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8">
      <x:formula1>INDIRECT(IFERROR(VLOOKUP($A58,MAPA_RESPUESTA_TIPO,2,FALSE),"RESP_VACIA"))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9">
      <x:formula1>INDIRECT(IFERROR(VLOOKUP($A59,MAPA_RESPUESTA_TIPO,2,FALSE),"RESP_VACIA"))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">
      <x:formula1>INDIRECT(IFERROR(VLOOKUP($A6,MAPA_RESPUESTA_TIPO,2,FALSE),"RESP_VACIA"))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0">
      <x:formula1>INDIRECT(IFERROR(VLOOKUP($A60,MAPA_RESPUESTA_TIPO,2,FALSE),"RESP_VACIA"))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1">
      <x:formula1>INDIRECT(IFERROR(VLOOKUP($A61,MAPA_RESPUESTA_TIPO,2,FALSE),"RESP_VACIA"))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">
      <x:formula1>INDIRECT(IFERROR(VLOOKUP($A7,MAPA_RESPUESTA_TIPO,2,FALSE),"RESP_VACIA"))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">
      <x:formula1>INDIRECT(IFERROR(VLOOKUP($A8,MAPA_RESPUESTA_TIPO,2,FALSE),"RESP_VACIA"))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">
      <x:formula1>INDIRECT(IFERROR(VLOOKUP($A9,MAPA_RESPUESTA_TIPO,2,FALSE),"RESP_VACIA"))</x:formula1>
    </x:dataValidation>
    <x:dataValidation type="list" allowBlank="1" showErrorMessage="1" errorTitle="Dificultad invalida" error="Use 1, 2 o 3. Casos/problemas y Emparejamiento Ampliado no llevan dificultad." sqref="J10">
      <x:formula1>INDIRECT(IF(ISNUMBER(MATCH($A10,TIPOS_SIN_DIFICULTAD,0)),"RESP_VACIA","DIFICULTADES_123"))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">
      <x:formula1>INDIRECT(IF(ISNUMBER(MATCH($A11,TIPOS_SIN_DIFICULTAD,0)),"RESP_VACIA","DIFICULTADES_123"))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">
      <x:formula1>INDIRECT(IF(ISNUMBER(MATCH($A12,TIPOS_SIN_DIFICULTAD,0)),"RESP_VACIA","DIFICULTADES_123"))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3">
      <x:formula1>INDIRECT(IF(ISNUMBER(MATCH($A13,TIPOS_SIN_DIFICULTAD,0)),"RESP_VACIA","DIFICULTADES_123"))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4">
      <x:formula1>INDIRECT(IF(ISNUMBER(MATCH($A14,TIPOS_SIN_DIFICULTAD,0)),"RESP_VACIA","DIFICULTADES_123"))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5">
      <x:formula1>INDIRECT(IF(ISNUMBER(MATCH($A15,TIPOS_SIN_DIFICULTAD,0)),"RESP_VACIA","DIFICULTADES_123"))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6">
      <x:formula1>INDIRECT(IF(ISNUMBER(MATCH($A16,TIPOS_SIN_DIFICULTAD,0)),"RESP_VACIA","DIFICULTADES_123"))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7">
      <x:formula1>INDIRECT(IF(ISNUMBER(MATCH($A17,TIPOS_SIN_DIFICULTAD,0)),"RESP_VACIA","DIFICULTADES_123"))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8">
      <x:formula1>INDIRECT(IF(ISNUMBER(MATCH($A18,TIPOS_SIN_DIFICULTAD,0)),"RESP_VACIA","DIFICULTADES_123"))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9">
      <x:formula1>INDIRECT(IF(ISNUMBER(MATCH($A19,TIPOS_SIN_DIFICULTAD,0)),"RESP_VACIA","DIFICULTADES_123"))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">
      <x:formula1>INDIRECT(IF(ISNUMBER(MATCH($A2,TIPOS_SIN_DIFICULTAD,0)),"RESP_VACIA","DIFICULTADES_123"))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0">
      <x:formula1>INDIRECT(IF(ISNUMBER(MATCH($A20,TIPOS_SIN_DIFICULTAD,0)),"RESP_VACIA","DIFICULTADES_123"))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1">
      <x:formula1>INDIRECT(IF(ISNUMBER(MATCH($A21,TIPOS_SIN_DIFICULTAD,0)),"RESP_VACIA","DIFICULTADES_123"))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2">
      <x:formula1>INDIRECT(IF(ISNUMBER(MATCH($A22,TIPOS_SIN_DIFICULTAD,0)),"RESP_VACIA","DIFICULTADES_123"))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3">
      <x:formula1>INDIRECT(IF(ISNUMBER(MATCH($A23,TIPOS_SIN_DIFICULTAD,0)),"RESP_VACIA","DIFICULTADES_123"))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4">
      <x:formula1>INDIRECT(IF(ISNUMBER(MATCH($A24,TIPOS_SIN_DIFICULTAD,0)),"RESP_VACIA","DIFICULTADES_123"))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5">
      <x:formula1>INDIRECT(IF(ISNUMBER(MATCH($A25,TIPOS_SIN_DIFICULTAD,0)),"RESP_VACIA","DIFICULTADES_123"))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6">
      <x:formula1>INDIRECT(IF(ISNUMBER(MATCH($A26,TIPOS_SIN_DIFICULTAD,0)),"RESP_VACIA","DIFICULTADES_123"))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7">
      <x:formula1>INDIRECT(IF(ISNUMBER(MATCH($A27,TIPOS_SIN_DIFICULTAD,0)),"RESP_VACIA","DIFICULTADES_123"))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8">
      <x:formula1>INDIRECT(IF(ISNUMBER(MATCH($A28,TIPOS_SIN_DIFICULTAD,0)),"RESP_VACIA","DIFICULTADES_123"))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9">
      <x:formula1>INDIRECT(IF(ISNUMBER(MATCH($A29,TIPOS_SIN_DIFICULTAD,0)),"RESP_VACIA","DIFICULTADES_123"))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">
      <x:formula1>INDIRECT(IF(ISNUMBER(MATCH($A3,TIPOS_SIN_DIFICULTAD,0)),"RESP_VACIA","DIFICULTADES_123"))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0">
      <x:formula1>INDIRECT(IF(ISNUMBER(MATCH($A30,TIPOS_SIN_DIFICULTAD,0)),"RESP_VACIA","DIFICULTADES_123"))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1">
      <x:formula1>INDIRECT(IF(ISNUMBER(MATCH($A31,TIPOS_SIN_DIFICULTAD,0)),"RESP_VACIA","DIFICULTADES_123"))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2">
      <x:formula1>INDIRECT(IF(ISNUMBER(MATCH($A32,TIPOS_SIN_DIFICULTAD,0)),"RESP_VACIA","DIFICULTADES_123"))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3">
      <x:formula1>INDIRECT(IF(ISNUMBER(MATCH($A33,TIPOS_SIN_DIFICULTAD,0)),"RESP_VACIA","DIFICULTADES_123"))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4">
      <x:formula1>INDIRECT(IF(ISNUMBER(MATCH($A34,TIPOS_SIN_DIFICULTAD,0)),"RESP_VACIA","DIFICULTADES_123"))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5">
      <x:formula1>INDIRECT(IF(ISNUMBER(MATCH($A35,TIPOS_SIN_DIFICULTAD,0)),"RESP_VACIA","DIFICULTADES_123"))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6">
      <x:formula1>INDIRECT(IF(ISNUMBER(MATCH($A36,TIPOS_SIN_DIFICULTAD,0)),"RESP_VACIA","DIFICULTADES_123"))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7">
      <x:formula1>INDIRECT(IF(ISNUMBER(MATCH($A37,TIPOS_SIN_DIFICULTAD,0)),"RESP_VACIA","DIFICULTADES_123"))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8">
      <x:formula1>INDIRECT(IF(ISNUMBER(MATCH($A38,TIPOS_SIN_DIFICULTAD,0)),"RESP_VACIA","DIFICULTADES_123"))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9">
      <x:formula1>INDIRECT(IF(ISNUMBER(MATCH($A39,TIPOS_SIN_DIFICULTAD,0)),"RESP_VACIA","DIFICULTADES_123"))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">
      <x:formula1>INDIRECT(IF(ISNUMBER(MATCH($A4,TIPOS_SIN_DIFICULTAD,0)),"RESP_VACIA","DIFICULTADES_123"))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0">
      <x:formula1>INDIRECT(IF(ISNUMBER(MATCH($A40,TIPOS_SIN_DIFICULTAD,0)),"RESP_VACIA","DIFICULTADES_123"))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1">
      <x:formula1>INDIRECT(IF(ISNUMBER(MATCH($A41,TIPOS_SIN_DIFICULTAD,0)),"RESP_VACIA","DIFICULTADES_123"))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2">
      <x:formula1>INDIRECT(IF(ISNUMBER(MATCH($A42,TIPOS_SIN_DIFICULTAD,0)),"RESP_VACIA","DIFICULTADES_123"))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3">
      <x:formula1>INDIRECT(IF(ISNUMBER(MATCH($A43,TIPOS_SIN_DIFICULTAD,0)),"RESP_VACIA","DIFICULTADES_123"))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4">
      <x:formula1>INDIRECT(IF(ISNUMBER(MATCH($A44,TIPOS_SIN_DIFICULTAD,0)),"RESP_VACIA","DIFICULTADES_123"))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5">
      <x:formula1>INDIRECT(IF(ISNUMBER(MATCH($A45,TIPOS_SIN_DIFICULTAD,0)),"RESP_VACIA","DIFICULTADES_123"))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6">
      <x:formula1>INDIRECT(IF(ISNUMBER(MATCH($A46,TIPOS_SIN_DIFICULTAD,0)),"RESP_VACIA","DIFICULTADES_123"))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7">
      <x:formula1>INDIRECT(IF(ISNUMBER(MATCH($A47,TIPOS_SIN_DIFICULTAD,0)),"RESP_VACIA","DIFICULTADES_123"))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8">
      <x:formula1>INDIRECT(IF(ISNUMBER(MATCH($A48,TIPOS_SIN_DIFICULTAD,0)),"RESP_VACIA","DIFICULTADES_123"))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9">
      <x:formula1>INDIRECT(IF(ISNUMBER(MATCH($A49,TIPOS_SIN_DIFICULTAD,0)),"RESP_VACIA","DIFICULTADES_123"))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">
      <x:formula1>INDIRECT(IF(ISNUMBER(MATCH($A5,TIPOS_SIN_DIFICULTAD,0)),"RESP_VACIA","DIFICULTADES_123"))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0">
      <x:formula1>INDIRECT(IF(ISNUMBER(MATCH($A50,TIPOS_SIN_DIFICULTAD,0)),"RESP_VACIA","DIFICULTADES_123"))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1">
      <x:formula1>INDIRECT(IF(ISNUMBER(MATCH($A51,TIPOS_SIN_DIFICULTAD,0)),"RESP_VACIA","DIFICULTADES_123"))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2">
      <x:formula1>INDIRECT(IF(ISNUMBER(MATCH($A52,TIPOS_SIN_DIFICULTAD,0)),"RESP_VACIA","DIFICULTADES_123"))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3">
      <x:formula1>INDIRECT(IF(ISNUMBER(MATCH($A53,TIPOS_SIN_DIFICULTAD,0)),"RESP_VACIA","DIFICULTADES_123"))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4">
      <x:formula1>INDIRECT(IF(ISNUMBER(MATCH($A54,TIPOS_SIN_DIFICULTAD,0)),"RESP_VACIA","DIFICULTADES_123"))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5">
      <x:formula1>INDIRECT(IF(ISNUMBER(MATCH($A55,TIPOS_SIN_DIFICULTAD,0)),"RESP_VACIA","DIFICULTADES_123"))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6">
      <x:formula1>INDIRECT(IF(ISNUMBER(MATCH($A56,TIPOS_SIN_DIFICULTAD,0)),"RESP_VACIA","DIFICULTADES_123"))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7">
      <x:formula1>INDIRECT(IF(ISNUMBER(MATCH($A57,TIPOS_SIN_DIFICULTAD,0)),"RESP_VACIA","DIFICULTADES_123"))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8">
      <x:formula1>INDIRECT(IF(ISNUMBER(MATCH($A58,TIPOS_SIN_DIFICULTAD,0)),"RESP_VACIA","DIFICULTADES_123"))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9">
      <x:formula1>INDIRECT(IF(ISNUMBER(MATCH($A59,TIPOS_SIN_DIFICULTAD,0)),"RESP_VACIA","DIFICULTADES_123"))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">
      <x:formula1>INDIRECT(IF(ISNUMBER(MATCH($A6,TIPOS_SIN_DIFICULTAD,0)),"RESP_VACIA","DIFICULTADES_123"))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0">
      <x:formula1>INDIRECT(IF(ISNUMBER(MATCH($A60,TIPOS_SIN_DIFICULTAD,0)),"RESP_VACIA","DIFICULTADES_123"))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1">
      <x:formula1>INDIRECT(IF(ISNUMBER(MATCH($A61,TIPOS_SIN_DIFICULTAD,0)),"RESP_VACIA","DIFICULTADES_123"))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">
      <x:formula1>INDIRECT(IF(ISNUMBER(MATCH($A7,TIPOS_SIN_DIFICULTAD,0)),"RESP_VACIA","DIFICULTADES_123"))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">
      <x:formula1>INDIRECT(IF(ISNUMBER(MATCH($A8,TIPOS_SIN_DIFICULTAD,0)),"RESP_VACIA","DIFICULTADES_123"))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">
      <x:formula1>INDIRECT(IF(ISNUMBER(MATCH($A9,TIPOS_SIN_DIFICULTAD,0)),"RESP_VACIA","DIFICULTADES_123"))</x:formula1>
    </x:dataValidation>
    <x:dataValidation type="list" allowBlank="1" showInputMessage="1" showErrorMessage="1" promptTitle="Tipo de pregunta" prompt="Seleccione un tipo. Las columnas de incisos se completan automÃ¡ticamente segÃºn la tipologÃ­a." errorTitle="Tipo no vÃ¡lido" error="Seleccione un tipo desde la lista del formato oficial." sqref="A2:A61">
      <x:formula1>LISTA_TIPOS_2P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60" style="6" customWidth="1"/>
    <x:col min="4" max="8" width="25" style="6" customWidth="1"/>
    <x:col min="9" max="9" width="20" customWidth="1"/>
    <x:col min="10" max="11" width="12" customWidth="1"/>
    <x:col min="12" max="12" width="46" style="6" customWidth="1"/>
    <x:col min="13" max="36" width="3" hidden="1" customWidth="1"/>
  </x:cols>
  <x:sheetData>
    <x:row r="1">
      <x:c r="A1" s="18" t="s">
        <x:v>32</x:v>
      </x:c>
      <x:c r="B1" s="18" t="s">
        <x:v>33</x:v>
      </x:c>
      <x:c r="C1" s="18" t="s">
        <x:v>34</x:v>
      </x:c>
      <x:c r="D1" s="18" t="s">
        <x:v>35</x:v>
      </x:c>
      <x:c r="E1" s="18" t="s">
        <x:v>36</x:v>
      </x:c>
      <x:c r="F1" s="18" t="s">
        <x:v>37</x:v>
      </x:c>
      <x:c r="G1" s="18" t="s">
        <x:v>38</x:v>
      </x:c>
      <x:c r="H1" s="18" t="s">
        <x:v>39</x:v>
      </x:c>
      <x:c r="I1" s="18" t="s">
        <x:v>40</x:v>
      </x:c>
      <x:c r="J1" s="18" t="s">
        <x:v>41</x:v>
      </x:c>
      <x:c r="K1" s="18" t="s">
        <x:v>42</x:v>
      </x:c>
      <x:c r="L1" s="18" t="s">
        <x:v>47</x:v>
      </x:c>
    </x:row>
    <x:row r="2">
      <x:c r="A2" s="17" t="s">
        <x:v>2</x:v>
      </x:c>
      <x:c r="B2"/>
      <x:c r="C2" s="6" t="s">
        <x:v>48</x:v>
      </x:c>
      <x:c r="D2" t="s">
        <x:v>49</x:v>
      </x:c>
      <x:c r="E2" t="s">
        <x:v>50</x:v>
      </x:c>
      <x:c r="F2"/>
      <x:c r="G2"/>
      <x:c r="H2"/>
      <x:c r="I2" t="s">
        <x:v>51</x:v>
      </x:c>
      <x:c r="J2" t="s">
        <x:v>52</x:v>
      </x:c>
      <x:c r="K2" t="str">
        <x:v>1P</x:v>
      </x:c>
      <x:c r="L2" t="s">
        <x:v>53</x:v>
      </x:c>
    </x:row>
    <x:row r="3">
      <x:c r="A3" s="17" t="s">
        <x:v>2</x:v>
      </x:c>
      <x:c r="B3"/>
      <x:c r="C3" s="6" t="s">
        <x:v>54</x:v>
      </x:c>
      <x:c r="D3" t="s">
        <x:v>49</x:v>
      </x:c>
      <x:c r="E3" t="s">
        <x:v>50</x:v>
      </x:c>
      <x:c r="F3"/>
      <x:c r="G3"/>
      <x:c r="H3"/>
      <x:c r="I3" t="s">
        <x:v>55</x:v>
      </x:c>
      <x:c r="J3" t="s">
        <x:v>52</x:v>
      </x:c>
      <x:c r="K3" t="str">
        <x:v>1P</x:v>
      </x:c>
      <x:c r="L3" t="s">
        <x:v>53</x:v>
      </x:c>
    </x:row>
    <x:row r="4">
      <x:c r="A4" s="17" t="s">
        <x:v>3</x:v>
      </x:c>
      <x:c r="B4"/>
      <x:c r="C4" s="6" t="s">
        <x:v>56</x:v>
      </x:c>
      <x:c r="D4" t="s">
        <x:v>57</x:v>
      </x:c>
      <x:c r="E4" t="s">
        <x:v>58</x:v>
      </x:c>
      <x:c r="F4" t="s">
        <x:v>59</x:v>
      </x:c>
      <x:c r="G4" t="s">
        <x:v>60</x:v>
      </x:c>
      <x:c r="H4"/>
      <x:c r="I4" t="s">
        <x:v>61</x:v>
      </x:c>
      <x:c r="J4" t="s">
        <x:v>62</x:v>
      </x:c>
      <x:c r="K4" t="str">
        <x:v>1P</x:v>
      </x:c>
      <x:c r="L4" t="s">
        <x:v>53</x:v>
      </x:c>
    </x:row>
    <x:row r="5">
      <x:c r="A5" s="17" t="s">
        <x:v>3</x:v>
      </x:c>
      <x:c r="B5"/>
      <x:c r="C5" s="6" t="s">
        <x:v>63</x:v>
      </x:c>
      <x:c r="D5" t="s">
        <x:v>64</x:v>
      </x:c>
      <x:c r="E5" t="s">
        <x:v>65</x:v>
      </x:c>
      <x:c r="F5" t="s">
        <x:v>66</x:v>
      </x:c>
      <x:c r="G5" t="s">
        <x:v>67</x:v>
      </x:c>
      <x:c r="H5"/>
      <x:c r="I5" t="s">
        <x:v>68</x:v>
      </x:c>
      <x:c r="J5" t="s">
        <x:v>62</x:v>
      </x:c>
      <x:c r="K5" t="str">
        <x:v>1P</x:v>
      </x:c>
      <x:c r="L5" t="s">
        <x:v>53</x:v>
      </x:c>
    </x:row>
    <x:row r="6">
      <x:c r="A6" s="17" t="s">
        <x:v>4</x:v>
      </x:c>
      <x:c r="B6"/>
      <x:c r="C6" s="6" t="s">
        <x:v>69</x:v>
      </x:c>
      <x:c r="D6" t="s">
        <x:v>70</x:v>
      </x:c>
      <x:c r="E6" t="s">
        <x:v>71</x:v>
      </x:c>
      <x:c r="F6" t="s">
        <x:v>72</x:v>
      </x:c>
      <x:c r="G6" t="s">
        <x:v>73</x:v>
      </x:c>
      <x:c r="H6" t="s">
        <x:v>74</x:v>
      </x:c>
      <x:c r="I6" t="s">
        <x:v>55</x:v>
      </x:c>
      <x:c r="J6" t="s">
        <x:v>62</x:v>
      </x:c>
      <x:c r="K6" t="str">
        <x:v>1P</x:v>
      </x:c>
      <x:c r="L6" t="s">
        <x:v>53</x:v>
      </x:c>
    </x:row>
    <x:row r="7">
      <x:c r="A7" s="17" t="s">
        <x:v>4</x:v>
      </x:c>
      <x:c r="B7"/>
      <x:c r="C7" s="6" t="s">
        <x:v>75</x:v>
      </x:c>
      <x:c r="D7" t="s">
        <x:v>76</x:v>
      </x:c>
      <x:c r="E7" t="s">
        <x:v>77</x:v>
      </x:c>
      <x:c r="F7" t="s">
        <x:v>78</x:v>
      </x:c>
      <x:c r="G7" t="s">
        <x:v>79</x:v>
      </x:c>
      <x:c r="H7" t="s">
        <x:v>80</x:v>
      </x:c>
      <x:c r="I7" t="s">
        <x:v>81</x:v>
      </x:c>
      <x:c r="J7" t="s">
        <x:v>62</x:v>
      </x:c>
      <x:c r="K7" t="str">
        <x:v>1P</x:v>
      </x:c>
      <x:c r="L7" t="s">
        <x:v>53</x:v>
      </x:c>
    </x:row>
    <x:row r="8" ht="36" customHeight="1">
      <x:c r="A8" s="17" t="s">
        <x:v>5</x:v>
      </x:c>
      <x:c r="B8"/>
      <x:c r="C8" s="6" t="s">
        <x:v>82</x:v>
      </x:c>
      <x:c r="D8" t="s">
        <x:v>83</x:v>
      </x:c>
      <x:c r="E8" t="s">
        <x:v>84</x:v>
      </x:c>
      <x:c r="F8" t="s">
        <x:v>85</x:v>
      </x:c>
      <x:c r="G8" t="s">
        <x:v>86</x:v>
      </x:c>
      <x:c r="H8"/>
      <x:c r="I8" t="s">
        <x:v>81</x:v>
      </x:c>
      <x:c r="J8" t="s">
        <x:v>87</x:v>
      </x:c>
      <x:c r="K8" t="str">
        <x:v>1P</x:v>
      </x:c>
      <x:c r="L8" t="s">
        <x:v>53</x:v>
      </x:c>
    </x:row>
    <x:row r="9" ht="36" customHeight="1">
      <x:c r="A9" s="17" t="s">
        <x:v>5</x:v>
      </x:c>
      <x:c r="B9"/>
      <x:c r="C9" s="6" t="s">
        <x:v>88</x:v>
      </x:c>
      <x:c r="D9" t="s">
        <x:v>83</x:v>
      </x:c>
      <x:c r="E9" t="s">
        <x:v>84</x:v>
      </x:c>
      <x:c r="F9" t="s">
        <x:v>85</x:v>
      </x:c>
      <x:c r="G9" t="s">
        <x:v>86</x:v>
      </x:c>
      <x:c r="H9"/>
      <x:c r="I9" t="s">
        <x:v>51</x:v>
      </x:c>
      <x:c r="J9" t="s">
        <x:v>87</x:v>
      </x:c>
      <x:c r="K9" t="str">
        <x:v>1P</x:v>
      </x:c>
      <x:c r="L9" t="s">
        <x:v>53</x:v>
      </x:c>
    </x:row>
    <x:row r="10">
      <x:c r="A10" s="17" t="s">
        <x:v>6</x:v>
      </x:c>
      <x:c r="B10" t="s">
        <x:v>89</x:v>
      </x:c>
      <x:c r="C10" s="6" t="s">
        <x:v>90</x:v>
      </x:c>
      <x:c r="D10"/>
      <x:c r="E10"/>
      <x:c r="F10"/>
      <x:c r="G10"/>
      <x:c r="H10"/>
      <x:c r="I10"/>
      <x:c r="J10"/>
      <x:c r="K10" t="str">
        <x:v>1P</x:v>
      </x:c>
      <x:c r="L10" t="str">
        <x:v>OK - tronco sin dificultad</x:v>
      </x:c>
    </x:row>
    <x:row r="11">
      <x:c r="A11" s="17" t="s">
        <x:v>7</x:v>
      </x:c>
      <x:c r="B11" t="s">
        <x:v>89</x:v>
      </x:c>
      <x:c r="C11" s="6" t="s">
        <x:v>91</x:v>
      </x:c>
      <x:c r="D11" t="s">
        <x:v>92</x:v>
      </x:c>
      <x:c r="E11" t="s">
        <x:v>93</x:v>
      </x:c>
      <x:c r="F11" t="s">
        <x:v>94</x:v>
      </x:c>
      <x:c r="G11" t="s">
        <x:v>95</x:v>
      </x:c>
      <x:c r="H11" t="s">
        <x:v>96</x:v>
      </x:c>
      <x:c r="I11" t="s">
        <x:v>51</x:v>
      </x:c>
      <x:c r="J11" t="s">
        <x:v>62</x:v>
      </x:c>
      <x:c r="K11" t="str">
        <x:v>1P</x:v>
      </x:c>
      <x:c r="L11" t="s">
        <x:v>53</x:v>
      </x:c>
    </x:row>
    <x:row r="12">
      <x:c r="A12" s="17" t="s">
        <x:v>7</x:v>
      </x:c>
      <x:c r="B12" t="s">
        <x:v>89</x:v>
      </x:c>
      <x:c r="C12" s="6" t="s">
        <x:v>97</x:v>
      </x:c>
      <x:c r="D12" t="s">
        <x:v>98</x:v>
      </x:c>
      <x:c r="E12" t="s">
        <x:v>99</x:v>
      </x:c>
      <x:c r="F12" t="s">
        <x:v>100</x:v>
      </x:c>
      <x:c r="G12" t="s">
        <x:v>101</x:v>
      </x:c>
      <x:c r="H12" t="s">
        <x:v>102</x:v>
      </x:c>
      <x:c r="I12" t="s">
        <x:v>81</x:v>
      </x:c>
      <x:c r="J12" t="s">
        <x:v>62</x:v>
      </x:c>
      <x:c r="K12" t="str">
        <x:v>1P</x:v>
      </x:c>
      <x:c r="L12" t="s">
        <x:v>53</x:v>
      </x:c>
    </x:row>
    <x:row r="13">
      <x:c r="A13" s="17" t="s">
        <x:v>8</x:v>
      </x:c>
      <x:c r="B13" t="s">
        <x:v>103</x:v>
      </x:c>
      <x:c r="C13" s="6" t="s">
        <x:v>104</x:v>
      </x:c>
      <x:c r="D13" t="s">
        <x:v>105</x:v>
      </x:c>
      <x:c r="E13" t="s">
        <x:v>106</x:v>
      </x:c>
      <x:c r="F13"/>
      <x:c r="G13"/>
      <x:c r="H13"/>
      <x:c r="I13"/>
      <x:c r="J13"/>
      <x:c r="K13" t="str">
        <x:v>1P</x:v>
      </x:c>
      <x:c r="L13" t="s">
        <x:v>53</x:v>
      </x:c>
    </x:row>
    <x:row r="14">
      <x:c r="A14" s="17" t="s">
        <x:v>9</x:v>
      </x:c>
      <x:c r="B14" t="s">
        <x:v>103</x:v>
      </x:c>
      <x:c r="C14" s="6" t="s">
        <x:v>107</x:v>
      </x:c>
      <x:c r="D14"/>
      <x:c r="E14"/>
      <x:c r="F14"/>
      <x:c r="G14"/>
      <x:c r="H14"/>
      <x:c r="I14" t="s">
        <x:v>51</x:v>
      </x:c>
      <x:c r="J14" t="s">
        <x:v>52</x:v>
      </x:c>
      <x:c r="K14" t="str">
        <x:v>1P</x:v>
      </x:c>
      <x:c r="L14" t="s">
        <x:v>53</x:v>
      </x:c>
    </x:row>
    <x:row r="15">
      <x:c r="A15" s="17" t="s">
        <x:v>9</x:v>
      </x:c>
      <x:c r="B15" t="s">
        <x:v>103</x:v>
      </x:c>
      <x:c r="C15" s="6" t="s">
        <x:v>108</x:v>
      </x:c>
      <x:c r="D15"/>
      <x:c r="E15"/>
      <x:c r="F15"/>
      <x:c r="G15"/>
      <x:c r="H15"/>
      <x:c r="I15" t="s">
        <x:v>55</x:v>
      </x:c>
      <x:c r="J15" t="s">
        <x:v>52</x:v>
      </x:c>
      <x:c r="K15" t="str">
        <x:v>1P</x:v>
      </x:c>
      <x:c r="L15" t="s">
        <x:v>53</x:v>
      </x:c>
    </x:row>
    <x:row r="16">
      <x:c r="A16" s="17" t="s">
        <x:v>8</x:v>
      </x:c>
      <x:c r="B16" t="s">
        <x:v>109</x:v>
      </x:c>
      <x:c r="C16" s="6" t="s">
        <x:v>104</x:v>
      </x:c>
      <x:c r="D16" t="s">
        <x:v>110</x:v>
      </x:c>
      <x:c r="E16" t="s">
        <x:v>111</x:v>
      </x:c>
      <x:c r="F16" t="s">
        <x:v>112</x:v>
      </x:c>
      <x:c r="G16"/>
      <x:c r="H16"/>
      <x:c r="I16"/>
      <x:c r="J16"/>
      <x:c r="K16" t="str">
        <x:v>1P</x:v>
      </x:c>
      <x:c r="L16" t="s">
        <x:v>53</x:v>
      </x:c>
    </x:row>
    <x:row r="17">
      <x:c r="A17" s="17" t="s">
        <x:v>9</x:v>
      </x:c>
      <x:c r="B17" t="s">
        <x:v>109</x:v>
      </x:c>
      <x:c r="C17" s="6" t="s">
        <x:v>113</x:v>
      </x:c>
      <x:c r="D17"/>
      <x:c r="E17"/>
      <x:c r="F17"/>
      <x:c r="G17"/>
      <x:c r="H17"/>
      <x:c r="I17" t="s">
        <x:v>55</x:v>
      </x:c>
      <x:c r="J17" t="s">
        <x:v>62</x:v>
      </x:c>
      <x:c r="K17" t="str">
        <x:v>1P</x:v>
      </x:c>
      <x:c r="L17" t="s">
        <x:v>53</x:v>
      </x:c>
    </x:row>
    <x:row r="18">
      <x:c r="A18" s="17" t="s">
        <x:v>9</x:v>
      </x:c>
      <x:c r="B18" t="s">
        <x:v>109</x:v>
      </x:c>
      <x:c r="C18" s="6" t="s">
        <x:v>114</x:v>
      </x:c>
      <x:c r="D18"/>
      <x:c r="E18"/>
      <x:c r="F18"/>
      <x:c r="G18"/>
      <x:c r="H18"/>
      <x:c r="I18" t="s">
        <x:v>81</x:v>
      </x:c>
      <x:c r="J18" t="s">
        <x:v>62</x:v>
      </x:c>
      <x:c r="K18" t="str">
        <x:v>1P</x:v>
      </x:c>
      <x:c r="L18" t="s">
        <x:v>53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2</x:v>
      </x:c>
      <x:c r="B1" t="s">
        <x:v>51</x:v>
      </x:c>
      <x:c r="C1" t="s">
        <x:v>51</x:v>
      </x:c>
      <x:c r="D1" t="s">
        <x:v>51</x:v>
      </x:c>
      <x:c r="E1" t="s">
        <x:v>62</x:v>
      </x:c>
      <x:c r="F1" t="s">
        <x:v>52</x:v>
      </x:c>
      <x:c r="G1" t="str">
        <x:v>1P</x:v>
      </x:c>
      <x:c r="H1" t="s">
        <x:v>61</x:v>
      </x:c>
      <x:c r="I1" t="s">
        <x:v>104</x:v>
      </x:c>
      <x:c r="J1" t="s">
        <x:v>2</x:v>
      </x:c>
      <x:c r="K1" t="s">
        <x:v>115</x:v>
      </x:c>
      <x:c r="L1" t="s">
        <x:v>6</x:v>
      </x:c>
      <x:c r="M1" t="s">
        <x:v>6</x:v>
      </x:c>
      <x:c r="N1" t="s">
        <x:v>2</x:v>
      </x:c>
      <x:c r="O1" t="s">
        <x:v>2</x:v>
      </x:c>
      <x:c r="P1" t="s">
        <x:v>5</x:v>
      </x:c>
      <x:c r="Q1" t="s">
        <x:v>5</x:v>
      </x:c>
      <x:c r="R1" t="s">
        <x:v>4</x:v>
      </x:c>
    </x:row>
    <x:row r="2">
      <x:c r="A2" t="s">
        <x:v>5</x:v>
      </x:c>
      <x:c r="B2" t="s">
        <x:v>55</x:v>
      </x:c>
      <x:c r="C2" t="s">
        <x:v>55</x:v>
      </x:c>
      <x:c r="D2" t="s">
        <x:v>55</x:v>
      </x:c>
      <x:c r="F2" t="s">
        <x:v>62</x:v>
      </x:c>
      <x:c r="H2" t="s">
        <x:v>116</x:v>
      </x:c>
      <x:c r="J2" t="s">
        <x:v>5</x:v>
      </x:c>
      <x:c r="K2" t="s">
        <x:v>117</x:v>
      </x:c>
      <x:c r="L2" t="s">
        <x:v>7</x:v>
      </x:c>
      <x:c r="M2" t="s">
        <x:v>8</x:v>
      </x:c>
      <x:c r="N2" t="s">
        <x:v>5</x:v>
      </x:c>
      <x:c r="O2" t="s">
        <x:v>5</x:v>
      </x:c>
      <x:c r="P2" t="s">
        <x:v>3</x:v>
      </x:c>
      <x:c r="Q2" t="s">
        <x:v>3</x:v>
      </x:c>
      <x:c r="R2" t="s">
        <x:v>7</x:v>
      </x:c>
    </x:row>
    <x:row r="3">
      <x:c r="A3" t="s">
        <x:v>3</x:v>
      </x:c>
      <x:c r="C3" t="s">
        <x:v>81</x:v>
      </x:c>
      <x:c r="D3" t="s">
        <x:v>81</x:v>
      </x:c>
      <x:c r="F3" t="s">
        <x:v>87</x:v>
      </x:c>
      <x:c r="H3" t="s">
        <x:v>68</x:v>
      </x:c>
      <x:c r="J3" t="s">
        <x:v>3</x:v>
      </x:c>
      <x:c r="K3" t="s">
        <x:v>118</x:v>
      </x:c>
      <x:c r="L3" t="s">
        <x:v>8</x:v>
      </x:c>
      <x:c r="N3" t="s">
        <x:v>3</x:v>
      </x:c>
      <x:c r="O3" t="s">
        <x:v>3</x:v>
      </x:c>
      <x:c r="P3" t="s">
        <x:v>4</x:v>
      </x:c>
      <x:c r="Q3" t="s">
        <x:v>4</x:v>
      </x:c>
      <x:c r="R3" t="s">
        <x:v>8</x:v>
      </x:c>
    </x:row>
    <x:row r="4">
      <x:c r="A4" t="s">
        <x:v>4</x:v>
      </x:c>
      <x:c r="C4" t="s">
        <x:v>119</x:v>
      </x:c>
      <x:c r="D4" t="s">
        <x:v>119</x:v>
      </x:c>
      <x:c r="H4" t="s">
        <x:v>120</x:v>
      </x:c>
      <x:c r="J4" t="s">
        <x:v>4</x:v>
      </x:c>
      <x:c r="K4" t="s">
        <x:v>121</x:v>
      </x:c>
      <x:c r="L4" t="s">
        <x:v>9</x:v>
      </x:c>
      <x:c r="N4" t="s">
        <x:v>4</x:v>
      </x:c>
      <x:c r="O4" t="s">
        <x:v>4</x:v>
      </x:c>
      <x:c r="P4" t="s">
        <x:v>7</x:v>
      </x:c>
      <x:c r="Q4" t="s">
        <x:v>7</x:v>
      </x:c>
    </x:row>
    <x:row r="5">
      <x:c r="A5" t="s">
        <x:v>8</x:v>
      </x:c>
      <x:c r="D5" t="s">
        <x:v>122</x:v>
      </x:c>
      <x:c r="H5" t="s">
        <x:v>123</x:v>
      </x:c>
      <x:c r="J5" t="s">
        <x:v>7</x:v>
      </x:c>
      <x:c r="K5" t="s">
        <x:v>121</x:v>
      </x:c>
      <x:c r="N5" t="s">
        <x:v>7</x:v>
      </x:c>
      <x:c r="O5" t="s">
        <x:v>7</x:v>
      </x:c>
      <x:c r="P5" t="s">
        <x:v>8</x:v>
      </x:c>
      <x:c r="Q5" t="s">
        <x:v>8</x:v>
      </x:c>
    </x:row>
    <x:row r="6">
      <x:c r="A6" t="s">
        <x:v>9</x:v>
      </x:c>
      <x:c r="J6" t="s">
        <x:v>9</x:v>
      </x:c>
      <x:c r="K6" t="s">
        <x:v>121</x:v>
      </x:c>
      <x:c r="N6" t="s">
        <x:v>8</x:v>
      </x:c>
      <x:c r="O6" t="s">
        <x:v>8</x:v>
      </x:c>
    </x:row>
    <x:row r="7">
      <x:c r="A7" t="s">
        <x:v>6</x:v>
      </x:c>
    </x:row>
    <x:row r="8">
      <x:c r="A8" t="s">
        <x:v>7</x:v>
      </x:c>
    </x:row>
  </x:sheetData>
  <x:sheetProtection sheet="1" objects="1" scenarios="1"/>
  <x:pageMargins left="0.7" right="0.7" top="0.75" bottom="0.75" header="0.3" footer="0.3"/>
</x:worksheet>
</file>