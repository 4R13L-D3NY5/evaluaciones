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Banco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VALIDACIONES" sheetId="4" state="veryHidden" r:id="rId4"/>
  </sheets>
  <definedNames>
    <definedName name="LISTA_TIPOS_2P">VALIDACIONES!$A$1:$A$8</definedName>
    <definedName name="RESP_VF">VALIDACIONES!$B$1:$B$2</definedName>
    <definedName name="RESP_ABCD">VALIDACIONES!$C$1:$C$4</definedName>
    <definedName name="RESP_ABCDE">VALIDACIONES!$D$1:$D$5</definedName>
    <definedName name="RESP_VACIA">VALIDACIONES!$E$1</definedName>
    <definedName name="DIFICULTADES_123">VALIDACIONES!$F$1:$F$3</definedName>
    <definedName name="PARCIAL_ACTIVO_BANCO">VALIDACIONES!$G$1</definedName>
    <definedName name="RESP_CLAVE">VALIDACIONES!$H$1:$H$5</definedName>
    <definedName name="MAPA_RESPUESTA_TIPO">VALIDACIONES!$J$1:$K$6</definedName>
    <definedName name="TIPOS_REQUIEREN_GRUPO">VALIDACIONES!$L$1:$L$4</definedName>
    <definedName name="TIPOS_SIN_DIFICULTAD">VALIDACIONES!$M$1:$M$2</definedName>
    <definedName name="TIPOS_OPCION_D">VALIDACIONES!$N$1:$N$6</definedName>
    <definedName name="TIPOS_OPCION_E">VALIDACIONES!$O$1:$O$6</definedName>
    <definedName name="TIPOS_OPCION_F">VALIDACIONES!$P$1:$P$5</definedName>
    <definedName name="TIPOS_OPCION_G">VALIDACIONES!$Q$1:$Q$5</definedName>
    <definedName name="TIPOS_OPCION_H">VALIDACIONES!$R$1:$R$3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b val="1"/>
      <color rgb="FFFFFFFF"/>
      <sz val="16"/>
    </font>
    <font>
      <b val="1"/>
      <sz val="12"/>
    </font>
    <font>
      <b val="1"/>
      <color rgb="FFFF0000"/>
    </font>
    <font>
      <i val="1"/>
      <color rgb="FFC62828"/>
    </font>
    <font>
      <b val="1"/>
      <color rgb="FFFFFFFF"/>
    </font>
    <font>
      <b val="1"/>
    </font>
    <font>
      <name val="Calibri"/>
      <b val="1"/>
      <color rgb="FF3B1A75"/>
      <sz val="10"/>
    </font>
    <font>
      <name val="Calibri"/>
      <b val="1"/>
      <color rgb="FFFFFFFF"/>
      <sz val="11"/>
    </font>
    <font>
      <name val="Calibri"/>
      <color rgb="FF92400E"/>
      <sz val="11"/>
    </font>
    <font>
      <name val="Calibri"/>
      <color rgb="FF1F2937"/>
      <sz val="10"/>
    </font>
    <font>
      <name val="Calibri"/>
      <b val="1"/>
      <color rgb="FF4527A0"/>
      <sz val="11"/>
    </font>
  </fonts>
  <fills count="78">
    <fill>
      <patternFill/>
    </fill>
    <fill>
      <patternFill patternType="gray125"/>
    </fill>
    <fill>
      <patternFill patternType="solid">
        <fgColor rgb="FF4527A0"/>
      </patternFill>
    </fill>
    <fill>
      <patternFill patternType="solid">
        <fgColor rgb="FFE8EAF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006064"/>
      </patternFill>
    </fill>
    <fill>
      <patternFill patternType="solid">
        <fgColor rgb="FFF3EEFF"/>
      </patternFill>
    </fill>
    <fill>
      <patternFill patternType="solid">
        <fgColor rgb="FFF3EEFF"/>
      </patternFill>
    </fill>
    <fill>
      <patternFill patternType="solid">
        <fgColor rgb="FFF3EEFF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4527A0"/>
        <bgColor rgb="FF4527A0"/>
      </patternFill>
    </fill>
    <fill>
      <patternFill patternType="solid">
        <fgColor rgb="FFF3F0FF"/>
        <bgColor rgb="FFF3F0FF"/>
      </patternFill>
    </fill>
  </fills>
  <borders count="17">
    <border/>
    <border>
      <left style="thin"/>
      <right style="thin"/>
      <top style="thin"/>
      <bottom style="thin"/>
    </border>
    <border>
      <left style="thin">
        <color rgb="FF7C3AED"/>
      </left>
      <top style="thin">
        <color rgb="FF7C3AED"/>
      </top>
    </border>
    <border>
      <right style="thin">
        <color rgb="FF7C3AED"/>
      </right>
      <top style="thin">
        <color rgb="FF7C3AED"/>
      </top>
    </border>
    <border>
      <left style="thin">
        <color rgb="FF7C3AED"/>
      </left>
    </border>
    <border>
      <right style="thin">
        <color rgb="FF7C3AED"/>
      </right>
    </border>
    <border>
      <left style="thin">
        <color rgb="FF7C3AED"/>
      </left>
      <bottom style="thin">
        <color rgb="FF7C3AED"/>
      </bottom>
    </border>
    <border>
      <right style="thin">
        <color rgb="FF7C3AED"/>
      </right>
      <bottom style="thin">
        <color rgb="FF7C3AED"/>
      </bottom>
    </border>
    <border>
      <left style="thin">
        <color rgb="FFB8A8F5"/>
      </left>
      <top style="thin">
        <color rgb="FFB8A8F5"/>
      </top>
    </border>
    <border>
      <top style="thin">
        <color rgb="FFB8A8F5"/>
      </top>
    </border>
    <border>
      <right style="thin">
        <color rgb="FFB8A8F5"/>
      </right>
      <top style="thin">
        <color rgb="FFB8A8F5"/>
      </top>
    </border>
    <border>
      <left style="thin">
        <color rgb="FFB8A8F5"/>
      </left>
    </border>
    <border>
      <right style="thin">
        <color rgb="FFB8A8F5"/>
      </right>
    </border>
    <border>
      <left style="thin">
        <color rgb="FFB8A8F5"/>
      </left>
      <bottom style="thin">
        <color rgb="FFB8A8F5"/>
      </bottom>
    </border>
    <border>
      <bottom style="thin">
        <color rgb="FFB8A8F5"/>
      </bottom>
    </border>
    <border>
      <right style="thin">
        <color rgb="FFB8A8F5"/>
      </right>
      <bottom style="thin">
        <color rgb="FFB8A8F5"/>
      </bottom>
    </border>
    <border>
      <left style="thin">
        <color rgb="FFB8A8F5"/>
      </left>
      <right style="thin">
        <color rgb="FFB8A8F5"/>
      </right>
      <top style="thin">
        <color rgb="FFB8A8F5"/>
      </top>
      <bottom style="thin">
        <color rgb="FFB8A8F5"/>
      </bottom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6" fillId="4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6" fillId="5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6" fillId="6" borderId="1" pivotButton="0" quotePrefix="0" xfId="0"/>
    <xf numFmtId="0" fontId="6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7" fillId="8" borderId="0" pivotButton="0" quotePrefix="0" xfId="0"/>
    <xf numFmtId="0" fontId="7" fillId="8" borderId="2" pivotButton="0" quotePrefix="0" xfId="0"/>
    <xf numFmtId="0" fontId="7" fillId="8" borderId="3" pivotButton="0" quotePrefix="0" xfId="0"/>
    <xf numFmtId="0" fontId="7" fillId="8" borderId="4" pivotButton="0" quotePrefix="0" xfId="0"/>
    <xf numFmtId="0" fontId="7" fillId="8" borderId="5" pivotButton="0" quotePrefix="0" xfId="0"/>
    <xf numFmtId="0" fontId="7" fillId="8" borderId="6" pivotButton="0" quotePrefix="0" xfId="0"/>
    <xf numFmtId="0" fontId="7" fillId="8" borderId="7" pivotButton="0" quotePrefix="0" xfId="0"/>
    <xf numFmtId="0" fontId="7" fillId="8" borderId="2" applyAlignment="1" pivotButton="0" quotePrefix="0" xfId="0">
      <alignment wrapText="1"/>
    </xf>
    <xf numFmtId="0" fontId="7" fillId="8" borderId="3" applyAlignment="1" pivotButton="0" quotePrefix="0" xfId="0">
      <alignment wrapText="1"/>
    </xf>
    <xf numFmtId="0" fontId="7" fillId="8" borderId="4" applyAlignment="1" pivotButton="0" quotePrefix="0" xfId="0">
      <alignment wrapText="1"/>
    </xf>
    <xf numFmtId="0" fontId="7" fillId="8" borderId="5" applyAlignment="1" pivotButton="0" quotePrefix="0" xfId="0">
      <alignment wrapText="1"/>
    </xf>
    <xf numFmtId="0" fontId="7" fillId="8" borderId="6" applyAlignment="1" pivotButton="0" quotePrefix="0" xfId="0">
      <alignment wrapText="1"/>
    </xf>
    <xf numFmtId="0" fontId="7" fillId="8" borderId="7" applyAlignment="1" pivotButton="0" quotePrefix="0" xfId="0">
      <alignment wrapText="1"/>
    </xf>
    <xf numFmtId="0" fontId="7" fillId="8" borderId="2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7" fillId="8" borderId="4" applyAlignment="1" pivotButton="0" quotePrefix="0" xfId="0">
      <alignment vertical="center" wrapText="1"/>
    </xf>
    <xf numFmtId="0" fontId="7" fillId="8" borderId="5" applyAlignment="1" pivotButton="0" quotePrefix="0" xfId="0">
      <alignment vertical="center" wrapText="1"/>
    </xf>
    <xf numFmtId="0" fontId="7" fillId="8" borderId="6" applyAlignment="1" pivotButton="0" quotePrefix="0" xfId="0">
      <alignment vertical="center" wrapText="1"/>
    </xf>
    <xf numFmtId="0" fontId="7" fillId="8" borderId="7" applyAlignment="1" pivotButton="0" quotePrefix="0" xfId="0">
      <alignment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vertical="center" wrapText="1"/>
    </xf>
    <xf numFmtId="0" fontId="7" fillId="9" borderId="5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 wrapText="1"/>
    </xf>
    <xf numFmtId="0" fontId="7" fillId="9" borderId="7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6" applyAlignment="1" pivotButton="0" quotePrefix="0" xfId="0">
      <alignment vertical="center" wrapText="1"/>
    </xf>
    <xf numFmtId="0" fontId="7" fillId="10" borderId="7" applyAlignment="1" pivotButton="0" quotePrefix="0" xfId="0">
      <alignment horizontal="center" vertical="center" wrapText="1"/>
    </xf>
    <xf numFmtId="0" fontId="0" fillId="11" borderId="0" pivotButton="0" quotePrefix="0" xfId="0"/>
    <xf numFmtId="0" fontId="8" fillId="11" borderId="0" pivotButton="0" quotePrefix="0" xfId="0"/>
    <xf numFmtId="0" fontId="8" fillId="11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pivotButton="0" quotePrefix="0" xfId="0"/>
    <xf numFmtId="0" fontId="8" fillId="13" borderId="0" applyAlignment="1" pivotButton="0" quotePrefix="0" xfId="0">
      <alignment horizontal="center"/>
    </xf>
    <xf numFmtId="0" fontId="9" fillId="14" borderId="0" pivotButton="0" quotePrefix="0" xfId="0"/>
    <xf numFmtId="0" fontId="8" fillId="15" borderId="0" applyAlignment="1" pivotButton="0" quotePrefix="0" xfId="0">
      <alignment horizontal="center"/>
    </xf>
    <xf numFmtId="0" fontId="9" fillId="16" borderId="0" pivotButton="0" quotePrefix="0" xfId="0"/>
    <xf numFmtId="0" fontId="8" fillId="17" borderId="0" applyAlignment="1" pivotButton="0" quotePrefix="0" xfId="0">
      <alignment horizontal="center"/>
    </xf>
    <xf numFmtId="0" fontId="9" fillId="18" borderId="0" pivotButton="0" quotePrefix="0" xfId="0"/>
    <xf numFmtId="0" fontId="8" fillId="19" borderId="0" applyAlignment="1" pivotButton="0" quotePrefix="0" xfId="0">
      <alignment horizontal="center"/>
    </xf>
    <xf numFmtId="0" fontId="9" fillId="2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wrapText="1"/>
    </xf>
    <xf numFmtId="0" fontId="0" fillId="4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wrapText="1"/>
    </xf>
    <xf numFmtId="0" fontId="6" fillId="4" borderId="1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9" fillId="21" borderId="0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6" fillId="22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6" fillId="21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  <xf numFmtId="0" fontId="6" fillId="23" borderId="1" applyAlignment="1" pivotButton="0" quotePrefix="0" xfId="0">
      <alignment vertical="top" wrapText="1"/>
    </xf>
    <xf numFmtId="0" fontId="0" fillId="24" borderId="0" pivotButton="0" quotePrefix="0" xfId="0"/>
    <xf numFmtId="0" fontId="8" fillId="24" borderId="0" pivotButton="0" quotePrefix="0" xfId="0"/>
    <xf numFmtId="0" fontId="8" fillId="24" borderId="0" applyAlignment="1" pivotButton="0" quotePrefix="0" xfId="0">
      <alignment horizontal="center"/>
    </xf>
    <xf numFmtId="0" fontId="8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10" fillId="25" borderId="0" pivotButton="0" quotePrefix="0" xfId="0"/>
    <xf numFmtId="0" fontId="10" fillId="25" borderId="0" applyAlignment="1" pivotButton="0" quotePrefix="0" xfId="0">
      <alignment wrapText="1"/>
    </xf>
    <xf numFmtId="0" fontId="10" fillId="25" borderId="0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10" fillId="25" borderId="8" applyAlignment="1" pivotButton="0" quotePrefix="0" xfId="0">
      <alignment vertical="center" wrapText="1"/>
    </xf>
    <xf numFmtId="0" fontId="11" fillId="25" borderId="9" applyAlignment="1" pivotButton="0" quotePrefix="0" xfId="0">
      <alignment vertical="center" wrapText="1"/>
    </xf>
    <xf numFmtId="0" fontId="10" fillId="25" borderId="10" applyAlignment="1" pivotButton="0" quotePrefix="0" xfId="0">
      <alignment vertical="center" wrapText="1"/>
    </xf>
    <xf numFmtId="0" fontId="10" fillId="25" borderId="11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10" fillId="25" borderId="12" applyAlignment="1" pivotButton="0" quotePrefix="0" xfId="0">
      <alignment vertical="center" wrapText="1"/>
    </xf>
    <xf numFmtId="0" fontId="10" fillId="25" borderId="13" applyAlignment="1" pivotButton="0" quotePrefix="0" xfId="0">
      <alignment vertical="center" wrapText="1"/>
    </xf>
    <xf numFmtId="0" fontId="11" fillId="25" borderId="14" applyAlignment="1" pivotButton="0" quotePrefix="0" xfId="0">
      <alignment vertical="center" wrapText="1"/>
    </xf>
    <xf numFmtId="0" fontId="10" fillId="25" borderId="15" applyAlignment="1" pivotButton="0" quotePrefix="0" xfId="0">
      <alignment vertical="center" wrapText="1"/>
    </xf>
    <xf numFmtId="0" fontId="8" fillId="2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26" borderId="0" applyAlignment="1" pivotButton="0" quotePrefix="0" xfId="0">
      <alignment vertical="top" wrapText="1"/>
    </xf>
    <xf numFmtId="0" fontId="0" fillId="27" borderId="1" applyAlignment="1" pivotButton="0" quotePrefix="0" xfId="0">
      <alignment vertical="top" wrapText="1"/>
    </xf>
    <xf numFmtId="0" fontId="6" fillId="27" borderId="1" applyAlignment="1" pivotButton="0" quotePrefix="0" xfId="0">
      <alignment vertical="top" wrapText="1"/>
    </xf>
    <xf numFmtId="0" fontId="0" fillId="26" borderId="1" applyAlignment="1" pivotButton="0" quotePrefix="0" xfId="0">
      <alignment vertical="top" wrapText="1"/>
    </xf>
    <xf numFmtId="0" fontId="6" fillId="26" borderId="1" applyAlignment="1" pivotButton="0" quotePrefix="0" xfId="0">
      <alignment vertical="top" wrapText="1"/>
    </xf>
    <xf numFmtId="0" fontId="0" fillId="28" borderId="1" applyAlignment="1" pivotButton="0" quotePrefix="0" xfId="0">
      <alignment vertical="top" wrapText="1"/>
    </xf>
    <xf numFmtId="0" fontId="6" fillId="28" borderId="1" applyAlignment="1" pivotButton="0" quotePrefix="0" xfId="0">
      <alignment vertical="top" wrapText="1"/>
    </xf>
    <xf numFmtId="0" fontId="0" fillId="29" borderId="0" pivotButton="0" quotePrefix="0" xfId="0"/>
    <xf numFmtId="0" fontId="8" fillId="29" borderId="0" pivotButton="0" quotePrefix="0" xfId="0"/>
    <xf numFmtId="0" fontId="8" fillId="29" borderId="0" applyAlignment="1" pivotButton="0" quotePrefix="0" xfId="0">
      <alignment horizontal="center"/>
    </xf>
    <xf numFmtId="0" fontId="8" fillId="29" borderId="0" applyAlignment="1" pivotButton="0" quotePrefix="0" xfId="0">
      <alignment horizontal="center" vertical="center"/>
    </xf>
    <xf numFmtId="0" fontId="0" fillId="30" borderId="0" pivotButton="0" quotePrefix="0" xfId="0"/>
    <xf numFmtId="0" fontId="10" fillId="30" borderId="0" pivotButton="0" quotePrefix="0" xfId="0"/>
    <xf numFmtId="0" fontId="10" fillId="30" borderId="0" applyAlignment="1" pivotButton="0" quotePrefix="0" xfId="0">
      <alignment wrapText="1"/>
    </xf>
    <xf numFmtId="0" fontId="10" fillId="30" borderId="0" applyAlignment="1" pivotButton="0" quotePrefix="0" xfId="0">
      <alignment vertical="center" wrapText="1"/>
    </xf>
    <xf numFmtId="0" fontId="11" fillId="30" borderId="0" applyAlignment="1" pivotButton="0" quotePrefix="0" xfId="0">
      <alignment vertical="center" wrapText="1"/>
    </xf>
    <xf numFmtId="0" fontId="10" fillId="30" borderId="8" applyAlignment="1" pivotButton="0" quotePrefix="0" xfId="0">
      <alignment vertical="center" wrapText="1"/>
    </xf>
    <xf numFmtId="0" fontId="11" fillId="30" borderId="9" applyAlignment="1" pivotButton="0" quotePrefix="0" xfId="0">
      <alignment vertical="center" wrapText="1"/>
    </xf>
    <xf numFmtId="0" fontId="10" fillId="30" borderId="10" applyAlignment="1" pivotButton="0" quotePrefix="0" xfId="0">
      <alignment vertical="center" wrapText="1"/>
    </xf>
    <xf numFmtId="0" fontId="10" fillId="30" borderId="11" applyAlignment="1" pivotButton="0" quotePrefix="0" xfId="0">
      <alignment vertical="center" wrapText="1"/>
    </xf>
    <xf numFmtId="0" fontId="11" fillId="30" borderId="0" applyAlignment="1" pivotButton="0" quotePrefix="0" xfId="0">
      <alignment vertical="center" wrapText="1"/>
    </xf>
    <xf numFmtId="0" fontId="10" fillId="30" borderId="12" applyAlignment="1" pivotButton="0" quotePrefix="0" xfId="0">
      <alignment vertical="center" wrapText="1"/>
    </xf>
    <xf numFmtId="0" fontId="10" fillId="30" borderId="13" applyAlignment="1" pivotButton="0" quotePrefix="0" xfId="0">
      <alignment vertical="center" wrapText="1"/>
    </xf>
    <xf numFmtId="0" fontId="11" fillId="30" borderId="14" applyAlignment="1" pivotButton="0" quotePrefix="0" xfId="0">
      <alignment vertical="center" wrapText="1"/>
    </xf>
    <xf numFmtId="0" fontId="10" fillId="30" borderId="15" applyAlignment="1" pivotButton="0" quotePrefix="0" xfId="0">
      <alignment vertical="center" wrapText="1"/>
    </xf>
    <xf numFmtId="0" fontId="8" fillId="29" borderId="0" applyAlignment="1" pivotButton="0" quotePrefix="0" xfId="0">
      <alignment wrapText="1"/>
    </xf>
    <xf numFmtId="0" fontId="9" fillId="31" borderId="0" applyAlignment="1" pivotButton="0" quotePrefix="0" xfId="0">
      <alignment vertical="top" wrapText="1"/>
    </xf>
    <xf numFmtId="0" fontId="0" fillId="32" borderId="1" applyAlignment="1" pivotButton="0" quotePrefix="0" xfId="0">
      <alignment vertical="top" wrapText="1"/>
    </xf>
    <xf numFmtId="0" fontId="6" fillId="32" borderId="1" applyAlignment="1" pivotButton="0" quotePrefix="0" xfId="0">
      <alignment vertical="top" wrapText="1"/>
    </xf>
    <xf numFmtId="0" fontId="0" fillId="31" borderId="1" applyAlignment="1" pivotButton="0" quotePrefix="0" xfId="0">
      <alignment vertical="top" wrapText="1"/>
    </xf>
    <xf numFmtId="0" fontId="6" fillId="31" borderId="1" applyAlignment="1" pivotButton="0" quotePrefix="0" xfId="0">
      <alignment vertical="top" wrapText="1"/>
    </xf>
    <xf numFmtId="0" fontId="0" fillId="33" borderId="1" applyAlignment="1" pivotButton="0" quotePrefix="0" xfId="0">
      <alignment vertical="top" wrapText="1"/>
    </xf>
    <xf numFmtId="0" fontId="6" fillId="33" borderId="1" applyAlignment="1" pivotButton="0" quotePrefix="0" xfId="0">
      <alignment vertical="top" wrapText="1"/>
    </xf>
    <xf numFmtId="0" fontId="0" fillId="34" borderId="0" pivotButton="0" quotePrefix="0" xfId="0"/>
    <xf numFmtId="0" fontId="8" fillId="34" borderId="0" pivotButton="0" quotePrefix="0" xfId="0"/>
    <xf numFmtId="0" fontId="8" fillId="34" borderId="0" applyAlignment="1" pivotButton="0" quotePrefix="0" xfId="0">
      <alignment horizontal="center"/>
    </xf>
    <xf numFmtId="0" fontId="8" fillId="34" borderId="0" applyAlignment="1" pivotButton="0" quotePrefix="0" xfId="0">
      <alignment horizontal="center" vertical="center"/>
    </xf>
    <xf numFmtId="0" fontId="0" fillId="35" borderId="0" pivotButton="0" quotePrefix="0" xfId="0"/>
    <xf numFmtId="0" fontId="10" fillId="35" borderId="0" pivotButton="0" quotePrefix="0" xfId="0"/>
    <xf numFmtId="0" fontId="10" fillId="35" borderId="0" applyAlignment="1" pivotButton="0" quotePrefix="0" xfId="0">
      <alignment wrapText="1"/>
    </xf>
    <xf numFmtId="0" fontId="10" fillId="35" borderId="0" applyAlignment="1" pivotButton="0" quotePrefix="0" xfId="0">
      <alignment vertical="center" wrapText="1"/>
    </xf>
    <xf numFmtId="0" fontId="11" fillId="35" borderId="0" applyAlignment="1" pivotButton="0" quotePrefix="0" xfId="0">
      <alignment vertical="center" wrapText="1"/>
    </xf>
    <xf numFmtId="0" fontId="10" fillId="35" borderId="8" applyAlignment="1" pivotButton="0" quotePrefix="0" xfId="0">
      <alignment vertical="center" wrapText="1"/>
    </xf>
    <xf numFmtId="0" fontId="11" fillId="35" borderId="9" applyAlignment="1" pivotButton="0" quotePrefix="0" xfId="0">
      <alignment vertical="center" wrapText="1"/>
    </xf>
    <xf numFmtId="0" fontId="10" fillId="35" borderId="10" applyAlignment="1" pivotButton="0" quotePrefix="0" xfId="0">
      <alignment vertical="center" wrapText="1"/>
    </xf>
    <xf numFmtId="0" fontId="10" fillId="35" borderId="11" applyAlignment="1" pivotButton="0" quotePrefix="0" xfId="0">
      <alignment vertical="center" wrapText="1"/>
    </xf>
    <xf numFmtId="0" fontId="11" fillId="35" borderId="0" applyAlignment="1" pivotButton="0" quotePrefix="0" xfId="0">
      <alignment vertical="center" wrapText="1"/>
    </xf>
    <xf numFmtId="0" fontId="10" fillId="35" borderId="12" applyAlignment="1" pivotButton="0" quotePrefix="0" xfId="0">
      <alignment vertical="center" wrapText="1"/>
    </xf>
    <xf numFmtId="0" fontId="10" fillId="35" borderId="13" applyAlignment="1" pivotButton="0" quotePrefix="0" xfId="0">
      <alignment vertical="center" wrapText="1"/>
    </xf>
    <xf numFmtId="0" fontId="11" fillId="35" borderId="14" applyAlignment="1" pivotButton="0" quotePrefix="0" xfId="0">
      <alignment vertical="center" wrapText="1"/>
    </xf>
    <xf numFmtId="0" fontId="10" fillId="35" borderId="15" applyAlignment="1" pivotButton="0" quotePrefix="0" xfId="0">
      <alignment vertical="center" wrapText="1"/>
    </xf>
    <xf numFmtId="0" fontId="8" fillId="34" borderId="0" applyAlignment="1" pivotButton="0" quotePrefix="0" xfId="0">
      <alignment wrapText="1"/>
    </xf>
    <xf numFmtId="0" fontId="9" fillId="36" borderId="0" applyAlignment="1" pivotButton="0" quotePrefix="0" xfId="0">
      <alignment vertical="top" wrapText="1"/>
    </xf>
    <xf numFmtId="0" fontId="0" fillId="37" borderId="1" applyAlignment="1" pivotButton="0" quotePrefix="0" xfId="0">
      <alignment vertical="top" wrapText="1"/>
    </xf>
    <xf numFmtId="0" fontId="6" fillId="37" borderId="1" applyAlignment="1" pivotButton="0" quotePrefix="0" xfId="0">
      <alignment vertical="top" wrapText="1"/>
    </xf>
    <xf numFmtId="0" fontId="0" fillId="36" borderId="1" applyAlignment="1" pivotButton="0" quotePrefix="0" xfId="0">
      <alignment vertical="top" wrapText="1"/>
    </xf>
    <xf numFmtId="0" fontId="6" fillId="36" borderId="1" applyAlignment="1" pivotButton="0" quotePrefix="0" xfId="0">
      <alignment vertical="top" wrapText="1"/>
    </xf>
    <xf numFmtId="0" fontId="0" fillId="38" borderId="1" applyAlignment="1" pivotButton="0" quotePrefix="0" xfId="0">
      <alignment vertical="top" wrapText="1"/>
    </xf>
    <xf numFmtId="0" fontId="6" fillId="38" borderId="1" applyAlignment="1" pivotButton="0" quotePrefix="0" xfId="0">
      <alignment vertical="top" wrapText="1"/>
    </xf>
    <xf numFmtId="0" fontId="0" fillId="39" borderId="0" pivotButton="0" quotePrefix="0" xfId="0"/>
    <xf numFmtId="0" fontId="8" fillId="39" borderId="0" pivotButton="0" quotePrefix="0" xfId="0"/>
    <xf numFmtId="0" fontId="8" fillId="39" borderId="0" applyAlignment="1" pivotButton="0" quotePrefix="0" xfId="0">
      <alignment horizontal="center"/>
    </xf>
    <xf numFmtId="0" fontId="8" fillId="39" borderId="0" applyAlignment="1" pivotButton="0" quotePrefix="0" xfId="0">
      <alignment horizontal="center" vertical="center"/>
    </xf>
    <xf numFmtId="0" fontId="0" fillId="40" borderId="0" pivotButton="0" quotePrefix="0" xfId="0"/>
    <xf numFmtId="0" fontId="10" fillId="40" borderId="0" pivotButton="0" quotePrefix="0" xfId="0"/>
    <xf numFmtId="0" fontId="10" fillId="40" borderId="0" applyAlignment="1" pivotButton="0" quotePrefix="0" xfId="0">
      <alignment wrapText="1"/>
    </xf>
    <xf numFmtId="0" fontId="10" fillId="40" borderId="0" applyAlignment="1" pivotButton="0" quotePrefix="0" xfId="0">
      <alignment vertical="center" wrapText="1"/>
    </xf>
    <xf numFmtId="0" fontId="11" fillId="40" borderId="0" applyAlignment="1" pivotButton="0" quotePrefix="0" xfId="0">
      <alignment vertical="center" wrapText="1"/>
    </xf>
    <xf numFmtId="0" fontId="10" fillId="40" borderId="8" applyAlignment="1" pivotButton="0" quotePrefix="0" xfId="0">
      <alignment vertical="center" wrapText="1"/>
    </xf>
    <xf numFmtId="0" fontId="11" fillId="40" borderId="9" applyAlignment="1" pivotButton="0" quotePrefix="0" xfId="0">
      <alignment vertical="center" wrapText="1"/>
    </xf>
    <xf numFmtId="0" fontId="10" fillId="40" borderId="10" applyAlignment="1" pivotButton="0" quotePrefix="0" xfId="0">
      <alignment vertical="center" wrapText="1"/>
    </xf>
    <xf numFmtId="0" fontId="10" fillId="40" borderId="11" applyAlignment="1" pivotButton="0" quotePrefix="0" xfId="0">
      <alignment vertical="center" wrapText="1"/>
    </xf>
    <xf numFmtId="0" fontId="11" fillId="40" borderId="0" applyAlignment="1" pivotButton="0" quotePrefix="0" xfId="0">
      <alignment vertical="center" wrapText="1"/>
    </xf>
    <xf numFmtId="0" fontId="10" fillId="40" borderId="12" applyAlignment="1" pivotButton="0" quotePrefix="0" xfId="0">
      <alignment vertical="center" wrapText="1"/>
    </xf>
    <xf numFmtId="0" fontId="10" fillId="40" borderId="13" applyAlignment="1" pivotButton="0" quotePrefix="0" xfId="0">
      <alignment vertical="center" wrapText="1"/>
    </xf>
    <xf numFmtId="0" fontId="11" fillId="40" borderId="14" applyAlignment="1" pivotButton="0" quotePrefix="0" xfId="0">
      <alignment vertical="center" wrapText="1"/>
    </xf>
    <xf numFmtId="0" fontId="10" fillId="40" borderId="15" applyAlignment="1" pivotButton="0" quotePrefix="0" xfId="0">
      <alignment vertical="center" wrapText="1"/>
    </xf>
    <xf numFmtId="0" fontId="8" fillId="39" borderId="0" applyAlignment="1" pivotButton="0" quotePrefix="0" xfId="0">
      <alignment wrapText="1"/>
    </xf>
    <xf numFmtId="0" fontId="9" fillId="41" borderId="0" applyAlignment="1" pivotButton="0" quotePrefix="0" xfId="0">
      <alignment vertical="top" wrapText="1"/>
    </xf>
    <xf numFmtId="0" fontId="0" fillId="42" borderId="1" applyAlignment="1" pivotButton="0" quotePrefix="0" xfId="0">
      <alignment vertical="top" wrapText="1"/>
    </xf>
    <xf numFmtId="0" fontId="6" fillId="42" borderId="1" applyAlignment="1" pivotButton="0" quotePrefix="0" xfId="0">
      <alignment vertical="top" wrapText="1"/>
    </xf>
    <xf numFmtId="0" fontId="0" fillId="41" borderId="1" applyAlignment="1" pivotButton="0" quotePrefix="0" xfId="0">
      <alignment vertical="top" wrapText="1"/>
    </xf>
    <xf numFmtId="0" fontId="6" fillId="41" borderId="1" applyAlignment="1" pivotButton="0" quotePrefix="0" xfId="0">
      <alignment vertical="top" wrapText="1"/>
    </xf>
    <xf numFmtId="0" fontId="0" fillId="43" borderId="1" applyAlignment="1" pivotButton="0" quotePrefix="0" xfId="0">
      <alignment vertical="top" wrapText="1"/>
    </xf>
    <xf numFmtId="0" fontId="6" fillId="43" borderId="1" applyAlignment="1" pivotButton="0" quotePrefix="0" xfId="0">
      <alignment vertical="top" wrapText="1"/>
    </xf>
    <xf numFmtId="0" fontId="0" fillId="44" borderId="0" pivotButton="0" quotePrefix="0" xfId="0"/>
    <xf numFmtId="0" fontId="8" fillId="44" borderId="0" pivotButton="0" quotePrefix="0" xfId="0"/>
    <xf numFmtId="0" fontId="8" fillId="44" borderId="0" applyAlignment="1" pivotButton="0" quotePrefix="0" xfId="0">
      <alignment horizontal="center"/>
    </xf>
    <xf numFmtId="0" fontId="8" fillId="44" borderId="0" applyAlignment="1" pivotButton="0" quotePrefix="0" xfId="0">
      <alignment horizontal="center" vertical="center"/>
    </xf>
    <xf numFmtId="0" fontId="0" fillId="45" borderId="0" pivotButton="0" quotePrefix="0" xfId="0"/>
    <xf numFmtId="0" fontId="10" fillId="45" borderId="0" pivotButton="0" quotePrefix="0" xfId="0"/>
    <xf numFmtId="0" fontId="10" fillId="45" borderId="0" applyAlignment="1" pivotButton="0" quotePrefix="0" xfId="0">
      <alignment wrapText="1"/>
    </xf>
    <xf numFmtId="0" fontId="10" fillId="45" borderId="0" applyAlignment="1" pivotButton="0" quotePrefix="0" xfId="0">
      <alignment vertical="center" wrapText="1"/>
    </xf>
    <xf numFmtId="0" fontId="11" fillId="45" borderId="0" applyAlignment="1" pivotButton="0" quotePrefix="0" xfId="0">
      <alignment vertical="center" wrapText="1"/>
    </xf>
    <xf numFmtId="0" fontId="10" fillId="45" borderId="8" applyAlignment="1" pivotButton="0" quotePrefix="0" xfId="0">
      <alignment vertical="center" wrapText="1"/>
    </xf>
    <xf numFmtId="0" fontId="11" fillId="45" borderId="9" applyAlignment="1" pivotButton="0" quotePrefix="0" xfId="0">
      <alignment vertical="center" wrapText="1"/>
    </xf>
    <xf numFmtId="0" fontId="10" fillId="45" borderId="10" applyAlignment="1" pivotButton="0" quotePrefix="0" xfId="0">
      <alignment vertical="center" wrapText="1"/>
    </xf>
    <xf numFmtId="0" fontId="10" fillId="45" borderId="11" applyAlignment="1" pivotButton="0" quotePrefix="0" xfId="0">
      <alignment vertical="center" wrapText="1"/>
    </xf>
    <xf numFmtId="0" fontId="11" fillId="45" borderId="0" applyAlignment="1" pivotButton="0" quotePrefix="0" xfId="0">
      <alignment vertical="center" wrapText="1"/>
    </xf>
    <xf numFmtId="0" fontId="10" fillId="45" borderId="12" applyAlignment="1" pivotButton="0" quotePrefix="0" xfId="0">
      <alignment vertical="center" wrapText="1"/>
    </xf>
    <xf numFmtId="0" fontId="10" fillId="45" borderId="13" applyAlignment="1" pivotButton="0" quotePrefix="0" xfId="0">
      <alignment vertical="center" wrapText="1"/>
    </xf>
    <xf numFmtId="0" fontId="11" fillId="45" borderId="14" applyAlignment="1" pivotButton="0" quotePrefix="0" xfId="0">
      <alignment vertical="center" wrapText="1"/>
    </xf>
    <xf numFmtId="0" fontId="10" fillId="45" borderId="15" applyAlignment="1" pivotButton="0" quotePrefix="0" xfId="0">
      <alignment vertical="center" wrapText="1"/>
    </xf>
    <xf numFmtId="0" fontId="8" fillId="44" borderId="0" applyAlignment="1" pivotButton="0" quotePrefix="0" xfId="0">
      <alignment wrapText="1"/>
    </xf>
    <xf numFmtId="0" fontId="9" fillId="46" borderId="0" applyAlignment="1" pivotButton="0" quotePrefix="0" xfId="0">
      <alignment vertical="top" wrapText="1"/>
    </xf>
    <xf numFmtId="0" fontId="0" fillId="47" borderId="1" applyAlignment="1" pivotButton="0" quotePrefix="0" xfId="0">
      <alignment vertical="top" wrapText="1"/>
    </xf>
    <xf numFmtId="0" fontId="6" fillId="47" borderId="1" applyAlignment="1" pivotButton="0" quotePrefix="0" xfId="0">
      <alignment vertical="top" wrapText="1"/>
    </xf>
    <xf numFmtId="0" fontId="0" fillId="46" borderId="1" applyAlignment="1" pivotButton="0" quotePrefix="0" xfId="0">
      <alignment vertical="top" wrapText="1"/>
    </xf>
    <xf numFmtId="0" fontId="6" fillId="46" borderId="1" applyAlignment="1" pivotButton="0" quotePrefix="0" xfId="0">
      <alignment vertical="top" wrapText="1"/>
    </xf>
    <xf numFmtId="0" fontId="0" fillId="48" borderId="1" applyAlignment="1" pivotButton="0" quotePrefix="0" xfId="0">
      <alignment vertical="top" wrapText="1"/>
    </xf>
    <xf numFmtId="0" fontId="6" fillId="48" borderId="1" applyAlignment="1" pivotButton="0" quotePrefix="0" xfId="0">
      <alignment vertical="top" wrapText="1"/>
    </xf>
    <xf numFmtId="0" fontId="0" fillId="49" borderId="0" pivotButton="0" quotePrefix="0" xfId="0"/>
    <xf numFmtId="0" fontId="8" fillId="49" borderId="0" pivotButton="0" quotePrefix="0" xfId="0"/>
    <xf numFmtId="0" fontId="8" fillId="49" borderId="0" applyAlignment="1" pivotButton="0" quotePrefix="0" xfId="0">
      <alignment horizontal="center"/>
    </xf>
    <xf numFmtId="0" fontId="8" fillId="49" borderId="0" applyAlignment="1" pivotButton="0" quotePrefix="0" xfId="0">
      <alignment horizontal="center" vertical="center"/>
    </xf>
    <xf numFmtId="0" fontId="0" fillId="50" borderId="0" pivotButton="0" quotePrefix="0" xfId="0"/>
    <xf numFmtId="0" fontId="10" fillId="50" borderId="0" pivotButton="0" quotePrefix="0" xfId="0"/>
    <xf numFmtId="0" fontId="10" fillId="50" borderId="0" applyAlignment="1" pivotButton="0" quotePrefix="0" xfId="0">
      <alignment wrapText="1"/>
    </xf>
    <xf numFmtId="0" fontId="10" fillId="50" borderId="0" applyAlignment="1" pivotButton="0" quotePrefix="0" xfId="0">
      <alignment vertical="center" wrapText="1"/>
    </xf>
    <xf numFmtId="0" fontId="11" fillId="50" borderId="0" applyAlignment="1" pivotButton="0" quotePrefix="0" xfId="0">
      <alignment vertical="center" wrapText="1"/>
    </xf>
    <xf numFmtId="0" fontId="10" fillId="50" borderId="8" applyAlignment="1" pivotButton="0" quotePrefix="0" xfId="0">
      <alignment vertical="center" wrapText="1"/>
    </xf>
    <xf numFmtId="0" fontId="11" fillId="50" borderId="9" applyAlignment="1" pivotButton="0" quotePrefix="0" xfId="0">
      <alignment vertical="center" wrapText="1"/>
    </xf>
    <xf numFmtId="0" fontId="10" fillId="50" borderId="10" applyAlignment="1" pivotButton="0" quotePrefix="0" xfId="0">
      <alignment vertical="center" wrapText="1"/>
    </xf>
    <xf numFmtId="0" fontId="10" fillId="50" borderId="11" applyAlignment="1" pivotButton="0" quotePrefix="0" xfId="0">
      <alignment vertical="center" wrapText="1"/>
    </xf>
    <xf numFmtId="0" fontId="11" fillId="50" borderId="0" applyAlignment="1" pivotButton="0" quotePrefix="0" xfId="0">
      <alignment vertical="center" wrapText="1"/>
    </xf>
    <xf numFmtId="0" fontId="10" fillId="50" borderId="12" applyAlignment="1" pivotButton="0" quotePrefix="0" xfId="0">
      <alignment vertical="center" wrapText="1"/>
    </xf>
    <xf numFmtId="0" fontId="10" fillId="50" borderId="13" applyAlignment="1" pivotButton="0" quotePrefix="0" xfId="0">
      <alignment vertical="center" wrapText="1"/>
    </xf>
    <xf numFmtId="0" fontId="11" fillId="50" borderId="14" applyAlignment="1" pivotButton="0" quotePrefix="0" xfId="0">
      <alignment vertical="center" wrapText="1"/>
    </xf>
    <xf numFmtId="0" fontId="10" fillId="50" borderId="15" applyAlignment="1" pivotButton="0" quotePrefix="0" xfId="0">
      <alignment vertical="center" wrapText="1"/>
    </xf>
    <xf numFmtId="0" fontId="8" fillId="49" borderId="0" applyAlignment="1" pivotButton="0" quotePrefix="0" xfId="0">
      <alignment wrapText="1"/>
    </xf>
    <xf numFmtId="0" fontId="9" fillId="51" borderId="0" applyAlignment="1" pivotButton="0" quotePrefix="0" xfId="0">
      <alignment vertical="top" wrapText="1"/>
    </xf>
    <xf numFmtId="0" fontId="0" fillId="52" borderId="1" applyAlignment="1" pivotButton="0" quotePrefix="0" xfId="0">
      <alignment vertical="top" wrapText="1"/>
    </xf>
    <xf numFmtId="0" fontId="6" fillId="52" borderId="1" applyAlignment="1" pivotButton="0" quotePrefix="0" xfId="0">
      <alignment vertical="top" wrapText="1"/>
    </xf>
    <xf numFmtId="0" fontId="0" fillId="51" borderId="1" applyAlignment="1" pivotButton="0" quotePrefix="0" xfId="0">
      <alignment vertical="top" wrapText="1"/>
    </xf>
    <xf numFmtId="0" fontId="6" fillId="51" borderId="1" applyAlignment="1" pivotButton="0" quotePrefix="0" xfId="0">
      <alignment vertical="top" wrapText="1"/>
    </xf>
    <xf numFmtId="0" fontId="0" fillId="53" borderId="1" applyAlignment="1" pivotButton="0" quotePrefix="0" xfId="0">
      <alignment vertical="top" wrapText="1"/>
    </xf>
    <xf numFmtId="0" fontId="6" fillId="53" borderId="1" applyAlignment="1" pivotButton="0" quotePrefix="0" xfId="0">
      <alignment vertical="top" wrapText="1"/>
    </xf>
    <xf numFmtId="0" fontId="0" fillId="54" borderId="0" pivotButton="0" quotePrefix="0" xfId="0"/>
    <xf numFmtId="0" fontId="8" fillId="54" borderId="0" pivotButton="0" quotePrefix="0" xfId="0"/>
    <xf numFmtId="0" fontId="8" fillId="54" borderId="0" applyAlignment="1" pivotButton="0" quotePrefix="0" xfId="0">
      <alignment horizontal="center"/>
    </xf>
    <xf numFmtId="0" fontId="8" fillId="54" borderId="0" applyAlignment="1" pivotButton="0" quotePrefix="0" xfId="0">
      <alignment horizontal="center" vertical="center"/>
    </xf>
    <xf numFmtId="0" fontId="0" fillId="55" borderId="0" pivotButton="0" quotePrefix="0" xfId="0"/>
    <xf numFmtId="0" fontId="10" fillId="55" borderId="0" pivotButton="0" quotePrefix="0" xfId="0"/>
    <xf numFmtId="0" fontId="10" fillId="55" borderId="0" applyAlignment="1" pivotButton="0" quotePrefix="0" xfId="0">
      <alignment wrapText="1"/>
    </xf>
    <xf numFmtId="0" fontId="10" fillId="55" borderId="0" applyAlignment="1" pivotButton="0" quotePrefix="0" xfId="0">
      <alignment vertical="center" wrapText="1"/>
    </xf>
    <xf numFmtId="0" fontId="11" fillId="55" borderId="0" applyAlignment="1" pivotButton="0" quotePrefix="0" xfId="0">
      <alignment vertical="center" wrapText="1"/>
    </xf>
    <xf numFmtId="0" fontId="10" fillId="55" borderId="8" applyAlignment="1" pivotButton="0" quotePrefix="0" xfId="0">
      <alignment vertical="center" wrapText="1"/>
    </xf>
    <xf numFmtId="0" fontId="11" fillId="55" borderId="9" applyAlignment="1" pivotButton="0" quotePrefix="0" xfId="0">
      <alignment vertical="center" wrapText="1"/>
    </xf>
    <xf numFmtId="0" fontId="10" fillId="55" borderId="10" applyAlignment="1" pivotButton="0" quotePrefix="0" xfId="0">
      <alignment vertical="center" wrapText="1"/>
    </xf>
    <xf numFmtId="0" fontId="10" fillId="55" borderId="11" applyAlignment="1" pivotButton="0" quotePrefix="0" xfId="0">
      <alignment vertical="center" wrapText="1"/>
    </xf>
    <xf numFmtId="0" fontId="11" fillId="55" borderId="0" applyAlignment="1" pivotButton="0" quotePrefix="0" xfId="0">
      <alignment vertical="center" wrapText="1"/>
    </xf>
    <xf numFmtId="0" fontId="10" fillId="55" borderId="12" applyAlignment="1" pivotButton="0" quotePrefix="0" xfId="0">
      <alignment vertical="center" wrapText="1"/>
    </xf>
    <xf numFmtId="0" fontId="10" fillId="55" borderId="13" applyAlignment="1" pivotButton="0" quotePrefix="0" xfId="0">
      <alignment vertical="center" wrapText="1"/>
    </xf>
    <xf numFmtId="0" fontId="11" fillId="55" borderId="14" applyAlignment="1" pivotButton="0" quotePrefix="0" xfId="0">
      <alignment vertical="center" wrapText="1"/>
    </xf>
    <xf numFmtId="0" fontId="10" fillId="55" borderId="15" applyAlignment="1" pivotButton="0" quotePrefix="0" xfId="0">
      <alignment vertical="center" wrapText="1"/>
    </xf>
    <xf numFmtId="0" fontId="8" fillId="54" borderId="0" applyAlignment="1" pivotButton="0" quotePrefix="0" xfId="0">
      <alignment wrapText="1"/>
    </xf>
    <xf numFmtId="0" fontId="9" fillId="56" borderId="0" applyAlignment="1" pivotButton="0" quotePrefix="0" xfId="0">
      <alignment vertical="top" wrapText="1"/>
    </xf>
    <xf numFmtId="0" fontId="0" fillId="57" borderId="1" applyAlignment="1" pivotButton="0" quotePrefix="0" xfId="0">
      <alignment vertical="top" wrapText="1"/>
    </xf>
    <xf numFmtId="0" fontId="6" fillId="57" borderId="1" applyAlignment="1" pivotButton="0" quotePrefix="0" xfId="0">
      <alignment vertical="top" wrapText="1"/>
    </xf>
    <xf numFmtId="0" fontId="0" fillId="56" borderId="1" applyAlignment="1" pivotButton="0" quotePrefix="0" xfId="0">
      <alignment vertical="top" wrapText="1"/>
    </xf>
    <xf numFmtId="0" fontId="6" fillId="56" borderId="1" applyAlignment="1" pivotButton="0" quotePrefix="0" xfId="0">
      <alignment vertical="top" wrapText="1"/>
    </xf>
    <xf numFmtId="0" fontId="0" fillId="58" borderId="1" applyAlignment="1" pivotButton="0" quotePrefix="0" xfId="0">
      <alignment vertical="top" wrapText="1"/>
    </xf>
    <xf numFmtId="0" fontId="6" fillId="58" borderId="1" applyAlignment="1" pivotButton="0" quotePrefix="0" xfId="0">
      <alignment vertical="top" wrapText="1"/>
    </xf>
    <xf numFmtId="0" fontId="0" fillId="59" borderId="0" pivotButton="0" quotePrefix="0" xfId="0"/>
    <xf numFmtId="0" fontId="8" fillId="59" borderId="0" pivotButton="0" quotePrefix="0" xfId="0"/>
    <xf numFmtId="0" fontId="8" fillId="59" borderId="0" applyAlignment="1" pivotButton="0" quotePrefix="0" xfId="0">
      <alignment horizontal="center"/>
    </xf>
    <xf numFmtId="0" fontId="8" fillId="59" borderId="0" applyAlignment="1" pivotButton="0" quotePrefix="0" xfId="0">
      <alignment horizontal="center" vertical="center"/>
    </xf>
    <xf numFmtId="0" fontId="0" fillId="60" borderId="0" pivotButton="0" quotePrefix="0" xfId="0"/>
    <xf numFmtId="0" fontId="10" fillId="60" borderId="0" pivotButton="0" quotePrefix="0" xfId="0"/>
    <xf numFmtId="0" fontId="10" fillId="60" borderId="0" applyAlignment="1" pivotButton="0" quotePrefix="0" xfId="0">
      <alignment wrapText="1"/>
    </xf>
    <xf numFmtId="0" fontId="10" fillId="60" borderId="0" applyAlignment="1" pivotButton="0" quotePrefix="0" xfId="0">
      <alignment vertical="center" wrapText="1"/>
    </xf>
    <xf numFmtId="0" fontId="11" fillId="60" borderId="0" applyAlignment="1" pivotButton="0" quotePrefix="0" xfId="0">
      <alignment vertical="center" wrapText="1"/>
    </xf>
    <xf numFmtId="0" fontId="10" fillId="60" borderId="8" applyAlignment="1" pivotButton="0" quotePrefix="0" xfId="0">
      <alignment vertical="center" wrapText="1"/>
    </xf>
    <xf numFmtId="0" fontId="11" fillId="60" borderId="9" applyAlignment="1" pivotButton="0" quotePrefix="0" xfId="0">
      <alignment vertical="center" wrapText="1"/>
    </xf>
    <xf numFmtId="0" fontId="10" fillId="60" borderId="10" applyAlignment="1" pivotButton="0" quotePrefix="0" xfId="0">
      <alignment vertical="center" wrapText="1"/>
    </xf>
    <xf numFmtId="0" fontId="10" fillId="60" borderId="11" applyAlignment="1" pivotButton="0" quotePrefix="0" xfId="0">
      <alignment vertical="center" wrapText="1"/>
    </xf>
    <xf numFmtId="0" fontId="11" fillId="60" borderId="0" applyAlignment="1" pivotButton="0" quotePrefix="0" xfId="0">
      <alignment vertical="center" wrapText="1"/>
    </xf>
    <xf numFmtId="0" fontId="10" fillId="60" borderId="12" applyAlignment="1" pivotButton="0" quotePrefix="0" xfId="0">
      <alignment vertical="center" wrapText="1"/>
    </xf>
    <xf numFmtId="0" fontId="10" fillId="60" borderId="13" applyAlignment="1" pivotButton="0" quotePrefix="0" xfId="0">
      <alignment vertical="center" wrapText="1"/>
    </xf>
    <xf numFmtId="0" fontId="11" fillId="60" borderId="14" applyAlignment="1" pivotButton="0" quotePrefix="0" xfId="0">
      <alignment vertical="center" wrapText="1"/>
    </xf>
    <xf numFmtId="0" fontId="10" fillId="60" borderId="15" applyAlignment="1" pivotButton="0" quotePrefix="0" xfId="0">
      <alignment vertical="center" wrapText="1"/>
    </xf>
    <xf numFmtId="0" fontId="8" fillId="59" borderId="0" applyAlignment="1" pivotButton="0" quotePrefix="0" xfId="0">
      <alignment wrapText="1"/>
    </xf>
    <xf numFmtId="0" fontId="9" fillId="61" borderId="0" applyAlignment="1" pivotButton="0" quotePrefix="0" xfId="0">
      <alignment vertical="top" wrapText="1"/>
    </xf>
    <xf numFmtId="0" fontId="0" fillId="62" borderId="1" applyAlignment="1" pivotButton="0" quotePrefix="0" xfId="0">
      <alignment vertical="top" wrapText="1"/>
    </xf>
    <xf numFmtId="0" fontId="6" fillId="62" borderId="1" applyAlignment="1" pivotButton="0" quotePrefix="0" xfId="0">
      <alignment vertical="top" wrapText="1"/>
    </xf>
    <xf numFmtId="0" fontId="0" fillId="61" borderId="1" applyAlignment="1" pivotButton="0" quotePrefix="0" xfId="0">
      <alignment vertical="top" wrapText="1"/>
    </xf>
    <xf numFmtId="0" fontId="6" fillId="61" borderId="1" applyAlignment="1" pivotButton="0" quotePrefix="0" xfId="0">
      <alignment vertical="top" wrapText="1"/>
    </xf>
    <xf numFmtId="0" fontId="0" fillId="63" borderId="1" applyAlignment="1" pivotButton="0" quotePrefix="0" xfId="0">
      <alignment vertical="top" wrapText="1"/>
    </xf>
    <xf numFmtId="0" fontId="6" fillId="63" borderId="1" applyAlignment="1" pivotButton="0" quotePrefix="0" xfId="0">
      <alignment vertical="top" wrapText="1"/>
    </xf>
    <xf numFmtId="0" fontId="0" fillId="64" borderId="0" pivotButton="0" quotePrefix="0" xfId="0"/>
    <xf numFmtId="0" fontId="8" fillId="64" borderId="0" pivotButton="0" quotePrefix="0" xfId="0"/>
    <xf numFmtId="0" fontId="8" fillId="64" borderId="0" applyAlignment="1" pivotButton="0" quotePrefix="0" xfId="0">
      <alignment horizontal="center"/>
    </xf>
    <xf numFmtId="0" fontId="8" fillId="64" borderId="0" applyAlignment="1" pivotButton="0" quotePrefix="0" xfId="0">
      <alignment horizontal="center" vertical="center"/>
    </xf>
    <xf numFmtId="0" fontId="0" fillId="65" borderId="0" pivotButton="0" quotePrefix="0" xfId="0"/>
    <xf numFmtId="0" fontId="10" fillId="65" borderId="0" pivotButton="0" quotePrefix="0" xfId="0"/>
    <xf numFmtId="0" fontId="10" fillId="65" borderId="0" applyAlignment="1" pivotButton="0" quotePrefix="0" xfId="0">
      <alignment wrapText="1"/>
    </xf>
    <xf numFmtId="0" fontId="10" fillId="65" borderId="0" applyAlignment="1" pivotButton="0" quotePrefix="0" xfId="0">
      <alignment vertical="center" wrapText="1"/>
    </xf>
    <xf numFmtId="0" fontId="11" fillId="65" borderId="0" applyAlignment="1" pivotButton="0" quotePrefix="0" xfId="0">
      <alignment vertical="center" wrapText="1"/>
    </xf>
    <xf numFmtId="0" fontId="10" fillId="65" borderId="8" applyAlignment="1" pivotButton="0" quotePrefix="0" xfId="0">
      <alignment vertical="center" wrapText="1"/>
    </xf>
    <xf numFmtId="0" fontId="11" fillId="65" borderId="9" applyAlignment="1" pivotButton="0" quotePrefix="0" xfId="0">
      <alignment vertical="center" wrapText="1"/>
    </xf>
    <xf numFmtId="0" fontId="10" fillId="65" borderId="10" applyAlignment="1" pivotButton="0" quotePrefix="0" xfId="0">
      <alignment vertical="center" wrapText="1"/>
    </xf>
    <xf numFmtId="0" fontId="10" fillId="65" borderId="11" applyAlignment="1" pivotButton="0" quotePrefix="0" xfId="0">
      <alignment vertical="center" wrapText="1"/>
    </xf>
    <xf numFmtId="0" fontId="11" fillId="65" borderId="0" applyAlignment="1" pivotButton="0" quotePrefix="0" xfId="0">
      <alignment vertical="center" wrapText="1"/>
    </xf>
    <xf numFmtId="0" fontId="10" fillId="65" borderId="12" applyAlignment="1" pivotButton="0" quotePrefix="0" xfId="0">
      <alignment vertical="center" wrapText="1"/>
    </xf>
    <xf numFmtId="0" fontId="10" fillId="65" borderId="13" applyAlignment="1" pivotButton="0" quotePrefix="0" xfId="0">
      <alignment vertical="center" wrapText="1"/>
    </xf>
    <xf numFmtId="0" fontId="11" fillId="65" borderId="14" applyAlignment="1" pivotButton="0" quotePrefix="0" xfId="0">
      <alignment vertical="center" wrapText="1"/>
    </xf>
    <xf numFmtId="0" fontId="10" fillId="65" borderId="15" applyAlignment="1" pivotButton="0" quotePrefix="0" xfId="0">
      <alignment vertical="center" wrapText="1"/>
    </xf>
    <xf numFmtId="0" fontId="8" fillId="64" borderId="0" applyAlignment="1" pivotButton="0" quotePrefix="0" xfId="0">
      <alignment wrapText="1"/>
    </xf>
    <xf numFmtId="0" fontId="9" fillId="66" borderId="0" applyAlignment="1" pivotButton="0" quotePrefix="0" xfId="0">
      <alignment vertical="top" wrapText="1"/>
    </xf>
    <xf numFmtId="0" fontId="0" fillId="67" borderId="1" applyAlignment="1" pivotButton="0" quotePrefix="0" xfId="0">
      <alignment vertical="top" wrapText="1"/>
    </xf>
    <xf numFmtId="0" fontId="6" fillId="67" borderId="1" applyAlignment="1" pivotButton="0" quotePrefix="0" xfId="0">
      <alignment vertical="top" wrapText="1"/>
    </xf>
    <xf numFmtId="0" fontId="0" fillId="66" borderId="1" applyAlignment="1" pivotButton="0" quotePrefix="0" xfId="0">
      <alignment vertical="top" wrapText="1"/>
    </xf>
    <xf numFmtId="0" fontId="6" fillId="66" borderId="1" applyAlignment="1" pivotButton="0" quotePrefix="0" xfId="0">
      <alignment vertical="top" wrapText="1"/>
    </xf>
    <xf numFmtId="0" fontId="0" fillId="68" borderId="1" applyAlignment="1" pivotButton="0" quotePrefix="0" xfId="0">
      <alignment vertical="top" wrapText="1"/>
    </xf>
    <xf numFmtId="0" fontId="6" fillId="68" borderId="1" applyAlignment="1" pivotButton="0" quotePrefix="0" xfId="0">
      <alignment vertical="top" wrapText="1"/>
    </xf>
    <xf numFmtId="0" fontId="0" fillId="69" borderId="0" pivotButton="0" quotePrefix="0" xfId="0"/>
    <xf numFmtId="0" fontId="8" fillId="69" borderId="0" pivotButton="0" quotePrefix="0" xfId="0"/>
    <xf numFmtId="0" fontId="8" fillId="69" borderId="0" applyAlignment="1" pivotButton="0" quotePrefix="0" xfId="0">
      <alignment horizontal="center"/>
    </xf>
    <xf numFmtId="0" fontId="8" fillId="69" borderId="0" applyAlignment="1" pivotButton="0" quotePrefix="0" xfId="0">
      <alignment horizontal="center" vertical="center"/>
    </xf>
    <xf numFmtId="0" fontId="0" fillId="70" borderId="0" pivotButton="0" quotePrefix="0" xfId="0"/>
    <xf numFmtId="0" fontId="10" fillId="70" borderId="0" pivotButton="0" quotePrefix="0" xfId="0"/>
    <xf numFmtId="0" fontId="10" fillId="70" borderId="0" applyAlignment="1" pivotButton="0" quotePrefix="0" xfId="0">
      <alignment wrapText="1"/>
    </xf>
    <xf numFmtId="0" fontId="10" fillId="70" borderId="0" applyAlignment="1" pivotButton="0" quotePrefix="0" xfId="0">
      <alignment vertical="center" wrapText="1"/>
    </xf>
    <xf numFmtId="0" fontId="11" fillId="70" borderId="0" applyAlignment="1" pivotButton="0" quotePrefix="0" xfId="0">
      <alignment vertical="center" wrapText="1"/>
    </xf>
    <xf numFmtId="0" fontId="10" fillId="70" borderId="8" applyAlignment="1" pivotButton="0" quotePrefix="0" xfId="0">
      <alignment vertical="center" wrapText="1"/>
    </xf>
    <xf numFmtId="0" fontId="11" fillId="70" borderId="9" applyAlignment="1" pivotButton="0" quotePrefix="0" xfId="0">
      <alignment vertical="center" wrapText="1"/>
    </xf>
    <xf numFmtId="0" fontId="10" fillId="70" borderId="10" applyAlignment="1" pivotButton="0" quotePrefix="0" xfId="0">
      <alignment vertical="center" wrapText="1"/>
    </xf>
    <xf numFmtId="0" fontId="10" fillId="70" borderId="11" applyAlignment="1" pivotButton="0" quotePrefix="0" xfId="0">
      <alignment vertical="center" wrapText="1"/>
    </xf>
    <xf numFmtId="0" fontId="11" fillId="70" borderId="0" applyAlignment="1" pivotButton="0" quotePrefix="0" xfId="0">
      <alignment vertical="center" wrapText="1"/>
    </xf>
    <xf numFmtId="0" fontId="10" fillId="70" borderId="12" applyAlignment="1" pivotButton="0" quotePrefix="0" xfId="0">
      <alignment vertical="center" wrapText="1"/>
    </xf>
    <xf numFmtId="0" fontId="10" fillId="70" borderId="13" applyAlignment="1" pivotButton="0" quotePrefix="0" xfId="0">
      <alignment vertical="center" wrapText="1"/>
    </xf>
    <xf numFmtId="0" fontId="11" fillId="70" borderId="14" applyAlignment="1" pivotButton="0" quotePrefix="0" xfId="0">
      <alignment vertical="center" wrapText="1"/>
    </xf>
    <xf numFmtId="0" fontId="10" fillId="70" borderId="15" applyAlignment="1" pivotButton="0" quotePrefix="0" xfId="0">
      <alignment vertical="center" wrapText="1"/>
    </xf>
    <xf numFmtId="0" fontId="8" fillId="69" borderId="0" applyAlignment="1" pivotButton="0" quotePrefix="0" xfId="0">
      <alignment wrapText="1"/>
    </xf>
    <xf numFmtId="0" fontId="9" fillId="71" borderId="0" applyAlignment="1" pivotButton="0" quotePrefix="0" xfId="0">
      <alignment vertical="top" wrapText="1"/>
    </xf>
    <xf numFmtId="0" fontId="0" fillId="72" borderId="1" applyAlignment="1" pivotButton="0" quotePrefix="0" xfId="0">
      <alignment vertical="top" wrapText="1"/>
    </xf>
    <xf numFmtId="0" fontId="6" fillId="72" borderId="1" applyAlignment="1" pivotButton="0" quotePrefix="0" xfId="0">
      <alignment vertical="top" wrapText="1"/>
    </xf>
    <xf numFmtId="0" fontId="0" fillId="71" borderId="1" applyAlignment="1" pivotButton="0" quotePrefix="0" xfId="0">
      <alignment vertical="top" wrapText="1"/>
    </xf>
    <xf numFmtId="0" fontId="6" fillId="71" borderId="1" applyAlignment="1" pivotButton="0" quotePrefix="0" xfId="0">
      <alignment vertical="top" wrapText="1"/>
    </xf>
    <xf numFmtId="0" fontId="0" fillId="73" borderId="1" applyAlignment="1" pivotButton="0" quotePrefix="0" xfId="0">
      <alignment vertical="top" wrapText="1"/>
    </xf>
    <xf numFmtId="0" fontId="6" fillId="73" borderId="1" applyAlignment="1" pivotButton="0" quotePrefix="0" xfId="0">
      <alignment vertical="top" wrapText="1"/>
    </xf>
    <xf numFmtId="0" fontId="0" fillId="74" borderId="0" pivotButton="0" quotePrefix="0" xfId="0"/>
    <xf numFmtId="0" fontId="8" fillId="74" borderId="0" pivotButton="0" quotePrefix="0" xfId="0"/>
    <xf numFmtId="0" fontId="8" fillId="74" borderId="0" applyAlignment="1" pivotButton="0" quotePrefix="0" xfId="0">
      <alignment horizontal="center"/>
    </xf>
    <xf numFmtId="0" fontId="8" fillId="74" borderId="0" applyAlignment="1" pivotButton="0" quotePrefix="0" xfId="0">
      <alignment horizontal="center" vertical="center"/>
    </xf>
    <xf numFmtId="0" fontId="0" fillId="75" borderId="0" pivotButton="0" quotePrefix="0" xfId="0"/>
    <xf numFmtId="0" fontId="10" fillId="75" borderId="0" pivotButton="0" quotePrefix="0" xfId="0"/>
    <xf numFmtId="0" fontId="10" fillId="75" borderId="0" applyAlignment="1" pivotButton="0" quotePrefix="0" xfId="0">
      <alignment wrapText="1"/>
    </xf>
    <xf numFmtId="0" fontId="10" fillId="75" borderId="0" applyAlignment="1" pivotButton="0" quotePrefix="0" xfId="0">
      <alignment vertical="center" wrapText="1"/>
    </xf>
    <xf numFmtId="0" fontId="11" fillId="75" borderId="0" applyAlignment="1" pivotButton="0" quotePrefix="0" xfId="0">
      <alignment vertical="center" wrapText="1"/>
    </xf>
    <xf numFmtId="0" fontId="10" fillId="75" borderId="8" applyAlignment="1" pivotButton="0" quotePrefix="0" xfId="0">
      <alignment vertical="center" wrapText="1"/>
    </xf>
    <xf numFmtId="0" fontId="11" fillId="75" borderId="9" applyAlignment="1" pivotButton="0" quotePrefix="0" xfId="0">
      <alignment vertical="center" wrapText="1"/>
    </xf>
    <xf numFmtId="0" fontId="10" fillId="75" borderId="10" applyAlignment="1" pivotButton="0" quotePrefix="0" xfId="0">
      <alignment vertical="center" wrapText="1"/>
    </xf>
    <xf numFmtId="0" fontId="10" fillId="75" borderId="11" applyAlignment="1" pivotButton="0" quotePrefix="0" xfId="0">
      <alignment vertical="center" wrapText="1"/>
    </xf>
    <xf numFmtId="0" fontId="11" fillId="75" borderId="0" applyAlignment="1" pivotButton="0" quotePrefix="0" xfId="0">
      <alignment vertical="center" wrapText="1"/>
    </xf>
    <xf numFmtId="0" fontId="10" fillId="75" borderId="12" applyAlignment="1" pivotButton="0" quotePrefix="0" xfId="0">
      <alignment vertical="center" wrapText="1"/>
    </xf>
    <xf numFmtId="0" fontId="10" fillId="75" borderId="13" applyAlignment="1" pivotButton="0" quotePrefix="0" xfId="0">
      <alignment vertical="center" wrapText="1"/>
    </xf>
    <xf numFmtId="0" fontId="11" fillId="75" borderId="14" applyAlignment="1" pivotButton="0" quotePrefix="0" xfId="0">
      <alignment vertical="center" wrapText="1"/>
    </xf>
    <xf numFmtId="0" fontId="10" fillId="75" borderId="15" applyAlignment="1" pivotButton="0" quotePrefix="0" xfId="0">
      <alignment vertical="center" wrapText="1"/>
    </xf>
    <xf numFmtId="0" fontId="8" fillId="74" borderId="0" applyAlignment="1" pivotButton="0" quotePrefix="0" xfId="0">
      <alignment wrapText="1"/>
    </xf>
    <xf numFmtId="0" fontId="8" fillId="76" borderId="16" applyAlignment="1" pivotButton="0" quotePrefix="0" xfId="0">
      <alignment horizontal="center" vertical="center"/>
    </xf>
    <xf numFmtId="0" fontId="10" fillId="77" borderId="16" applyAlignment="1" pivotButton="0" quotePrefix="0" xfId="0">
      <alignment horizontal="left" vertical="center"/>
    </xf>
    <xf numFmtId="0" fontId="11" fillId="77" borderId="16" applyAlignment="1" pivotButton="0" quotePrefix="0" xfId="0">
      <alignment horizontal="center" vertical="center"/>
    </xf>
    <xf numFmtId="0" fontId="10" fillId="77" borderId="16" applyAlignment="1" pivotButton="0" quotePrefix="0" xfId="0">
      <alignment horizontal="center" vertical="center"/>
    </xf>
  </cellXfs>
  <cellStyles count="1">
    <cellStyle name="Normal" xfId="0"/>
  </cellStyles>
  <dxfs count="6"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b val="1"/>
        <color rgb="FF1B5E20"/>
      </font>
      <fill>
        <patternFill>
          <bgColor rgb="FFC6EFCE"/>
        </patternFill>
      </fill>
    </dxf>
    <dxf>
      <font>
        <b val="1"/>
        <color rgb="FFC62828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customFormat="1" s="1">
      <c r="A1" s="1" t="inlineStr">
        <is>
          <t>BANCO DE PREGUNTAS - GUIA OFICIAL</t>
        </is>
      </c>
    </row>
    <row r="3" customFormat="1" s="2">
      <c r="A3" s="3" t="inlineStr">
        <is>
          <t>1. CODIGOS DE PREGUNTA (Columna TIPO)</t>
        </is>
      </c>
    </row>
    <row r="4">
      <c r="A4" t="inlineStr">
        <is>
          <t>Verdadero o Falso Simple</t>
        </is>
      </c>
      <c r="B4" t="inlineStr">
        <is>
          <t>Se completan automáticamente opcion_a=Verdadero y opcion_b=Falso. Deje opcion_c, opcion_d y opcion_e vacías.</t>
        </is>
      </c>
    </row>
    <row r="5">
      <c r="A5" t="inlineStr">
        <is>
          <t>Verdadero o Falso Complejas</t>
        </is>
      </c>
      <c r="B5" t="inlineStr">
        <is>
          <t>Escriba las premisas 1-4 en opcion_a a opcion_d. opcion_e se completa vacía; respuesta_correcta puede ser A, B, C, D o E según la combinación de premisas.</t>
        </is>
      </c>
    </row>
    <row r="6">
      <c r="A6" t="inlineStr">
        <is>
          <t>Selección de la mejor respuesta</t>
        </is>
      </c>
      <c r="B6" t="inlineStr">
        <is>
          <t>Complete las cinco alternativas en opcion_a a opcion_e y marque una sola letra en respuesta_correcta.</t>
        </is>
      </c>
    </row>
    <row r="7">
      <c r="A7" t="inlineStr">
        <is>
          <t>Respuesta A/B/Ambas/Ninguna</t>
        </is>
      </c>
      <c r="B7" s="4" t="inlineStr">
        <is>
          <t>Se completan automáticamente las opciones A-D. opcion_e debe permanecer vacía y respuesta_correcta debe ser A, B, C o D.</t>
        </is>
      </c>
    </row>
    <row r="8">
      <c r="A8" t="inlineStr">
        <is>
          <t>Ítems agrupados por caso clínico o problema</t>
        </is>
      </c>
      <c r="B8" s="4" t="inlineStr">
        <is>
          <t>Solo complete grupo y enunciado. Este tronco no lleva opciones, dificultad ni respuesta_correcta.</t>
        </is>
      </c>
    </row>
    <row r="9">
      <c r="A9" t="inlineStr">
        <is>
          <t>Subítem de caso o problema</t>
        </is>
      </c>
      <c r="B9" t="inlineStr">
        <is>
          <t>Complete grupo, enunciado, las cinco alternativas y respuesta_correcta. El subítem sí lleva dificultad.</t>
        </is>
      </c>
    </row>
    <row r="10">
      <c r="A10" t="inlineStr">
        <is>
          <t>Emparejamiento Ampliado</t>
        </is>
      </c>
      <c r="B10" s="4" t="inlineStr">
        <is>
          <t>Complete grupo y enunciado con las claves de emparejamiento. Este tronco no lleva dificultad ni respuesta_correcta.</t>
        </is>
      </c>
    </row>
    <row r="11">
      <c r="A11" t="inlineStr">
        <is>
          <t>Opción de Emparejamiento Ampliado</t>
        </is>
      </c>
      <c r="B11" t="inlineStr">
        <is>
          <t>Complete grupo, enunciado y respuesta_correcta. No lleva opciones en columnas ni dificultad.</t>
        </is>
      </c>
    </row>
    <row r="13" customFormat="1" s="2">
      <c r="A13" s="3" t="inlineStr">
        <is>
          <t>2. RESPUESTAS VALIDAS</t>
        </is>
      </c>
    </row>
    <row r="14">
      <c r="A14" t="inlineStr">
        <is>
          <t>Verdadero o Falso Complejas</t>
        </is>
      </c>
      <c r="B14" t="inlineStr">
        <is>
          <t>Use una de las combinaciones fijas: A: 1, 2, 3 correctas; B: 1 y 3 correctas; C: 2 y 4 correctas; D: Solo 4 es correcta; E: Todas son correctas.</t>
        </is>
      </c>
    </row>
    <row r="15">
      <c r="A15" t="inlineStr">
        <is>
          <t>Selección de la mejor respuesta / Subítem de caso o problema</t>
        </is>
      </c>
      <c r="B15" t="inlineStr">
        <is>
          <t>Use una sola letra: A, B, C, D o E.</t>
        </is>
      </c>
    </row>
    <row r="16">
      <c r="A16" t="inlineStr">
        <is>
          <t>Emparejamiento Ampliado / Ítems agrupados por caso clínico o problema</t>
        </is>
      </c>
      <c r="B16" t="inlineStr">
        <is>
          <t>Deje respuesta_correcta vacia.</t>
        </is>
      </c>
    </row>
    <row r="17">
      <c r="A17" t="inlineStr">
        <is>
          <t>Respuesta A/B/Ambas/Ninguna</t>
        </is>
      </c>
      <c r="B17" s="4" t="inlineStr">
        <is>
          <t>La respuesta_correcta solo puede ser A, B, C o D.</t>
        </is>
      </c>
    </row>
    <row r="18">
      <c r="A18" t="inlineStr">
        <is>
          <t>Verdadero o Falso Simple</t>
        </is>
      </c>
      <c r="B18" t="inlineStr">
        <is>
          <t>A para Verdadero, B para Falso.</t>
        </is>
      </c>
    </row>
    <row r="19">
      <c r="A19" t="inlineStr">
        <is>
          <t>Opción de Emparejamiento Ampliado</t>
        </is>
      </c>
      <c r="B19" t="inlineStr">
        <is>
          <t>Use la letra correcta segun las opciones activas definidas en el encabezado del emparejamiento.</t>
        </is>
      </c>
    </row>
    <row r="20">
      <c r="A20" t="inlineStr">
        <is>
          <t>Ítems agrupados por caso clínico o problema</t>
        </is>
      </c>
      <c r="B20" s="4" t="inlineStr">
        <is>
          <t>No debe llevar respuesta_correcta.</t>
        </is>
      </c>
    </row>
    <row r="22" customFormat="1" s="2">
      <c r="A22" s="3" t="inlineStr">
        <is>
          <t>3. CONFIGURACION DEL EXAMEN</t>
        </is>
      </c>
    </row>
    <row r="23">
      <c r="A23" s="4" t="inlineStr">
        <is>
          <t>Dificultad (Nivel)</t>
        </is>
      </c>
      <c r="B23" s="4" t="inlineStr">
        <is>
          <t>1 (Facil), 2 (Medio), 3 (Dificil). Casos/problemas y Emparejamiento Ampliado no llevan dificultad.</t>
        </is>
      </c>
    </row>
    <row r="24">
      <c r="A24" t="inlineStr">
        <is>
          <t>Parcial activo</t>
        </is>
      </c>
      <c r="B24" t="inlineStr">
        <is>
          <t>2P (2do Parcial)</t>
        </is>
      </c>
    </row>
    <row r="25">
      <c r="A25" t="inlineStr">
        <is>
          <t>Registro por grupo</t>
        </is>
      </c>
      <c r="B25" t="inlineStr">
        <is>
          <t>En el 2do Parcial el banco se organiza y se valida individualmente por grupo teorico.</t>
        </is>
      </c>
    </row>
    <row r="26">
      <c r="A26" t="inlineStr">
        <is>
          <t>Columna observaciones</t>
        </is>
      </c>
      <c r="B26" t="inlineStr">
        <is>
          <t>La columna L se completa automaticamente y te dira si la fila esta OK o que campos faltan/revisar.</t>
        </is>
      </c>
    </row>
    <row r="27">
      <c r="A27" t="inlineStr">
        <is>
          <t>M (imagen_base64)</t>
        </is>
      </c>
      <c r="B27" t="inlineStr">
        <is>
          <t>Imagen opcional. Puede incluir #sea-size=GRANDE, MEDIANA, PEQUENA o MUY_PEQUENA; MEDIANA es el tamaño predeterminado.</t>
        </is>
      </c>
    </row>
    <row r="28" customFormat="1" s="2">
      <c r="A28" s="3" t="inlineStr">
        <is>
          <t>NOTAS IMPORTANTES</t>
        </is>
      </c>
    </row>
    <row r="29" customFormat="1" s="5">
      <c r="A29" s="5" t="inlineStr">
        <is>
          <t>- No elimine columnas ni cambie el nombre de la hoja "Banco".</t>
        </is>
      </c>
    </row>
    <row r="30" customFormat="1" s="4">
      <c r="A30" s="4" t="inlineStr">
        <is>
          <t>- IMPORTANTE: Respuesta A/B/Ambas/Ninguna usa solo las premisas I. y II. en enunciado; opcion_a a opcion_d lleva las respuestas fijas y opcion_e no se usa.</t>
        </is>
      </c>
    </row>
    <row r="31" customFormat="1" s="4">
      <c r="A31" s="4" t="inlineStr">
        <is>
          <t>- IMPORTANTE: Verdadero o Falso Complejas usa los incisos 1, 2, 3 y 4 en opcion_a a opcion_d. opcion_e debe quedar vacia; respuesta_correcta puede ser A, B, C, D o E, porque E representa una combinacion.</t>
        </is>
      </c>
    </row>
    <row r="32" customFormat="1" s="4">
      <c r="A32" s="4" t="inlineStr">
        <is>
          <t>- IMPORTANTE: Casos/problemas y Emparejamiento Ampliado son encabezados y no deben tener dificultad.</t>
        </is>
      </c>
    </row>
    <row r="33" customFormat="1" s="4">
      <c r="A33" s="4" t="inlineStr">
        <is>
          <t>- IMPORTANTE: Si la columna L no indica "OK", corrige esa fila antes de importar.</t>
        </is>
      </c>
    </row>
    <row r="34">
      <c r="A34" t="inlineStr">
        <is>
          <t>- Conteo por grupos de tipo: Grupo 1 = VF simple + VF complejas + A/B/Ambas/Ninguna. Grupo 2 = mejor respuesta. Grupo 3 = casos/problemas y emparejamiento ampliado.</t>
        </is>
      </c>
    </row>
    <row r="35">
      <c r="A35" s="366" t="inlineStr">
        <is>
          <t>AYUDA RÁPIDA PARA INCISOS</t>
        </is>
      </c>
      <c r="B35" s="366" t="str"/>
    </row>
    <row r="36">
      <c r="A36" s="106" t="inlineStr">
        <is>
          <t>Verdadero o Falso Simple</t>
        </is>
      </c>
      <c r="B36" s="106" t="inlineStr">
        <is>
          <t>A=Verdadero y B=Falso se completan automáticamente; deje C-E vacíos.</t>
        </is>
      </c>
    </row>
    <row r="37">
      <c r="A37" s="106" t="inlineStr">
        <is>
          <t>Respuesta A/B/Ambas/Ninguna</t>
        </is>
      </c>
      <c r="B37" s="106" t="inlineStr">
        <is>
          <t>A-D se completan automáticamente; deje E vacío.</t>
        </is>
      </c>
    </row>
    <row r="38">
      <c r="A38" s="106" t="inlineStr">
        <is>
          <t>Verdadero o Falso Complejas</t>
        </is>
      </c>
      <c r="B38" s="106" t="inlineStr">
        <is>
          <t>Escriba las premisas 1-4 en A-D; E vacío. La respuesta correcta puede ser A-E por las combinaciones.</t>
        </is>
      </c>
    </row>
    <row r="39">
      <c r="A39" s="106" t="inlineStr">
        <is>
          <t>Selección de la mejor respuesta</t>
        </is>
      </c>
      <c r="B39" s="106" t="inlineStr">
        <is>
          <t>Complete las cinco alternativas A-E y luego indique una sola letra como respuesta correcta.</t>
        </is>
      </c>
    </row>
    <row r="40">
      <c r="A40" s="106" t="inlineStr">
        <is>
          <t>Subítem de caso o problema</t>
        </is>
      </c>
      <c r="B40" s="106" t="inlineStr">
        <is>
          <t>Complete las cinco alternativas A-E, respuesta_correcta y dificultad.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40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31" customWidth="1" min="1" max="1"/>
    <col width="18" customWidth="1" min="2" max="2"/>
    <col width="72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24" customWidth="1" min="9" max="9"/>
    <col width="13" customWidth="1" min="10" max="10"/>
    <col width="12" customWidth="1" min="11" max="11"/>
    <col width="52" customWidth="1" min="12" max="12"/>
    <col width="30" customWidth="1" min="13" max="13"/>
    <col hidden="1" min="14" max="40"/>
    <col width="24" customWidth="1" min="41" max="41"/>
    <col width="14" customWidth="1" min="42" max="42"/>
    <col width="14" customWidth="1" min="43" max="43"/>
  </cols>
  <sheetData>
    <row r="1" ht="30" customHeight="1">
      <c r="A1" s="68" t="inlineStr">
        <is>
          <t>tipo</t>
        </is>
      </c>
      <c r="B1" s="68" t="inlineStr">
        <is>
          <t>grupo</t>
        </is>
      </c>
      <c r="C1" s="68" t="inlineStr">
        <is>
          <t>enunciado</t>
        </is>
      </c>
      <c r="D1" s="68" t="inlineStr">
        <is>
          <t>opcion_a</t>
        </is>
      </c>
      <c r="E1" s="68" t="inlineStr">
        <is>
          <t>opcion_b</t>
        </is>
      </c>
      <c r="F1" s="68" t="inlineStr">
        <is>
          <t>opcion_c</t>
        </is>
      </c>
      <c r="G1" s="68" t="inlineStr">
        <is>
          <t>opcion_d</t>
        </is>
      </c>
      <c r="H1" s="68" t="inlineStr">
        <is>
          <t>opcion_e</t>
        </is>
      </c>
      <c r="I1" s="68" t="inlineStr">
        <is>
          <t>respuesta_correcta</t>
        </is>
      </c>
      <c r="J1" s="68" t="inlineStr">
        <is>
          <t>dificultad</t>
        </is>
      </c>
      <c r="K1" s="68" t="inlineStr">
        <is>
          <t>parcial</t>
        </is>
      </c>
      <c r="L1" s="68" t="inlineStr">
        <is>
          <t>observaciones</t>
        </is>
      </c>
      <c r="M1" s="69" t="inlineStr">
        <is>
          <t>imagen_base64</t>
        </is>
      </c>
      <c r="Q1" t="inlineStr">
        <is>
          <t>_obs_1</t>
        </is>
      </c>
      <c r="R1" t="inlineStr">
        <is>
          <t>_obs_2</t>
        </is>
      </c>
      <c r="S1" t="inlineStr">
        <is>
          <t>_obs_3</t>
        </is>
      </c>
      <c r="T1" t="inlineStr">
        <is>
          <t>_obs_4</t>
        </is>
      </c>
      <c r="U1" t="inlineStr">
        <is>
          <t>_obs_1</t>
        </is>
      </c>
      <c r="V1" t="inlineStr">
        <is>
          <t>_obs_2</t>
        </is>
      </c>
      <c r="W1" t="inlineStr">
        <is>
          <t>_obs_3</t>
        </is>
      </c>
      <c r="X1" t="inlineStr">
        <is>
          <t>_obs_4</t>
        </is>
      </c>
      <c r="Y1" t="inlineStr">
        <is>
          <t>_obs_1</t>
        </is>
      </c>
      <c r="Z1" t="inlineStr">
        <is>
          <t>_obs_2</t>
        </is>
      </c>
      <c r="AA1" t="inlineStr">
        <is>
          <t>_obs_3</t>
        </is>
      </c>
      <c r="AB1" t="inlineStr">
        <is>
          <t>_obs_4</t>
        </is>
      </c>
      <c r="AC1" t="inlineStr">
        <is>
          <t>_obs_1</t>
        </is>
      </c>
      <c r="AD1" t="inlineStr">
        <is>
          <t>_obs_2</t>
        </is>
      </c>
      <c r="AE1" t="inlineStr">
        <is>
          <t>_obs_3</t>
        </is>
      </c>
      <c r="AF1" t="inlineStr">
        <is>
          <t>_obs_4</t>
        </is>
      </c>
      <c r="AG1" t="inlineStr">
        <is>
          <t>_obs_1</t>
        </is>
      </c>
      <c r="AH1" t="inlineStr">
        <is>
          <t>_obs_2</t>
        </is>
      </c>
      <c r="AI1" t="inlineStr">
        <is>
          <t>_obs_3</t>
        </is>
      </c>
      <c r="AJ1" t="inlineStr">
        <is>
          <t>_obs_4</t>
        </is>
      </c>
      <c r="AK1" t="inlineStr">
        <is>
          <t>_obs_1</t>
        </is>
      </c>
      <c r="AL1" t="inlineStr">
        <is>
          <t>_obs_2</t>
        </is>
      </c>
      <c r="AM1" t="inlineStr">
        <is>
          <t>_obs_3</t>
        </is>
      </c>
      <c r="AN1" t="inlineStr">
        <is>
          <t>_obs_4</t>
        </is>
      </c>
      <c r="AO1" s="351" t="inlineStr">
        <is>
          <t>CONTROL DE DISTRIBUCIÓN – 2P</t>
        </is>
      </c>
    </row>
    <row r="2" ht="24" customHeight="1">
      <c r="A2" s="342" t="n"/>
      <c r="B2" s="342" t="n"/>
      <c r="C2" s="342" t="n"/>
      <c r="D2" s="342">
        <f>IF($A2="Verdadero o Falso Simple","Verdadero",IF($A2="Respuesta A/B/Ambas/Ninguna","A. Si la primera es verdadera",IF($A2="Verdadero o Falso Complejas","1. ","")))</f>
        <v/>
      </c>
      <c r="E2" s="342">
        <f>IF($A2="Verdadero o Falso Simple","Falso",IF($A2="Respuesta A/B/Ambas/Ninguna","B. Si la segunda es verdadera",IF($A2="Verdadero o Falso Complejas","2. ","")))</f>
        <v/>
      </c>
      <c r="F2" s="342">
        <f>IF($A2="Respuesta A/B/Ambas/Ninguna","C. Si ambas son verdaderas",IF($A2="Verdadero o Falso Complejas","3. ",""))</f>
        <v/>
      </c>
      <c r="G2" s="342">
        <f>IF($A2="Respuesta A/B/Ambas/Ninguna","D. Si ninguna es verdadera",IF($A2="Verdadero o Falso Complejas","4. ",""))</f>
        <v/>
      </c>
      <c r="H2" s="342">
        <f>IF($A2="Verdadero o Falso Simple","",IF($A2="Respuesta A/B/Ambas/Ninguna","",IF($A2="Verdadero o Falso Complejas","","")))</f>
        <v/>
      </c>
      <c r="I2" s="342" t="n"/>
      <c r="J2" s="342" t="n">
        <v>1</v>
      </c>
      <c r="K2" s="342" t="inlineStr">
        <is>
          <t>2P</t>
        </is>
      </c>
      <c r="L2" s="343">
        <f>IF(TRIM($A2)="","",IF(OR($A2="Selección de la mejor respuesta",$A2="SELECCION_MEJOR_RESPUESTA",$A2="Subítem de caso o problema",$A2="SUBITEM_CASO"),IF(TRIM($C2)="","Completar enunciado",IF(SUMPRODUCT(--(LEN(TRIM($D2:$H2&amp;""))&gt;0))&lt;5,"Completar opciones A-E",IF(AND(TRIM($I2)&lt;&gt;"",OR(LEFT(TRIM($I2),1)="A",LEFT(TRIM($I2),1)="B",LEFT(TRIM($I2),1)="C",LEFT(TRIM($I2),1)="D",LEFT(TRIM($I2),1)="E")),"OK","Completar respuesta correcta A-E"))),IF(TRIM($A2)="","",IF(COUNTIF($Q2:$AJ2,"?*")=0,"OK","Falta revisar: "&amp;$Q2&amp;$R2&amp;$S2&amp;$T2&amp;$U2&amp;$V2&amp;$W2&amp;$X2&amp;$Y2&amp;$Z2&amp;$AA2&amp;$AB2&amp;$AC2&amp;$AD2&amp;$AE2&amp;$AF2&amp;$AG2&amp;$AH2&amp;$AI2&amp;$AJ2))))</f>
        <v/>
      </c>
      <c r="M2" s="341" t="n"/>
      <c r="Q2">
        <f>IF(TRIM($C2)="","enunciado","")</f>
        <v/>
      </c>
      <c r="R2">
        <f>IF(TRIM($K2)="",IF(COUNTIF($Q2:$Q2,"?*")&gt;0,", ","")&amp;"parcial","")</f>
        <v/>
      </c>
      <c r="S2">
        <f>IF(AND(TRIM($K2)&lt;&gt;"",TRIM($K2)&lt;&gt;VALIDACIONES!$G$1),IF(COUNTIF($Q2:$R2,"?*")&gt;0,", ","")&amp;"parcial distinto a "&amp;VALIDACIONES!$G$1,"")</f>
        <v/>
      </c>
      <c r="T2">
        <f>IF(AND(OR($A2="Ítems agrupados por caso clínico o problema",$A2="Subítem de caso o problema",$A2="Emparejamiento Ampliado",$A2="Opción de Emparejamiento Ampliado"),TRIM($B2)=""),IF(COUNTIF($Q2:$S2,"?*")&gt;0,", ","")&amp;"grupo","")</f>
        <v/>
      </c>
      <c r="U2">
        <f>IF(AND(OR($A2="Verdadero o Falso Simple",$A2="Respuesta A/B/Ambas/Ninguna",$A2="Verdadero o Falso Complejas",$A2="Selección de la mejor respuesta",$A2="Subítem de caso o problema",$A2="Opción de Emparejamiento Ampliado"),TRIM($I2)=""),IF(COUNTIF($Q2:$T2,"?*")&gt;0,", ","")&amp;"respuesta_correcta","")</f>
        <v/>
      </c>
      <c r="V2">
        <f>IF(AND(OR($A2="Verdadero o Falso Simple",$A2="Respuesta A/B/Ambas/Ninguna",$A2="Verdadero o Falso Complejas",$A2="Selección de la mejor respuesta",$A2="Subítem de caso o problema",$A2="Opción de Emparejamiento Ampliado"),TRIM($J2)=""),IF(COUNTIF($Q2:$U2,"?*")&gt;0,", ","")&amp;"dificultad","")</f>
        <v/>
      </c>
      <c r="W2">
        <f>IF(AND(OR($A2="Ítems agrupados por caso clínico o problema",$A2="Emparejamiento Ampliado"),TRIM($I2)&lt;&gt;""),IF(COUNTIF($Q2:$V2,"?*")&gt;0,", ","")&amp;"respuesta debe ir vacia","")</f>
        <v/>
      </c>
      <c r="X2">
        <f>IF(AND(OR($A2="Ítems agrupados por caso clínico o problema",$A2="Emparejamiento Ampliado"),TRIM($J2)&lt;&gt;""),IF(COUNTIF($Q2:$W2,"?*")&gt;0,", ","")&amp;"dificultad debe ir vacia","")</f>
        <v/>
      </c>
      <c r="Y2">
        <f>IF(AND($A2="Verdadero o Falso Simple",OR(COUNTIF($D2:$E2,"?*")&lt;2,COUNTIF($F2:$H2,"?*")&gt;0)),IF(COUNTIF($Q2:$X2,"?*")&gt;0,", ","")&amp;"incisos A-B","")</f>
        <v/>
      </c>
      <c r="Z2">
        <f>IF(AND($A2="Verdadero o Falso Simple",TRIM($I2)&lt;&gt;"",NOT(OR(LEFT(TRIM($I2),1)="A",LEFT(TRIM($I2),1)="B"))),IF(COUNTIF($Q2:$Y2,"?*")&gt;0,", ","")&amp;"respuesta A-B","")</f>
        <v/>
      </c>
      <c r="AA2">
        <f>IF(AND($A2="Respuesta A/B/Ambas/Ninguna",COUNTIF($D2:$G2,"?*")&lt;4),IF(COUNTIF($Q2:$Z2,"?*")&gt;0,", ","")&amp;"opciones A-D","")</f>
        <v/>
      </c>
      <c r="AB2">
        <f>IF(AND($A2="Respuesta A/B/Ambas/Ninguna",COUNTIF($H2:$H2,"?*")&gt;0),IF(COUNTIF($Q2:$AA2,"?*")&gt;0,", ","")&amp;"opcion E deshabilitada","")</f>
        <v/>
      </c>
      <c r="AC2">
        <f>IF(AND($A2="Respuesta A/B/Ambas/Ninguna",TRIM($I2)&lt;&gt;"",NOT(OR(LEFT(TRIM($I2),1)="A",LEFT(TRIM($I2),1)="B",LEFT(TRIM($I2),1)="C",LEFT(TRIM($I2),1)="D"))),IF(COUNTIF($Q2:$AB2,"?*")&gt;0,", ","")&amp;"respuesta A-D","")</f>
        <v/>
      </c>
      <c r="AD2">
        <f>IF(AND($A2="Verdadero o Falso Complejas",OR(LEN(TRIM(SUBSTITUTE($D2,"1.","")))=0,LEN(TRIM(SUBSTITUTE($E2,"2.","")))=0,LEN(TRIM(SUBSTITUTE($F2,"3.","")))=0,LEN(TRIM(SUBSTITUTE($G2,"4.","")))=0)),IF(COUNTIF($Q2:$AC2,"?*")&gt;0,", ","")&amp;"incisos 1-4","")</f>
        <v/>
      </c>
      <c r="AE2">
        <f>IF(AND($A2="Verdadero o Falso Complejas",COUNTIF($H2:$H2,"?*")&gt;0),IF(COUNTIF($Q2:$AD2,"?*")&gt;0,", ","")&amp;"opcion E deshabilitada","")</f>
        <v/>
      </c>
      <c r="AF2">
        <f>IF(AND($A2="Verdadero o Falso Complejas",TRIM($I2)&lt;&gt;"",NOT(OR(LEFT(TRIM($I2),1)="A",LEFT(TRIM($I2),1)="B",LEFT(TRIM($I2),1)="C",LEFT(TRIM($I2),1)="D",LEFT(TRIM($I2),1)="E"))),IF(COUNTIF($Q2:$AE2,"?*")&gt;0,", ","")&amp;"respuesta A-E","")</f>
        <v/>
      </c>
      <c r="AG2">
        <f>IF(AND(OR($A2="Selección de la mejor respuesta",$A2="Subítem de caso o problema"),COUNTA($D2:$H2)&lt;5),IF(COUNTIF($Q2:$AF2,"?*")&gt;0,", ","")&amp;"incisos A-E","")</f>
        <v/>
      </c>
      <c r="AH2">
        <f>IF(AND(OR($A2="Selección de la mejor respuesta",$A2="Subítem de caso o problema"),TRIM($I2)&lt;&gt;"",NOT(OR(LEFT(TRIM($I2),1)="A",LEFT(TRIM($I2),1)="B",LEFT(TRIM($I2),1)="C",LEFT(TRIM($I2),1)="D",LEFT(TRIM($I2),1)="E"))),IF(COUNTIF($Q2:$AG2,"?*")&gt;0,", ","")&amp;"respuesta A-E","")</f>
        <v/>
      </c>
      <c r="AI2">
        <f>IF(AND(OR($A2="Ítems agrupados por caso clínico o problema",$A2="Opción de Emparejamiento Ampliado"),COUNTIF($D2:$H2,"?*")&gt;0),IF(COUNTIF($Q2:$AH2,"?*")&gt;0,", ","")&amp;"sin incisos","")</f>
        <v/>
      </c>
      <c r="AJ2">
        <f>IF(AND($A2="Emparejamiento Ampliado",COUNTIF($D2:$H2,"?*")&lt;2),IF(COUNTIF($Q2:$AI2,"?*")&gt;0,", ","")&amp;"minimo 2 claves","")</f>
        <v/>
      </c>
      <c r="AK2">
        <f>IF(AND($A2="Opción de Emparejamiento Ampliado",NOT(OR(LEFT(TRIM($I2),1)="A",LEFT(TRIM($I2),1)="B",LEFT(TRIM($I2),1)="C",LEFT(TRIM($I2),1)="D",LEFT(TRIM($I2),1)="E"))),IF(COUNTIF($Q2:$AJ2,"?*")&gt;0,", ","")&amp;"respuesta A-E","")</f>
        <v/>
      </c>
      <c r="AL2">
        <f>IF(TRIM($K2)="",IF(COUNTIF($M2:$M2,"?*")&gt;0,", ","")&amp;"parcial","")</f>
        <v/>
      </c>
      <c r="AM2">
        <f>IF(AND(TRIM($K2)&lt;&gt;"",TRIM($K2)&lt;&gt;VALIDACIONES!$G$1),IF(COUNTIF($M2:$N2,"?*")&gt;0,", ","")&amp;"parcial distinto a "&amp;VALIDACIONES!$G$1,"")</f>
        <v/>
      </c>
      <c r="AN2">
        <f>IF(AND(OR($A2="Ítems agrupados por caso clínico o problema",$A2="Subítem de caso o problema",$A2="Emparejamiento Ampliado",$A2="Opción de Emparejamiento Ampliado"),TRIM($B2)=""),IF(COUNTIF($M2:$O2,"?*")&gt;0,", ","")&amp;"grupo","")</f>
        <v/>
      </c>
      <c r="AO2" s="357" t="inlineStr">
        <is>
          <t>Fáciles (1)</t>
        </is>
      </c>
      <c r="AP2" s="358">
        <f>COUNTIF($J$2:$J$1001,1)</f>
        <v/>
      </c>
      <c r="AQ2" s="359" t="inlineStr">
        <is>
          <t>Meta: 15</t>
        </is>
      </c>
    </row>
    <row r="3" ht="24" customHeight="1">
      <c r="A3" s="342" t="n"/>
      <c r="B3" s="342" t="n"/>
      <c r="C3" s="342" t="n"/>
      <c r="D3" s="342">
        <f>IF($A3="Verdadero o Falso Simple","Verdadero",IF($A3="Respuesta A/B/Ambas/Ninguna","A. Si la primera es verdadera",IF($A3="Verdadero o Falso Complejas","1. ","")))</f>
        <v/>
      </c>
      <c r="E3" s="342">
        <f>IF($A3="Verdadero o Falso Simple","Falso",IF($A3="Respuesta A/B/Ambas/Ninguna","B. Si la segunda es verdadera",IF($A3="Verdadero o Falso Complejas","2. ","")))</f>
        <v/>
      </c>
      <c r="F3" s="342">
        <f>IF($A3="Respuesta A/B/Ambas/Ninguna","C. Si ambas son verdaderas",IF($A3="Verdadero o Falso Complejas","3. ",""))</f>
        <v/>
      </c>
      <c r="G3" s="342">
        <f>IF($A3="Respuesta A/B/Ambas/Ninguna","D. Si ninguna es verdadera",IF($A3="Verdadero o Falso Complejas","4. ",""))</f>
        <v/>
      </c>
      <c r="H3" s="342">
        <f>IF($A3="Verdadero o Falso Simple","",IF($A3="Respuesta A/B/Ambas/Ninguna","",IF($A3="Verdadero o Falso Complejas","","")))</f>
        <v/>
      </c>
      <c r="I3" s="342" t="n"/>
      <c r="J3" s="342" t="n">
        <v>1</v>
      </c>
      <c r="K3" s="342" t="inlineStr">
        <is>
          <t>2P</t>
        </is>
      </c>
      <c r="L3" s="343">
        <f>IF(TRIM($A3)="","",IF(OR($A3="Selección de la mejor respuesta",$A3="SELECCION_MEJOR_RESPUESTA",$A3="Subítem de caso o problema",$A3="SUBITEM_CASO"),IF(TRIM($C3)="","Completar enunciado",IF(SUMPRODUCT(--(LEN(TRIM($D3:$H3&amp;""))&gt;0))&lt;5,"Completar opciones A-E",IF(AND(TRIM($I3)&lt;&gt;"",OR(LEFT(TRIM($I3),1)="A",LEFT(TRIM($I3),1)="B",LEFT(TRIM($I3),1)="C",LEFT(TRIM($I3),1)="D",LEFT(TRIM($I3),1)="E")),"OK","Completar respuesta correcta A-E"))),IF(TRIM($A3)="","",IF(COUNTIF($Q3:$AJ3,"?*")=0,"OK","Falta revisar: "&amp;$Q3&amp;$R3&amp;$S3&amp;$T3&amp;$U3&amp;$V3&amp;$W3&amp;$X3&amp;$Y3&amp;$Z3&amp;$AA3&amp;$AB3&amp;$AC3&amp;$AD3&amp;$AE3&amp;$AF3&amp;$AG3&amp;$AH3&amp;$AI3&amp;$AJ3))))</f>
        <v/>
      </c>
      <c r="M3" s="341" t="n"/>
      <c r="Q3">
        <f>IF(TRIM($C3)="","enunciado","")</f>
        <v/>
      </c>
      <c r="R3">
        <f>IF(TRIM($K3)="",IF(COUNTIF($Q3:$Q3,"?*")&gt;0,", ","")&amp;"parcial","")</f>
        <v/>
      </c>
      <c r="S3">
        <f>IF(AND(TRIM($K3)&lt;&gt;"",TRIM($K3)&lt;&gt;VALIDACIONES!$G$1),IF(COUNTIF($Q3:$R3,"?*")&gt;0,", ","")&amp;"parcial distinto a "&amp;VALIDACIONES!$G$1,"")</f>
        <v/>
      </c>
      <c r="T3">
        <f>IF(AND(OR($A3="Ítems agrupados por caso clínico o problema",$A3="Subítem de caso o problema",$A3="Emparejamiento Ampliado",$A3="Opción de Emparejamiento Ampliado"),TRIM($B3)=""),IF(COUNTIF($Q3:$S3,"?*")&gt;0,", ","")&amp;"grupo","")</f>
        <v/>
      </c>
      <c r="U3">
        <f>IF(AND(OR($A3="Verdadero o Falso Simple",$A3="Respuesta A/B/Ambas/Ninguna",$A3="Verdadero o Falso Complejas",$A3="Selección de la mejor respuesta",$A3="Subítem de caso o problema",$A3="Opción de Emparejamiento Ampliado"),TRIM($I3)=""),IF(COUNTIF($Q3:$T3,"?*")&gt;0,", ","")&amp;"respuesta_correcta","")</f>
        <v/>
      </c>
      <c r="V3">
        <f>IF(AND(OR($A3="Verdadero o Falso Simple",$A3="Respuesta A/B/Ambas/Ninguna",$A3="Verdadero o Falso Complejas",$A3="Selección de la mejor respuesta",$A3="Subítem de caso o problema",$A3="Opción de Emparejamiento Ampliado"),TRIM($J3)=""),IF(COUNTIF($Q3:$U3,"?*")&gt;0,", ","")&amp;"dificultad","")</f>
        <v/>
      </c>
      <c r="W3">
        <f>IF(AND(OR($A3="Ítems agrupados por caso clínico o problema",$A3="Emparejamiento Ampliado"),TRIM($I3)&lt;&gt;""),IF(COUNTIF($Q3:$V3,"?*")&gt;0,", ","")&amp;"respuesta debe ir vacia","")</f>
        <v/>
      </c>
      <c r="X3">
        <f>IF(AND(OR($A3="Ítems agrupados por caso clínico o problema",$A3="Emparejamiento Ampliado"),TRIM($J3)&lt;&gt;""),IF(COUNTIF($Q3:$W3,"?*")&gt;0,", ","")&amp;"dificultad debe ir vacia","")</f>
        <v/>
      </c>
      <c r="Y3">
        <f>IF(AND($A3="Verdadero o Falso Simple",OR(COUNTIF($D3:$E3,"?*")&lt;2,COUNTIF($F3:$H3,"?*")&gt;0)),IF(COUNTIF($Q3:$X3,"?*")&gt;0,", ","")&amp;"incisos A-B","")</f>
        <v/>
      </c>
      <c r="Z3">
        <f>IF(AND($A3="Verdadero o Falso Simple",TRIM($I3)&lt;&gt;"",NOT(OR(LEFT(TRIM($I3),1)="A",LEFT(TRIM($I3),1)="B"))),IF(COUNTIF($Q3:$Y3,"?*")&gt;0,", ","")&amp;"respuesta A-B","")</f>
        <v/>
      </c>
      <c r="AA3">
        <f>IF(AND($A3="Respuesta A/B/Ambas/Ninguna",COUNTIF($D3:$G3,"?*")&lt;4),IF(COUNTIF($Q3:$Z3,"?*")&gt;0,", ","")&amp;"opciones A-D","")</f>
        <v/>
      </c>
      <c r="AB3">
        <f>IF(AND($A3="Respuesta A/B/Ambas/Ninguna",COUNTIF($H3:$H3,"?*")&gt;0),IF(COUNTIF($Q3:$AA3,"?*")&gt;0,", ","")&amp;"opcion E deshabilitada","")</f>
        <v/>
      </c>
      <c r="AC3">
        <f>IF(AND($A3="Respuesta A/B/Ambas/Ninguna",TRIM($I3)&lt;&gt;"",NOT(OR(LEFT(TRIM($I3),1)="A",LEFT(TRIM($I3),1)="B",LEFT(TRIM($I3),1)="C",LEFT(TRIM($I3),1)="D"))),IF(COUNTIF($Q3:$AB3,"?*")&gt;0,", ","")&amp;"respuesta A-D","")</f>
        <v/>
      </c>
      <c r="AD3">
        <f>IF(AND($A3="Verdadero o Falso Complejas",OR(LEN(TRIM(SUBSTITUTE($D3,"1.","")))=0,LEN(TRIM(SUBSTITUTE($E3,"2.","")))=0,LEN(TRIM(SUBSTITUTE($F3,"3.","")))=0,LEN(TRIM(SUBSTITUTE($G3,"4.","")))=0)),IF(COUNTIF($Q3:$AC3,"?*")&gt;0,", ","")&amp;"incisos 1-4","")</f>
        <v/>
      </c>
      <c r="AE3">
        <f>IF(AND($A3="Verdadero o Falso Complejas",COUNTIF($H3:$H3,"?*")&gt;0),IF(COUNTIF($Q3:$AD3,"?*")&gt;0,", ","")&amp;"opcion E deshabilitada","")</f>
        <v/>
      </c>
      <c r="AF3">
        <f>IF(AND($A3="Verdadero o Falso Complejas",TRIM($I3)&lt;&gt;"",NOT(OR(LEFT(TRIM($I3),1)="A",LEFT(TRIM($I3),1)="B",LEFT(TRIM($I3),1)="C",LEFT(TRIM($I3),1)="D",LEFT(TRIM($I3),1)="E"))),IF(COUNTIF($Q3:$AE3,"?*")&gt;0,", ","")&amp;"respuesta A-E","")</f>
        <v/>
      </c>
      <c r="AG3">
        <f>IF(AND(OR($A3="Selección de la mejor respuesta",$A3="Subítem de caso o problema"),COUNTA($D3:$H3)&lt;5),IF(COUNTIF($Q3:$AF3,"?*")&gt;0,", ","")&amp;"incisos A-E","")</f>
        <v/>
      </c>
      <c r="AH3">
        <f>IF(AND(OR($A3="Selección de la mejor respuesta",$A3="Subítem de caso o problema"),TRIM($I3)&lt;&gt;"",NOT(OR(LEFT(TRIM($I3),1)="A",LEFT(TRIM($I3),1)="B",LEFT(TRIM($I3),1)="C",LEFT(TRIM($I3),1)="D",LEFT(TRIM($I3),1)="E"))),IF(COUNTIF($Q3:$AG3,"?*")&gt;0,", ","")&amp;"respuesta A-E","")</f>
        <v/>
      </c>
      <c r="AI3">
        <f>IF(AND(OR($A3="Ítems agrupados por caso clínico o problema",$A3="Opción de Emparejamiento Ampliado"),COUNTIF($D3:$H3,"?*")&gt;0),IF(COUNTIF($Q3:$AH3,"?*")&gt;0,", ","")&amp;"sin incisos","")</f>
        <v/>
      </c>
      <c r="AJ3">
        <f>IF(AND($A3="Emparejamiento Ampliado",COUNTIF($D3:$H3,"?*")&lt;2),IF(COUNTIF($Q3:$AI3,"?*")&gt;0,", ","")&amp;"minimo 2 claves","")</f>
        <v/>
      </c>
      <c r="AK3">
        <f>IF(AND($A3="Opción de Emparejamiento Ampliado",NOT(OR(LEFT(TRIM($I3),1)="A",LEFT(TRIM($I3),1)="B",LEFT(TRIM($I3),1)="C",LEFT(TRIM($I3),1)="D",LEFT(TRIM($I3),1)="E"))),IF(COUNTIF($Q3:$AJ3,"?*")&gt;0,", ","")&amp;"respuesta A-E","")</f>
        <v/>
      </c>
      <c r="AL3">
        <f>IF(TRIM($K3)="",IF(COUNTIF($M3:$M3,"?*")&gt;0,", ","")&amp;"parcial","")</f>
        <v/>
      </c>
      <c r="AM3">
        <f>IF(AND(TRIM($K3)&lt;&gt;"",TRIM($K3)&lt;&gt;VALIDACIONES!$G$1),IF(COUNTIF($M3:$N3,"?*")&gt;0,", ","")&amp;"parcial distinto a "&amp;VALIDACIONES!$G$1,"")</f>
        <v/>
      </c>
      <c r="AN3">
        <f>IF(AND(OR($A3="Ítems agrupados por caso clínico o problema",$A3="Subítem de caso o problema",$A3="Emparejamiento Ampliado",$A3="Opción de Emparejamiento Ampliado"),TRIM($B3)=""),IF(COUNTIF($M3:$O3,"?*")&gt;0,", ","")&amp;"grupo","")</f>
        <v/>
      </c>
      <c r="AO3" s="360" t="inlineStr">
        <is>
          <t>Medias (2)</t>
        </is>
      </c>
      <c r="AP3" s="361">
        <f>COUNTIF($J$2:$J$1001,2)</f>
        <v/>
      </c>
      <c r="AQ3" s="362" t="inlineStr">
        <is>
          <t>Meta: 30</t>
        </is>
      </c>
    </row>
    <row r="4" ht="24" customHeight="1">
      <c r="A4" s="342" t="n"/>
      <c r="B4" s="342" t="n"/>
      <c r="C4" s="342" t="n"/>
      <c r="D4" s="342">
        <f>IF($A4="Verdadero o Falso Simple","Verdadero",IF($A4="Respuesta A/B/Ambas/Ninguna","A. Si la primera es verdadera",IF($A4="Verdadero o Falso Complejas","1. ","")))</f>
        <v/>
      </c>
      <c r="E4" s="342">
        <f>IF($A4="Verdadero o Falso Simple","Falso",IF($A4="Respuesta A/B/Ambas/Ninguna","B. Si la segunda es verdadera",IF($A4="Verdadero o Falso Complejas","2. ","")))</f>
        <v/>
      </c>
      <c r="F4" s="342">
        <f>IF($A4="Respuesta A/B/Ambas/Ninguna","C. Si ambas son verdaderas",IF($A4="Verdadero o Falso Complejas","3. ",""))</f>
        <v/>
      </c>
      <c r="G4" s="342">
        <f>IF($A4="Respuesta A/B/Ambas/Ninguna","D. Si ninguna es verdadera",IF($A4="Verdadero o Falso Complejas","4. ",""))</f>
        <v/>
      </c>
      <c r="H4" s="342">
        <f>IF($A4="Verdadero o Falso Simple","",IF($A4="Respuesta A/B/Ambas/Ninguna","",IF($A4="Verdadero o Falso Complejas","","")))</f>
        <v/>
      </c>
      <c r="I4" s="342" t="n"/>
      <c r="J4" s="342" t="n">
        <v>1</v>
      </c>
      <c r="K4" s="342" t="inlineStr">
        <is>
          <t>2P</t>
        </is>
      </c>
      <c r="L4" s="343">
        <f>IF(TRIM($A4)="","",IF(OR($A4="Selección de la mejor respuesta",$A4="SELECCION_MEJOR_RESPUESTA",$A4="Subítem de caso o problema",$A4="SUBITEM_CASO"),IF(TRIM($C4)="","Completar enunciado",IF(SUMPRODUCT(--(LEN(TRIM($D4:$H4&amp;""))&gt;0))&lt;5,"Completar opciones A-E",IF(AND(TRIM($I4)&lt;&gt;"",OR(LEFT(TRIM($I4),1)="A",LEFT(TRIM($I4),1)="B",LEFT(TRIM($I4),1)="C",LEFT(TRIM($I4),1)="D",LEFT(TRIM($I4),1)="E")),"OK","Completar respuesta correcta A-E"))),IF(TRIM($A4)="","",IF(COUNTIF($Q4:$AJ4,"?*")=0,"OK","Falta revisar: "&amp;$Q4&amp;$R4&amp;$S4&amp;$T4&amp;$U4&amp;$V4&amp;$W4&amp;$X4&amp;$Y4&amp;$Z4&amp;$AA4&amp;$AB4&amp;$AC4&amp;$AD4&amp;$AE4&amp;$AF4&amp;$AG4&amp;$AH4&amp;$AI4&amp;$AJ4))))</f>
        <v/>
      </c>
      <c r="M4" s="341" t="n"/>
      <c r="Q4">
        <f>IF(TRIM($C4)="","enunciado","")</f>
        <v/>
      </c>
      <c r="R4">
        <f>IF(TRIM($K4)="",IF(COUNTIF($Q4:$Q4,"?*")&gt;0,", ","")&amp;"parcial","")</f>
        <v/>
      </c>
      <c r="S4">
        <f>IF(AND(TRIM($K4)&lt;&gt;"",TRIM($K4)&lt;&gt;VALIDACIONES!$G$1),IF(COUNTIF($Q4:$R4,"?*")&gt;0,", ","")&amp;"parcial distinto a "&amp;VALIDACIONES!$G$1,"")</f>
        <v/>
      </c>
      <c r="T4">
        <f>IF(AND(OR($A4="Ítems agrupados por caso clínico o problema",$A4="Subítem de caso o problema",$A4="Emparejamiento Ampliado",$A4="Opción de Emparejamiento Ampliado"),TRIM($B4)=""),IF(COUNTIF($Q4:$S4,"?*")&gt;0,", ","")&amp;"grupo","")</f>
        <v/>
      </c>
      <c r="U4">
        <f>IF(AND(OR($A4="Verdadero o Falso Simple",$A4="Respuesta A/B/Ambas/Ninguna",$A4="Verdadero o Falso Complejas",$A4="Selección de la mejor respuesta",$A4="Subítem de caso o problema",$A4="Opción de Emparejamiento Ampliado"),TRIM($I4)=""),IF(COUNTIF($Q4:$T4,"?*")&gt;0,", ","")&amp;"respuesta_correcta","")</f>
        <v/>
      </c>
      <c r="V4">
        <f>IF(AND(OR($A4="Verdadero o Falso Simple",$A4="Respuesta A/B/Ambas/Ninguna",$A4="Verdadero o Falso Complejas",$A4="Selección de la mejor respuesta",$A4="Subítem de caso o problema",$A4="Opción de Emparejamiento Ampliado"),TRIM($J4)=""),IF(COUNTIF($Q4:$U4,"?*")&gt;0,", ","")&amp;"dificultad","")</f>
        <v/>
      </c>
      <c r="W4">
        <f>IF(AND(OR($A4="Ítems agrupados por caso clínico o problema",$A4="Emparejamiento Ampliado"),TRIM($I4)&lt;&gt;""),IF(COUNTIF($Q4:$V4,"?*")&gt;0,", ","")&amp;"respuesta debe ir vacia","")</f>
        <v/>
      </c>
      <c r="X4">
        <f>IF(AND(OR($A4="Ítems agrupados por caso clínico o problema",$A4="Emparejamiento Ampliado"),TRIM($J4)&lt;&gt;""),IF(COUNTIF($Q4:$W4,"?*")&gt;0,", ","")&amp;"dificultad debe ir vacia","")</f>
        <v/>
      </c>
      <c r="Y4">
        <f>IF(AND($A4="Verdadero o Falso Simple",OR(COUNTIF($D4:$E4,"?*")&lt;2,COUNTIF($F4:$H4,"?*")&gt;0)),IF(COUNTIF($Q4:$X4,"?*")&gt;0,", ","")&amp;"incisos A-B","")</f>
        <v/>
      </c>
      <c r="Z4">
        <f>IF(AND($A4="Verdadero o Falso Simple",TRIM($I4)&lt;&gt;"",NOT(OR(LEFT(TRIM($I4),1)="A",LEFT(TRIM($I4),1)="B"))),IF(COUNTIF($Q4:$Y4,"?*")&gt;0,", ","")&amp;"respuesta A-B","")</f>
        <v/>
      </c>
      <c r="AA4">
        <f>IF(AND($A4="Respuesta A/B/Ambas/Ninguna",COUNTIF($D4:$G4,"?*")&lt;4),IF(COUNTIF($Q4:$Z4,"?*")&gt;0,", ","")&amp;"opciones A-D","")</f>
        <v/>
      </c>
      <c r="AB4">
        <f>IF(AND($A4="Respuesta A/B/Ambas/Ninguna",COUNTIF($H4:$H4,"?*")&gt;0),IF(COUNTIF($Q4:$AA4,"?*")&gt;0,", ","")&amp;"opcion E deshabilitada","")</f>
        <v/>
      </c>
      <c r="AC4">
        <f>IF(AND($A4="Respuesta A/B/Ambas/Ninguna",TRIM($I4)&lt;&gt;"",NOT(OR(LEFT(TRIM($I4),1)="A",LEFT(TRIM($I4),1)="B",LEFT(TRIM($I4),1)="C",LEFT(TRIM($I4),1)="D"))),IF(COUNTIF($Q4:$AB4,"?*")&gt;0,", ","")&amp;"respuesta A-D","")</f>
        <v/>
      </c>
      <c r="AD4">
        <f>IF(AND($A4="Verdadero o Falso Complejas",OR(LEN(TRIM(SUBSTITUTE($D4,"1.","")))=0,LEN(TRIM(SUBSTITUTE($E4,"2.","")))=0,LEN(TRIM(SUBSTITUTE($F4,"3.","")))=0,LEN(TRIM(SUBSTITUTE($G4,"4.","")))=0)),IF(COUNTIF($Q4:$AC4,"?*")&gt;0,", ","")&amp;"incisos 1-4","")</f>
        <v/>
      </c>
      <c r="AE4">
        <f>IF(AND($A4="Verdadero o Falso Complejas",COUNTIF($H4:$H4,"?*")&gt;0),IF(COUNTIF($Q4:$AD4,"?*")&gt;0,", ","")&amp;"opcion E deshabilitada","")</f>
        <v/>
      </c>
      <c r="AF4">
        <f>IF(AND($A4="Verdadero o Falso Complejas",TRIM($I4)&lt;&gt;"",NOT(OR(LEFT(TRIM($I4),1)="A",LEFT(TRIM($I4),1)="B",LEFT(TRIM($I4),1)="C",LEFT(TRIM($I4),1)="D",LEFT(TRIM($I4),1)="E"))),IF(COUNTIF($Q4:$AE4,"?*")&gt;0,", ","")&amp;"respuesta A-E","")</f>
        <v/>
      </c>
      <c r="AG4">
        <f>IF(AND(OR($A4="Selección de la mejor respuesta",$A4="Subítem de caso o problema"),COUNTA($D4:$H4)&lt;5),IF(COUNTIF($Q4:$AF4,"?*")&gt;0,", ","")&amp;"incisos A-E","")</f>
        <v/>
      </c>
      <c r="AH4">
        <f>IF(AND(OR($A4="Selección de la mejor respuesta",$A4="Subítem de caso o problema"),TRIM($I4)&lt;&gt;"",NOT(OR(LEFT(TRIM($I4),1)="A",LEFT(TRIM($I4),1)="B",LEFT(TRIM($I4),1)="C",LEFT(TRIM($I4),1)="D",LEFT(TRIM($I4),1)="E"))),IF(COUNTIF($Q4:$AG4,"?*")&gt;0,", ","")&amp;"respuesta A-E","")</f>
        <v/>
      </c>
      <c r="AI4">
        <f>IF(AND(OR($A4="Ítems agrupados por caso clínico o problema",$A4="Opción de Emparejamiento Ampliado"),COUNTIF($D4:$H4,"?*")&gt;0),IF(COUNTIF($Q4:$AH4,"?*")&gt;0,", ","")&amp;"sin incisos","")</f>
        <v/>
      </c>
      <c r="AJ4">
        <f>IF(AND($A4="Emparejamiento Ampliado",COUNTIF($D4:$H4,"?*")&lt;2),IF(COUNTIF($Q4:$AI4,"?*")&gt;0,", ","")&amp;"minimo 2 claves","")</f>
        <v/>
      </c>
      <c r="AK4">
        <f>IF(AND($A4="Opción de Emparejamiento Ampliado",NOT(OR(LEFT(TRIM($I4),1)="A",LEFT(TRIM($I4),1)="B",LEFT(TRIM($I4),1)="C",LEFT(TRIM($I4),1)="D",LEFT(TRIM($I4),1)="E"))),IF(COUNTIF($Q4:$AJ4,"?*")&gt;0,", ","")&amp;"respuesta A-E","")</f>
        <v/>
      </c>
      <c r="AL4">
        <f>IF(TRIM($K4)="",IF(COUNTIF($M4:$M4,"?*")&gt;0,", ","")&amp;"parcial","")</f>
        <v/>
      </c>
      <c r="AM4">
        <f>IF(AND(TRIM($K4)&lt;&gt;"",TRIM($K4)&lt;&gt;VALIDACIONES!$G$1),IF(COUNTIF($M4:$N4,"?*")&gt;0,", ","")&amp;"parcial distinto a "&amp;VALIDACIONES!$G$1,"")</f>
        <v/>
      </c>
      <c r="AN4">
        <f>IF(AND(OR($A4="Ítems agrupados por caso clínico o problema",$A4="Subítem de caso o problema",$A4="Emparejamiento Ampliado",$A4="Opción de Emparejamiento Ampliado"),TRIM($B4)=""),IF(COUNTIF($M4:$O4,"?*")&gt;0,", ","")&amp;"grupo","")</f>
        <v/>
      </c>
      <c r="AO4" s="360" t="inlineStr">
        <is>
          <t>Difíciles (3)</t>
        </is>
      </c>
      <c r="AP4" s="361">
        <f>COUNTIF($J$2:$J$1001,3)</f>
        <v/>
      </c>
      <c r="AQ4" s="362" t="inlineStr">
        <is>
          <t>Meta: 15</t>
        </is>
      </c>
    </row>
    <row r="5" ht="24" customHeight="1">
      <c r="A5" s="342" t="n"/>
      <c r="B5" s="342" t="n"/>
      <c r="C5" s="342" t="n"/>
      <c r="D5" s="342">
        <f>IF($A5="Verdadero o Falso Simple","Verdadero",IF($A5="Respuesta A/B/Ambas/Ninguna","A. Si la primera es verdadera",IF($A5="Verdadero o Falso Complejas","1. ","")))</f>
        <v/>
      </c>
      <c r="E5" s="342">
        <f>IF($A5="Verdadero o Falso Simple","Falso",IF($A5="Respuesta A/B/Ambas/Ninguna","B. Si la segunda es verdadera",IF($A5="Verdadero o Falso Complejas","2. ","")))</f>
        <v/>
      </c>
      <c r="F5" s="342">
        <f>IF($A5="Respuesta A/B/Ambas/Ninguna","C. Si ambas son verdaderas",IF($A5="Verdadero o Falso Complejas","3. ",""))</f>
        <v/>
      </c>
      <c r="G5" s="342">
        <f>IF($A5="Respuesta A/B/Ambas/Ninguna","D. Si ninguna es verdadera",IF($A5="Verdadero o Falso Complejas","4. ",""))</f>
        <v/>
      </c>
      <c r="H5" s="342">
        <f>IF($A5="Verdadero o Falso Simple","",IF($A5="Respuesta A/B/Ambas/Ninguna","",IF($A5="Verdadero o Falso Complejas","","")))</f>
        <v/>
      </c>
      <c r="I5" s="342" t="n"/>
      <c r="J5" s="342" t="n">
        <v>1</v>
      </c>
      <c r="K5" s="342" t="inlineStr">
        <is>
          <t>2P</t>
        </is>
      </c>
      <c r="L5" s="343">
        <f>IF(TRIM($A5)="","",IF(OR($A5="Selección de la mejor respuesta",$A5="SELECCION_MEJOR_RESPUESTA",$A5="Subítem de caso o problema",$A5="SUBITEM_CASO"),IF(TRIM($C5)="","Completar enunciado",IF(SUMPRODUCT(--(LEN(TRIM($D5:$H5&amp;""))&gt;0))&lt;5,"Completar opciones A-E",IF(AND(TRIM($I5)&lt;&gt;"",OR(LEFT(TRIM($I5),1)="A",LEFT(TRIM($I5),1)="B",LEFT(TRIM($I5),1)="C",LEFT(TRIM($I5),1)="D",LEFT(TRIM($I5),1)="E")),"OK","Completar respuesta correcta A-E"))),IF(TRIM($A5)="","",IF(COUNTIF($Q5:$AJ5,"?*")=0,"OK","Falta revisar: "&amp;$Q5&amp;$R5&amp;$S5&amp;$T5&amp;$U5&amp;$V5&amp;$W5&amp;$X5&amp;$Y5&amp;$Z5&amp;$AA5&amp;$AB5&amp;$AC5&amp;$AD5&amp;$AE5&amp;$AF5&amp;$AG5&amp;$AH5&amp;$AI5&amp;$AJ5))))</f>
        <v/>
      </c>
      <c r="M5" s="341" t="n"/>
      <c r="Q5">
        <f>IF(TRIM($C5)="","enunciado","")</f>
        <v/>
      </c>
      <c r="R5">
        <f>IF(TRIM($K5)="",IF(COUNTIF($Q5:$Q5,"?*")&gt;0,", ","")&amp;"parcial","")</f>
        <v/>
      </c>
      <c r="S5">
        <f>IF(AND(TRIM($K5)&lt;&gt;"",TRIM($K5)&lt;&gt;VALIDACIONES!$G$1),IF(COUNTIF($Q5:$R5,"?*")&gt;0,", ","")&amp;"parcial distinto a "&amp;VALIDACIONES!$G$1,"")</f>
        <v/>
      </c>
      <c r="T5">
        <f>IF(AND(OR($A5="Ítems agrupados por caso clínico o problema",$A5="Subítem de caso o problema",$A5="Emparejamiento Ampliado",$A5="Opción de Emparejamiento Ampliado"),TRIM($B5)=""),IF(COUNTIF($Q5:$S5,"?*")&gt;0,", ","")&amp;"grupo","")</f>
        <v/>
      </c>
      <c r="U5">
        <f>IF(AND(OR($A5="Verdadero o Falso Simple",$A5="Respuesta A/B/Ambas/Ninguna",$A5="Verdadero o Falso Complejas",$A5="Selección de la mejor respuesta",$A5="Subítem de caso o problema",$A5="Opción de Emparejamiento Ampliado"),TRIM($I5)=""),IF(COUNTIF($Q5:$T5,"?*")&gt;0,", ","")&amp;"respuesta_correcta","")</f>
        <v/>
      </c>
      <c r="V5">
        <f>IF(AND(OR($A5="Verdadero o Falso Simple",$A5="Respuesta A/B/Ambas/Ninguna",$A5="Verdadero o Falso Complejas",$A5="Selección de la mejor respuesta",$A5="Subítem de caso o problema",$A5="Opción de Emparejamiento Ampliado"),TRIM($J5)=""),IF(COUNTIF($Q5:$U5,"?*")&gt;0,", ","")&amp;"dificultad","")</f>
        <v/>
      </c>
      <c r="W5">
        <f>IF(AND(OR($A5="Ítems agrupados por caso clínico o problema",$A5="Emparejamiento Ampliado"),TRIM($I5)&lt;&gt;""),IF(COUNTIF($Q5:$V5,"?*")&gt;0,", ","")&amp;"respuesta debe ir vacia","")</f>
        <v/>
      </c>
      <c r="X5">
        <f>IF(AND(OR($A5="Ítems agrupados por caso clínico o problema",$A5="Emparejamiento Ampliado"),TRIM($J5)&lt;&gt;""),IF(COUNTIF($Q5:$W5,"?*")&gt;0,", ","")&amp;"dificultad debe ir vacia","")</f>
        <v/>
      </c>
      <c r="Y5">
        <f>IF(AND($A5="Verdadero o Falso Simple",OR(COUNTIF($D5:$E5,"?*")&lt;2,COUNTIF($F5:$H5,"?*")&gt;0)),IF(COUNTIF($Q5:$X5,"?*")&gt;0,", ","")&amp;"incisos A-B","")</f>
        <v/>
      </c>
      <c r="Z5">
        <f>IF(AND($A5="Verdadero o Falso Simple",TRIM($I5)&lt;&gt;"",NOT(OR(LEFT(TRIM($I5),1)="A",LEFT(TRIM($I5),1)="B"))),IF(COUNTIF($Q5:$Y5,"?*")&gt;0,", ","")&amp;"respuesta A-B","")</f>
        <v/>
      </c>
      <c r="AA5">
        <f>IF(AND($A5="Respuesta A/B/Ambas/Ninguna",COUNTIF($D5:$G5,"?*")&lt;4),IF(COUNTIF($Q5:$Z5,"?*")&gt;0,", ","")&amp;"opciones A-D","")</f>
        <v/>
      </c>
      <c r="AB5">
        <f>IF(AND($A5="Respuesta A/B/Ambas/Ninguna",COUNTIF($H5:$H5,"?*")&gt;0),IF(COUNTIF($Q5:$AA5,"?*")&gt;0,", ","")&amp;"opcion E deshabilitada","")</f>
        <v/>
      </c>
      <c r="AC5">
        <f>IF(AND($A5="Respuesta A/B/Ambas/Ninguna",TRIM($I5)&lt;&gt;"",NOT(OR(LEFT(TRIM($I5),1)="A",LEFT(TRIM($I5),1)="B",LEFT(TRIM($I5),1)="C",LEFT(TRIM($I5),1)="D"))),IF(COUNTIF($Q5:$AB5,"?*")&gt;0,", ","")&amp;"respuesta A-D","")</f>
        <v/>
      </c>
      <c r="AD5">
        <f>IF(AND($A5="Verdadero o Falso Complejas",OR(LEN(TRIM(SUBSTITUTE($D5,"1.","")))=0,LEN(TRIM(SUBSTITUTE($E5,"2.","")))=0,LEN(TRIM(SUBSTITUTE($F5,"3.","")))=0,LEN(TRIM(SUBSTITUTE($G5,"4.","")))=0)),IF(COUNTIF($Q5:$AC5,"?*")&gt;0,", ","")&amp;"incisos 1-4","")</f>
        <v/>
      </c>
      <c r="AE5">
        <f>IF(AND($A5="Verdadero o Falso Complejas",COUNTIF($H5:$H5,"?*")&gt;0),IF(COUNTIF($Q5:$AD5,"?*")&gt;0,", ","")&amp;"opcion E deshabilitada","")</f>
        <v/>
      </c>
      <c r="AF5">
        <f>IF(AND($A5="Verdadero o Falso Complejas",TRIM($I5)&lt;&gt;"",NOT(OR(LEFT(TRIM($I5),1)="A",LEFT(TRIM($I5),1)="B",LEFT(TRIM($I5),1)="C",LEFT(TRIM($I5),1)="D",LEFT(TRIM($I5),1)="E"))),IF(COUNTIF($Q5:$AE5,"?*")&gt;0,", ","")&amp;"respuesta A-E","")</f>
        <v/>
      </c>
      <c r="AG5">
        <f>IF(AND(OR($A5="Selección de la mejor respuesta",$A5="Subítem de caso o problema"),COUNTA($D5:$H5)&lt;5),IF(COUNTIF($Q5:$AF5,"?*")&gt;0,", ","")&amp;"incisos A-E","")</f>
        <v/>
      </c>
      <c r="AH5">
        <f>IF(AND(OR($A5="Selección de la mejor respuesta",$A5="Subítem de caso o problema"),TRIM($I5)&lt;&gt;"",NOT(OR(LEFT(TRIM($I5),1)="A",LEFT(TRIM($I5),1)="B",LEFT(TRIM($I5),1)="C",LEFT(TRIM($I5),1)="D",LEFT(TRIM($I5),1)="E"))),IF(COUNTIF($Q5:$AG5,"?*")&gt;0,", ","")&amp;"respuesta A-E","")</f>
        <v/>
      </c>
      <c r="AI5">
        <f>IF(AND(OR($A5="Ítems agrupados por caso clínico o problema",$A5="Opción de Emparejamiento Ampliado"),COUNTIF($D5:$H5,"?*")&gt;0),IF(COUNTIF($Q5:$AH5,"?*")&gt;0,", ","")&amp;"sin incisos","")</f>
        <v/>
      </c>
      <c r="AJ5">
        <f>IF(AND($A5="Emparejamiento Ampliado",COUNTIF($D5:$H5,"?*")&lt;2),IF(COUNTIF($Q5:$AI5,"?*")&gt;0,", ","")&amp;"minimo 2 claves","")</f>
        <v/>
      </c>
      <c r="AK5">
        <f>IF(AND($A5="Opción de Emparejamiento Ampliado",NOT(OR(LEFT(TRIM($I5),1)="A",LEFT(TRIM($I5),1)="B",LEFT(TRIM($I5),1)="C",LEFT(TRIM($I5),1)="D",LEFT(TRIM($I5),1)="E"))),IF(COUNTIF($Q5:$AJ5,"?*")&gt;0,", ","")&amp;"respuesta A-E","")</f>
        <v/>
      </c>
      <c r="AL5">
        <f>IF(TRIM($K5)="",IF(COUNTIF($M5:$M5,"?*")&gt;0,", ","")&amp;"parcial","")</f>
        <v/>
      </c>
      <c r="AM5">
        <f>IF(AND(TRIM($K5)&lt;&gt;"",TRIM($K5)&lt;&gt;VALIDACIONES!$G$1),IF(COUNTIF($M5:$N5,"?*")&gt;0,", ","")&amp;"parcial distinto a "&amp;VALIDACIONES!$G$1,"")</f>
        <v/>
      </c>
      <c r="AN5">
        <f>IF(AND(OR($A5="Ítems agrupados por caso clínico o problema",$A5="Subítem de caso o problema",$A5="Emparejamiento Ampliado",$A5="Opción de Emparejamiento Ampliado"),TRIM($B5)=""),IF(COUNTIF($M5:$O5,"?*")&gt;0,", ","")&amp;"grupo","")</f>
        <v/>
      </c>
      <c r="AO5" s="360" t="inlineStr">
        <is>
          <t>Total Dificultad</t>
        </is>
      </c>
      <c r="AP5" s="361">
        <f>SUM(AP2:AP4)</f>
        <v/>
      </c>
      <c r="AQ5" s="362" t="inlineStr">
        <is>
          <t>Meta: 60</t>
        </is>
      </c>
    </row>
    <row r="6" ht="24" customHeight="1">
      <c r="A6" s="342" t="n"/>
      <c r="B6" s="342" t="n"/>
      <c r="C6" s="342" t="n"/>
      <c r="D6" s="342">
        <f>IF($A6="Verdadero o Falso Simple","Verdadero",IF($A6="Respuesta A/B/Ambas/Ninguna","A. Si la primera es verdadera",IF($A6="Verdadero o Falso Complejas","1. ","")))</f>
        <v/>
      </c>
      <c r="E6" s="342">
        <f>IF($A6="Verdadero o Falso Simple","Falso",IF($A6="Respuesta A/B/Ambas/Ninguna","B. Si la segunda es verdadera",IF($A6="Verdadero o Falso Complejas","2. ","")))</f>
        <v/>
      </c>
      <c r="F6" s="342">
        <f>IF($A6="Respuesta A/B/Ambas/Ninguna","C. Si ambas son verdaderas",IF($A6="Verdadero o Falso Complejas","3. ",""))</f>
        <v/>
      </c>
      <c r="G6" s="342">
        <f>IF($A6="Respuesta A/B/Ambas/Ninguna","D. Si ninguna es verdadera",IF($A6="Verdadero o Falso Complejas","4. ",""))</f>
        <v/>
      </c>
      <c r="H6" s="342">
        <f>IF($A6="Verdadero o Falso Simple","",IF($A6="Respuesta A/B/Ambas/Ninguna","",IF($A6="Verdadero o Falso Complejas","","")))</f>
        <v/>
      </c>
      <c r="I6" s="342" t="n"/>
      <c r="J6" s="342" t="n">
        <v>1</v>
      </c>
      <c r="K6" s="342" t="inlineStr">
        <is>
          <t>2P</t>
        </is>
      </c>
      <c r="L6" s="343">
        <f>IF(TRIM($A6)="","",IF(OR($A6="Selección de la mejor respuesta",$A6="SELECCION_MEJOR_RESPUESTA",$A6="Subítem de caso o problema",$A6="SUBITEM_CASO"),IF(TRIM($C6)="","Completar enunciado",IF(SUMPRODUCT(--(LEN(TRIM($D6:$H6&amp;""))&gt;0))&lt;5,"Completar opciones A-E",IF(AND(TRIM($I6)&lt;&gt;"",OR(LEFT(TRIM($I6),1)="A",LEFT(TRIM($I6),1)="B",LEFT(TRIM($I6),1)="C",LEFT(TRIM($I6),1)="D",LEFT(TRIM($I6),1)="E")),"OK","Completar respuesta correcta A-E"))),IF(TRIM($A6)="","",IF(COUNTIF($Q6:$AJ6,"?*")=0,"OK","Falta revisar: "&amp;$Q6&amp;$R6&amp;$S6&amp;$T6&amp;$U6&amp;$V6&amp;$W6&amp;$X6&amp;$Y6&amp;$Z6&amp;$AA6&amp;$AB6&amp;$AC6&amp;$AD6&amp;$AE6&amp;$AF6&amp;$AG6&amp;$AH6&amp;$AI6&amp;$AJ6))))</f>
        <v/>
      </c>
      <c r="M6" s="341" t="n"/>
      <c r="Q6">
        <f>IF(TRIM($C6)="","enunciado","")</f>
        <v/>
      </c>
      <c r="R6">
        <f>IF(TRIM($K6)="",IF(COUNTIF($Q6:$Q6,"?*")&gt;0,", ","")&amp;"parcial","")</f>
        <v/>
      </c>
      <c r="S6">
        <f>IF(AND(TRIM($K6)&lt;&gt;"",TRIM($K6)&lt;&gt;VALIDACIONES!$G$1),IF(COUNTIF($Q6:$R6,"?*")&gt;0,", ","")&amp;"parcial distinto a "&amp;VALIDACIONES!$G$1,"")</f>
        <v/>
      </c>
      <c r="T6">
        <f>IF(AND(OR($A6="Ítems agrupados por caso clínico o problema",$A6="Subítem de caso o problema",$A6="Emparejamiento Ampliado",$A6="Opción de Emparejamiento Ampliado"),TRIM($B6)=""),IF(COUNTIF($Q6:$S6,"?*")&gt;0,", ","")&amp;"grupo","")</f>
        <v/>
      </c>
      <c r="U6">
        <f>IF(AND(OR($A6="Verdadero o Falso Simple",$A6="Respuesta A/B/Ambas/Ninguna",$A6="Verdadero o Falso Complejas",$A6="Selección de la mejor respuesta",$A6="Subítem de caso o problema",$A6="Opción de Emparejamiento Ampliado"),TRIM($I6)=""),IF(COUNTIF($Q6:$T6,"?*")&gt;0,", ","")&amp;"respuesta_correcta","")</f>
        <v/>
      </c>
      <c r="V6">
        <f>IF(AND(OR($A6="Verdadero o Falso Simple",$A6="Respuesta A/B/Ambas/Ninguna",$A6="Verdadero o Falso Complejas",$A6="Selección de la mejor respuesta",$A6="Subítem de caso o problema",$A6="Opción de Emparejamiento Ampliado"),TRIM($J6)=""),IF(COUNTIF($Q6:$U6,"?*")&gt;0,", ","")&amp;"dificultad","")</f>
        <v/>
      </c>
      <c r="W6">
        <f>IF(AND(OR($A6="Ítems agrupados por caso clínico o problema",$A6="Emparejamiento Ampliado"),TRIM($I6)&lt;&gt;""),IF(COUNTIF($Q6:$V6,"?*")&gt;0,", ","")&amp;"respuesta debe ir vacia","")</f>
        <v/>
      </c>
      <c r="X6">
        <f>IF(AND(OR($A6="Ítems agrupados por caso clínico o problema",$A6="Emparejamiento Ampliado"),TRIM($J6)&lt;&gt;""),IF(COUNTIF($Q6:$W6,"?*")&gt;0,", ","")&amp;"dificultad debe ir vacia","")</f>
        <v/>
      </c>
      <c r="Y6">
        <f>IF(AND($A6="Verdadero o Falso Simple",OR(COUNTIF($D6:$E6,"?*")&lt;2,COUNTIF($F6:$H6,"?*")&gt;0)),IF(COUNTIF($Q6:$X6,"?*")&gt;0,", ","")&amp;"incisos A-B","")</f>
        <v/>
      </c>
      <c r="Z6">
        <f>IF(AND($A6="Verdadero o Falso Simple",TRIM($I6)&lt;&gt;"",NOT(OR(LEFT(TRIM($I6),1)="A",LEFT(TRIM($I6),1)="B"))),IF(COUNTIF($Q6:$Y6,"?*")&gt;0,", ","")&amp;"respuesta A-B","")</f>
        <v/>
      </c>
      <c r="AA6">
        <f>IF(AND($A6="Respuesta A/B/Ambas/Ninguna",COUNTIF($D6:$G6,"?*")&lt;4),IF(COUNTIF($Q6:$Z6,"?*")&gt;0,", ","")&amp;"opciones A-D","")</f>
        <v/>
      </c>
      <c r="AB6">
        <f>IF(AND($A6="Respuesta A/B/Ambas/Ninguna",COUNTIF($H6:$H6,"?*")&gt;0),IF(COUNTIF($Q6:$AA6,"?*")&gt;0,", ","")&amp;"opcion E deshabilitada","")</f>
        <v/>
      </c>
      <c r="AC6">
        <f>IF(AND($A6="Respuesta A/B/Ambas/Ninguna",TRIM($I6)&lt;&gt;"",NOT(OR(LEFT(TRIM($I6),1)="A",LEFT(TRIM($I6),1)="B",LEFT(TRIM($I6),1)="C",LEFT(TRIM($I6),1)="D"))),IF(COUNTIF($Q6:$AB6,"?*")&gt;0,", ","")&amp;"respuesta A-D","")</f>
        <v/>
      </c>
      <c r="AD6">
        <f>IF(AND($A6="Verdadero o Falso Complejas",OR(LEN(TRIM(SUBSTITUTE($D6,"1.","")))=0,LEN(TRIM(SUBSTITUTE($E6,"2.","")))=0,LEN(TRIM(SUBSTITUTE($F6,"3.","")))=0,LEN(TRIM(SUBSTITUTE($G6,"4.","")))=0)),IF(COUNTIF($Q6:$AC6,"?*")&gt;0,", ","")&amp;"incisos 1-4","")</f>
        <v/>
      </c>
      <c r="AE6">
        <f>IF(AND($A6="Verdadero o Falso Complejas",COUNTIF($H6:$H6,"?*")&gt;0),IF(COUNTIF($Q6:$AD6,"?*")&gt;0,", ","")&amp;"opcion E deshabilitada","")</f>
        <v/>
      </c>
      <c r="AF6">
        <f>IF(AND($A6="Verdadero o Falso Complejas",TRIM($I6)&lt;&gt;"",NOT(OR(LEFT(TRIM($I6),1)="A",LEFT(TRIM($I6),1)="B",LEFT(TRIM($I6),1)="C",LEFT(TRIM($I6),1)="D",LEFT(TRIM($I6),1)="E"))),IF(COUNTIF($Q6:$AE6,"?*")&gt;0,", ","")&amp;"respuesta A-E","")</f>
        <v/>
      </c>
      <c r="AG6">
        <f>IF(AND(OR($A6="Selección de la mejor respuesta",$A6="Subítem de caso o problema"),COUNTA($D6:$H6)&lt;5),IF(COUNTIF($Q6:$AF6,"?*")&gt;0,", ","")&amp;"incisos A-E","")</f>
        <v/>
      </c>
      <c r="AH6">
        <f>IF(AND(OR($A6="Selección de la mejor respuesta",$A6="Subítem de caso o problema"),TRIM($I6)&lt;&gt;"",NOT(OR(LEFT(TRIM($I6),1)="A",LEFT(TRIM($I6),1)="B",LEFT(TRIM($I6),1)="C",LEFT(TRIM($I6),1)="D",LEFT(TRIM($I6),1)="E"))),IF(COUNTIF($Q6:$AG6,"?*")&gt;0,", ","")&amp;"respuesta A-E","")</f>
        <v/>
      </c>
      <c r="AI6">
        <f>IF(AND(OR($A6="Ítems agrupados por caso clínico o problema",$A6="Opción de Emparejamiento Ampliado"),COUNTIF($D6:$H6,"?*")&gt;0),IF(COUNTIF($Q6:$AH6,"?*")&gt;0,", ","")&amp;"sin incisos","")</f>
        <v/>
      </c>
      <c r="AJ6">
        <f>IF(AND($A6="Emparejamiento Ampliado",COUNTIF($D6:$H6,"?*")&lt;2),IF(COUNTIF($Q6:$AI6,"?*")&gt;0,", ","")&amp;"minimo 2 claves","")</f>
        <v/>
      </c>
      <c r="AK6">
        <f>IF(AND($A6="Opción de Emparejamiento Ampliado",NOT(OR(LEFT(TRIM($I6),1)="A",LEFT(TRIM($I6),1)="B",LEFT(TRIM($I6),1)="C",LEFT(TRIM($I6),1)="D",LEFT(TRIM($I6),1)="E"))),IF(COUNTIF($Q6:$AJ6,"?*")&gt;0,", ","")&amp;"respuesta A-E","")</f>
        <v/>
      </c>
      <c r="AL6">
        <f>IF(TRIM($K6)="",IF(COUNTIF($M6:$M6,"?*")&gt;0,", ","")&amp;"parcial","")</f>
        <v/>
      </c>
      <c r="AM6">
        <f>IF(AND(TRIM($K6)&lt;&gt;"",TRIM($K6)&lt;&gt;VALIDACIONES!$G$1),IF(COUNTIF($M6:$N6,"?*")&gt;0,", ","")&amp;"parcial distinto a "&amp;VALIDACIONES!$G$1,"")</f>
        <v/>
      </c>
      <c r="AN6">
        <f>IF(AND(OR($A6="Ítems agrupados por caso clínico o problema",$A6="Subítem de caso o problema",$A6="Emparejamiento Ampliado",$A6="Opción de Emparejamiento Ampliado"),TRIM($B6)=""),IF(COUNTIF($M6:$O6,"?*")&gt;0,", ","")&amp;"grupo","")</f>
        <v/>
      </c>
      <c r="AO6" s="363" t="inlineStr">
        <is>
          <t>Estado Dificultad</t>
        </is>
      </c>
      <c r="AP6" s="364">
        <f>IF(AND(AP2=15,AP3=30,AP4=15,AP5=60),"COMPLETA","REVISAR")</f>
        <v/>
      </c>
      <c r="AQ6" s="365" t="str"/>
    </row>
    <row r="7" ht="24" customHeight="1">
      <c r="A7" s="342" t="n"/>
      <c r="B7" s="342" t="n"/>
      <c r="C7" s="342" t="n"/>
      <c r="D7" s="342">
        <f>IF($A7="Verdadero o Falso Simple","Verdadero",IF($A7="Respuesta A/B/Ambas/Ninguna","A. Si la primera es verdadera",IF($A7="Verdadero o Falso Complejas","1. ","")))</f>
        <v/>
      </c>
      <c r="E7" s="342">
        <f>IF($A7="Verdadero o Falso Simple","Falso",IF($A7="Respuesta A/B/Ambas/Ninguna","B. Si la segunda es verdadera",IF($A7="Verdadero o Falso Complejas","2. ","")))</f>
        <v/>
      </c>
      <c r="F7" s="342">
        <f>IF($A7="Respuesta A/B/Ambas/Ninguna","C. Si ambas son verdaderas",IF($A7="Verdadero o Falso Complejas","3. ",""))</f>
        <v/>
      </c>
      <c r="G7" s="342">
        <f>IF($A7="Respuesta A/B/Ambas/Ninguna","D. Si ninguna es verdadera",IF($A7="Verdadero o Falso Complejas","4. ",""))</f>
        <v/>
      </c>
      <c r="H7" s="342">
        <f>IF($A7="Verdadero o Falso Simple","",IF($A7="Respuesta A/B/Ambas/Ninguna","",IF($A7="Verdadero o Falso Complejas","","")))</f>
        <v/>
      </c>
      <c r="I7" s="342" t="n"/>
      <c r="J7" s="342" t="n">
        <v>1</v>
      </c>
      <c r="K7" s="342" t="inlineStr">
        <is>
          <t>2P</t>
        </is>
      </c>
      <c r="L7" s="343">
        <f>IF(TRIM($A7)="","",IF(OR($A7="Selección de la mejor respuesta",$A7="SELECCION_MEJOR_RESPUESTA",$A7="Subítem de caso o problema",$A7="SUBITEM_CASO"),IF(TRIM($C7)="","Completar enunciado",IF(SUMPRODUCT(--(LEN(TRIM($D7:$H7&amp;""))&gt;0))&lt;5,"Completar opciones A-E",IF(AND(TRIM($I7)&lt;&gt;"",OR(LEFT(TRIM($I7),1)="A",LEFT(TRIM($I7),1)="B",LEFT(TRIM($I7),1)="C",LEFT(TRIM($I7),1)="D",LEFT(TRIM($I7),1)="E")),"OK","Completar respuesta correcta A-E"))),IF(TRIM($A7)="","",IF(COUNTIF($Q7:$AJ7,"?*")=0,"OK","Falta revisar: "&amp;$Q7&amp;$R7&amp;$S7&amp;$T7&amp;$U7&amp;$V7&amp;$W7&amp;$X7&amp;$Y7&amp;$Z7&amp;$AA7&amp;$AB7&amp;$AC7&amp;$AD7&amp;$AE7&amp;$AF7&amp;$AG7&amp;$AH7&amp;$AI7&amp;$AJ7))))</f>
        <v/>
      </c>
      <c r="M7" s="341" t="n"/>
      <c r="Q7">
        <f>IF(TRIM($C7)="","enunciado","")</f>
        <v/>
      </c>
      <c r="R7">
        <f>IF(TRIM($K7)="",IF(COUNTIF($Q7:$Q7,"?*")&gt;0,", ","")&amp;"parcial","")</f>
        <v/>
      </c>
      <c r="S7">
        <f>IF(AND(TRIM($K7)&lt;&gt;"",TRIM($K7)&lt;&gt;VALIDACIONES!$G$1),IF(COUNTIF($Q7:$R7,"?*")&gt;0,", ","")&amp;"parcial distinto a "&amp;VALIDACIONES!$G$1,"")</f>
        <v/>
      </c>
      <c r="T7">
        <f>IF(AND(OR($A7="Ítems agrupados por caso clínico o problema",$A7="Subítem de caso o problema",$A7="Emparejamiento Ampliado",$A7="Opción de Emparejamiento Ampliado"),TRIM($B7)=""),IF(COUNTIF($Q7:$S7,"?*")&gt;0,", ","")&amp;"grupo","")</f>
        <v/>
      </c>
      <c r="U7">
        <f>IF(AND(OR($A7="Verdadero o Falso Simple",$A7="Respuesta A/B/Ambas/Ninguna",$A7="Verdadero o Falso Complejas",$A7="Selección de la mejor respuesta",$A7="Subítem de caso o problema",$A7="Opción de Emparejamiento Ampliado"),TRIM($I7)=""),IF(COUNTIF($Q7:$T7,"?*")&gt;0,", ","")&amp;"respuesta_correcta","")</f>
        <v/>
      </c>
      <c r="V7">
        <f>IF(AND(OR($A7="Verdadero o Falso Simple",$A7="Respuesta A/B/Ambas/Ninguna",$A7="Verdadero o Falso Complejas",$A7="Selección de la mejor respuesta",$A7="Subítem de caso o problema",$A7="Opción de Emparejamiento Ampliado"),TRIM($J7)=""),IF(COUNTIF($Q7:$U7,"?*")&gt;0,", ","")&amp;"dificultad","")</f>
        <v/>
      </c>
      <c r="W7">
        <f>IF(AND(OR($A7="Ítems agrupados por caso clínico o problema",$A7="Emparejamiento Ampliado"),TRIM($I7)&lt;&gt;""),IF(COUNTIF($Q7:$V7,"?*")&gt;0,", ","")&amp;"respuesta debe ir vacia","")</f>
        <v/>
      </c>
      <c r="X7">
        <f>IF(AND(OR($A7="Ítems agrupados por caso clínico o problema",$A7="Emparejamiento Ampliado"),TRIM($J7)&lt;&gt;""),IF(COUNTIF($Q7:$W7,"?*")&gt;0,", ","")&amp;"dificultad debe ir vacia","")</f>
        <v/>
      </c>
      <c r="Y7">
        <f>IF(AND($A7="Verdadero o Falso Simple",OR(COUNTIF($D7:$E7,"?*")&lt;2,COUNTIF($F7:$H7,"?*")&gt;0)),IF(COUNTIF($Q7:$X7,"?*")&gt;0,", ","")&amp;"incisos A-B","")</f>
        <v/>
      </c>
      <c r="Z7">
        <f>IF(AND($A7="Verdadero o Falso Simple",TRIM($I7)&lt;&gt;"",NOT(OR(LEFT(TRIM($I7),1)="A",LEFT(TRIM($I7),1)="B"))),IF(COUNTIF($Q7:$Y7,"?*")&gt;0,", ","")&amp;"respuesta A-B","")</f>
        <v/>
      </c>
      <c r="AA7">
        <f>IF(AND($A7="Respuesta A/B/Ambas/Ninguna",COUNTIF($D7:$G7,"?*")&lt;4),IF(COUNTIF($Q7:$Z7,"?*")&gt;0,", ","")&amp;"opciones A-D","")</f>
        <v/>
      </c>
      <c r="AB7">
        <f>IF(AND($A7="Respuesta A/B/Ambas/Ninguna",COUNTIF($H7:$H7,"?*")&gt;0),IF(COUNTIF($Q7:$AA7,"?*")&gt;0,", ","")&amp;"opcion E deshabilitada","")</f>
        <v/>
      </c>
      <c r="AC7">
        <f>IF(AND($A7="Respuesta A/B/Ambas/Ninguna",TRIM($I7)&lt;&gt;"",NOT(OR(LEFT(TRIM($I7),1)="A",LEFT(TRIM($I7),1)="B",LEFT(TRIM($I7),1)="C",LEFT(TRIM($I7),1)="D"))),IF(COUNTIF($Q7:$AB7,"?*")&gt;0,", ","")&amp;"respuesta A-D","")</f>
        <v/>
      </c>
      <c r="AD7">
        <f>IF(AND($A7="Verdadero o Falso Complejas",OR(LEN(TRIM(SUBSTITUTE($D7,"1.","")))=0,LEN(TRIM(SUBSTITUTE($E7,"2.","")))=0,LEN(TRIM(SUBSTITUTE($F7,"3.","")))=0,LEN(TRIM(SUBSTITUTE($G7,"4.","")))=0)),IF(COUNTIF($Q7:$AC7,"?*")&gt;0,", ","")&amp;"incisos 1-4","")</f>
        <v/>
      </c>
      <c r="AE7">
        <f>IF(AND($A7="Verdadero o Falso Complejas",COUNTIF($H7:$H7,"?*")&gt;0),IF(COUNTIF($Q7:$AD7,"?*")&gt;0,", ","")&amp;"opcion E deshabilitada","")</f>
        <v/>
      </c>
      <c r="AF7">
        <f>IF(AND($A7="Verdadero o Falso Complejas",TRIM($I7)&lt;&gt;"",NOT(OR(LEFT(TRIM($I7),1)="A",LEFT(TRIM($I7),1)="B",LEFT(TRIM($I7),1)="C",LEFT(TRIM($I7),1)="D",LEFT(TRIM($I7),1)="E"))),IF(COUNTIF($Q7:$AE7,"?*")&gt;0,", ","")&amp;"respuesta A-E","")</f>
        <v/>
      </c>
      <c r="AG7">
        <f>IF(AND(OR($A7="Selección de la mejor respuesta",$A7="Subítem de caso o problema"),COUNTA($D7:$H7)&lt;5),IF(COUNTIF($Q7:$AF7,"?*")&gt;0,", ","")&amp;"incisos A-E","")</f>
        <v/>
      </c>
      <c r="AH7">
        <f>IF(AND(OR($A7="Selección de la mejor respuesta",$A7="Subítem de caso o problema"),TRIM($I7)&lt;&gt;"",NOT(OR(LEFT(TRIM($I7),1)="A",LEFT(TRIM($I7),1)="B",LEFT(TRIM($I7),1)="C",LEFT(TRIM($I7),1)="D",LEFT(TRIM($I7),1)="E"))),IF(COUNTIF($Q7:$AG7,"?*")&gt;0,", ","")&amp;"respuesta A-E","")</f>
        <v/>
      </c>
      <c r="AI7">
        <f>IF(AND(OR($A7="Ítems agrupados por caso clínico o problema",$A7="Opción de Emparejamiento Ampliado"),COUNTIF($D7:$H7,"?*")&gt;0),IF(COUNTIF($Q7:$AH7,"?*")&gt;0,", ","")&amp;"sin incisos","")</f>
        <v/>
      </c>
      <c r="AJ7">
        <f>IF(AND($A7="Emparejamiento Ampliado",COUNTIF($D7:$H7,"?*")&lt;2),IF(COUNTIF($Q7:$AI7,"?*")&gt;0,", ","")&amp;"minimo 2 claves","")</f>
        <v/>
      </c>
      <c r="AK7">
        <f>IF(AND($A7="Opción de Emparejamiento Ampliado",NOT(OR(LEFT(TRIM($I7),1)="A",LEFT(TRIM($I7),1)="B",LEFT(TRIM($I7),1)="C",LEFT(TRIM($I7),1)="D",LEFT(TRIM($I7),1)="E"))),IF(COUNTIF($Q7:$AJ7,"?*")&gt;0,", ","")&amp;"respuesta A-E","")</f>
        <v/>
      </c>
      <c r="AL7">
        <f>IF(TRIM($K7)="",IF(COUNTIF($M7:$M7,"?*")&gt;0,", ","")&amp;"parcial","")</f>
        <v/>
      </c>
      <c r="AM7">
        <f>IF(AND(TRIM($K7)&lt;&gt;"",TRIM($K7)&lt;&gt;VALIDACIONES!$G$1),IF(COUNTIF($M7:$N7,"?*")&gt;0,", ","")&amp;"parcial distinto a "&amp;VALIDACIONES!$G$1,"")</f>
        <v/>
      </c>
      <c r="AN7">
        <f>IF(AND(OR($A7="Ítems agrupados por caso clínico o problema",$A7="Subítem de caso o problema",$A7="Emparejamiento Ampliado",$A7="Opción de Emparejamiento Ampliado"),TRIM($B7)=""),IF(COUNTIF($M7:$O7,"?*")&gt;0,", ","")&amp;"grupo","")</f>
        <v/>
      </c>
    </row>
    <row r="8" ht="30" customHeight="1">
      <c r="A8" s="342" t="n"/>
      <c r="B8" s="342" t="n"/>
      <c r="C8" s="342" t="n"/>
      <c r="D8" s="342">
        <f>IF($A8="Verdadero o Falso Simple","Verdadero",IF($A8="Respuesta A/B/Ambas/Ninguna","A. Si la primera es verdadera",IF($A8="Verdadero o Falso Complejas","1. ","")))</f>
        <v/>
      </c>
      <c r="E8" s="342">
        <f>IF($A8="Verdadero o Falso Simple","Falso",IF($A8="Respuesta A/B/Ambas/Ninguna","B. Si la segunda es verdadera",IF($A8="Verdadero o Falso Complejas","2. ","")))</f>
        <v/>
      </c>
      <c r="F8" s="342">
        <f>IF($A8="Respuesta A/B/Ambas/Ninguna","C. Si ambas son verdaderas",IF($A8="Verdadero o Falso Complejas","3. ",""))</f>
        <v/>
      </c>
      <c r="G8" s="342">
        <f>IF($A8="Respuesta A/B/Ambas/Ninguna","D. Si ninguna es verdadera",IF($A8="Verdadero o Falso Complejas","4. ",""))</f>
        <v/>
      </c>
      <c r="H8" s="342">
        <f>IF($A8="Verdadero o Falso Simple","",IF($A8="Respuesta A/B/Ambas/Ninguna","",IF($A8="Verdadero o Falso Complejas","","")))</f>
        <v/>
      </c>
      <c r="I8" s="342" t="n"/>
      <c r="J8" s="342" t="n">
        <v>1</v>
      </c>
      <c r="K8" s="342" t="inlineStr">
        <is>
          <t>2P</t>
        </is>
      </c>
      <c r="L8" s="343">
        <f>IF(TRIM($A8)="","",IF(OR($A8="Selección de la mejor respuesta",$A8="SELECCION_MEJOR_RESPUESTA",$A8="Subítem de caso o problema",$A8="SUBITEM_CASO"),IF(TRIM($C8)="","Completar enunciado",IF(SUMPRODUCT(--(LEN(TRIM($D8:$H8&amp;""))&gt;0))&lt;5,"Completar opciones A-E",IF(AND(TRIM($I8)&lt;&gt;"",OR(LEFT(TRIM($I8),1)="A",LEFT(TRIM($I8),1)="B",LEFT(TRIM($I8),1)="C",LEFT(TRIM($I8),1)="D",LEFT(TRIM($I8),1)="E")),"OK","Completar respuesta correcta A-E"))),IF(TRIM($A8)="","",IF(COUNTIF($Q8:$AJ8,"?*")=0,"OK","Falta revisar: "&amp;$Q8&amp;$R8&amp;$S8&amp;$T8&amp;$U8&amp;$V8&amp;$W8&amp;$X8&amp;$Y8&amp;$Z8&amp;$AA8&amp;$AB8&amp;$AC8&amp;$AD8&amp;$AE8&amp;$AF8&amp;$AG8&amp;$AH8&amp;$AI8&amp;$AJ8))))</f>
        <v/>
      </c>
      <c r="M8" s="341" t="n"/>
      <c r="Q8">
        <f>IF(TRIM($C8)="","enunciado","")</f>
        <v/>
      </c>
      <c r="R8">
        <f>IF(TRIM($K8)="",IF(COUNTIF($Q8:$Q8,"?*")&gt;0,", ","")&amp;"parcial","")</f>
        <v/>
      </c>
      <c r="S8">
        <f>IF(AND(TRIM($K8)&lt;&gt;"",TRIM($K8)&lt;&gt;VALIDACIONES!$G$1),IF(COUNTIF($Q8:$R8,"?*")&gt;0,", ","")&amp;"parcial distinto a "&amp;VALIDACIONES!$G$1,"")</f>
        <v/>
      </c>
      <c r="T8">
        <f>IF(AND(OR($A8="Ítems agrupados por caso clínico o problema",$A8="Subítem de caso o problema",$A8="Emparejamiento Ampliado",$A8="Opción de Emparejamiento Ampliado"),TRIM($B8)=""),IF(COUNTIF($Q8:$S8,"?*")&gt;0,", ","")&amp;"grupo","")</f>
        <v/>
      </c>
      <c r="U8">
        <f>IF(AND(OR($A8="Verdadero o Falso Simple",$A8="Respuesta A/B/Ambas/Ninguna",$A8="Verdadero o Falso Complejas",$A8="Selección de la mejor respuesta",$A8="Subítem de caso o problema",$A8="Opción de Emparejamiento Ampliado"),TRIM($I8)=""),IF(COUNTIF($Q8:$T8,"?*")&gt;0,", ","")&amp;"respuesta_correcta","")</f>
        <v/>
      </c>
      <c r="V8">
        <f>IF(AND(OR($A8="Verdadero o Falso Simple",$A8="Respuesta A/B/Ambas/Ninguna",$A8="Verdadero o Falso Complejas",$A8="Selección de la mejor respuesta",$A8="Subítem de caso o problema",$A8="Opción de Emparejamiento Ampliado"),TRIM($J8)=""),IF(COUNTIF($Q8:$U8,"?*")&gt;0,", ","")&amp;"dificultad","")</f>
        <v/>
      </c>
      <c r="W8">
        <f>IF(AND(OR($A8="Ítems agrupados por caso clínico o problema",$A8="Emparejamiento Ampliado"),TRIM($I8)&lt;&gt;""),IF(COUNTIF($Q8:$V8,"?*")&gt;0,", ","")&amp;"respuesta debe ir vacia","")</f>
        <v/>
      </c>
      <c r="X8">
        <f>IF(AND(OR($A8="Ítems agrupados por caso clínico o problema",$A8="Emparejamiento Ampliado"),TRIM($J8)&lt;&gt;""),IF(COUNTIF($Q8:$W8,"?*")&gt;0,", ","")&amp;"dificultad debe ir vacia","")</f>
        <v/>
      </c>
      <c r="Y8">
        <f>IF(AND($A8="Verdadero o Falso Simple",OR(COUNTIF($D8:$E8,"?*")&lt;2,COUNTIF($F8:$H8,"?*")&gt;0)),IF(COUNTIF($Q8:$X8,"?*")&gt;0,", ","")&amp;"incisos A-B","")</f>
        <v/>
      </c>
      <c r="Z8">
        <f>IF(AND($A8="Verdadero o Falso Simple",TRIM($I8)&lt;&gt;"",NOT(OR(LEFT(TRIM($I8),1)="A",LEFT(TRIM($I8),1)="B"))),IF(COUNTIF($Q8:$Y8,"?*")&gt;0,", ","")&amp;"respuesta A-B","")</f>
        <v/>
      </c>
      <c r="AA8">
        <f>IF(AND($A8="Respuesta A/B/Ambas/Ninguna",COUNTIF($D8:$G8,"?*")&lt;4),IF(COUNTIF($Q8:$Z8,"?*")&gt;0,", ","")&amp;"opciones A-D","")</f>
        <v/>
      </c>
      <c r="AB8">
        <f>IF(AND($A8="Respuesta A/B/Ambas/Ninguna",COUNTIF($H8:$H8,"?*")&gt;0),IF(COUNTIF($Q8:$AA8,"?*")&gt;0,", ","")&amp;"opcion E deshabilitada","")</f>
        <v/>
      </c>
      <c r="AC8">
        <f>IF(AND($A8="Respuesta A/B/Ambas/Ninguna",TRIM($I8)&lt;&gt;"",NOT(OR(LEFT(TRIM($I8),1)="A",LEFT(TRIM($I8),1)="B",LEFT(TRIM($I8),1)="C",LEFT(TRIM($I8),1)="D"))),IF(COUNTIF($Q8:$AB8,"?*")&gt;0,", ","")&amp;"respuesta A-D","")</f>
        <v/>
      </c>
      <c r="AD8">
        <f>IF(AND($A8="Verdadero o Falso Complejas",OR(LEN(TRIM(SUBSTITUTE($D8,"1.","")))=0,LEN(TRIM(SUBSTITUTE($E8,"2.","")))=0,LEN(TRIM(SUBSTITUTE($F8,"3.","")))=0,LEN(TRIM(SUBSTITUTE($G8,"4.","")))=0)),IF(COUNTIF($Q8:$AC8,"?*")&gt;0,", ","")&amp;"incisos 1-4","")</f>
        <v/>
      </c>
      <c r="AE8">
        <f>IF(AND($A8="Verdadero o Falso Complejas",COUNTIF($H8:$H8,"?*")&gt;0),IF(COUNTIF($Q8:$AD8,"?*")&gt;0,", ","")&amp;"opcion E deshabilitada","")</f>
        <v/>
      </c>
      <c r="AF8">
        <f>IF(AND($A8="Verdadero o Falso Complejas",TRIM($I8)&lt;&gt;"",NOT(OR(LEFT(TRIM($I8),1)="A",LEFT(TRIM($I8),1)="B",LEFT(TRIM($I8),1)="C",LEFT(TRIM($I8),1)="D",LEFT(TRIM($I8),1)="E"))),IF(COUNTIF($Q8:$AE8,"?*")&gt;0,", ","")&amp;"respuesta A-E","")</f>
        <v/>
      </c>
      <c r="AG8">
        <f>IF(AND(OR($A8="Selección de la mejor respuesta",$A8="Subítem de caso o problema"),COUNTA($D8:$H8)&lt;5),IF(COUNTIF($Q8:$AF8,"?*")&gt;0,", ","")&amp;"incisos A-E","")</f>
        <v/>
      </c>
      <c r="AH8">
        <f>IF(AND(OR($A8="Selección de la mejor respuesta",$A8="Subítem de caso o problema"),TRIM($I8)&lt;&gt;"",NOT(OR(LEFT(TRIM($I8),1)="A",LEFT(TRIM($I8),1)="B",LEFT(TRIM($I8),1)="C",LEFT(TRIM($I8),1)="D",LEFT(TRIM($I8),1)="E"))),IF(COUNTIF($Q8:$AG8,"?*")&gt;0,", ","")&amp;"respuesta A-E","")</f>
        <v/>
      </c>
      <c r="AI8">
        <f>IF(AND(OR($A8="Ítems agrupados por caso clínico o problema",$A8="Opción de Emparejamiento Ampliado"),COUNTIF($D8:$H8,"?*")&gt;0),IF(COUNTIF($Q8:$AH8,"?*")&gt;0,", ","")&amp;"sin incisos","")</f>
        <v/>
      </c>
      <c r="AJ8">
        <f>IF(AND($A8="Emparejamiento Ampliado",COUNTIF($D8:$H8,"?*")&lt;2),IF(COUNTIF($Q8:$AI8,"?*")&gt;0,", ","")&amp;"minimo 2 claves","")</f>
        <v/>
      </c>
      <c r="AK8">
        <f>IF(AND($A8="Opción de Emparejamiento Ampliado",NOT(OR(LEFT(TRIM($I8),1)="A",LEFT(TRIM($I8),1)="B",LEFT(TRIM($I8),1)="C",LEFT(TRIM($I8),1)="D",LEFT(TRIM($I8),1)="E"))),IF(COUNTIF($Q8:$AJ8,"?*")&gt;0,", ","")&amp;"respuesta A-E","")</f>
        <v/>
      </c>
      <c r="AL8">
        <f>IF(TRIM($K8)="",IF(COUNTIF($M8:$M8,"?*")&gt;0,", ","")&amp;"parcial","")</f>
        <v/>
      </c>
      <c r="AM8">
        <f>IF(AND(TRIM($K8)&lt;&gt;"",TRIM($K8)&lt;&gt;VALIDACIONES!$G$1),IF(COUNTIF($M8:$N8,"?*")&gt;0,", ","")&amp;"parcial distinto a "&amp;VALIDACIONES!$G$1,"")</f>
        <v/>
      </c>
      <c r="AN8">
        <f>IF(AND(OR($A8="Ítems agrupados por caso clínico o problema",$A8="Subítem de caso o problema",$A8="Emparejamiento Ampliado",$A8="Opción de Emparejamiento Ampliado"),TRIM($B8)=""),IF(COUNTIF($M8:$O8,"?*")&gt;0,", ","")&amp;"grupo","")</f>
        <v/>
      </c>
      <c r="AO8" s="367" t="inlineStr">
        <is>
          <t>CUOTAS POR GRUPO TIPOLÓGICO</t>
        </is>
      </c>
      <c r="AP8" s="367" t="n"/>
      <c r="AQ8" s="367" t="n"/>
    </row>
    <row r="9" ht="24" customHeight="1">
      <c r="A9" s="342" t="n"/>
      <c r="B9" s="342" t="n"/>
      <c r="C9" s="342" t="n"/>
      <c r="D9" s="342">
        <f>IF($A9="Verdadero o Falso Simple","Verdadero",IF($A9="Respuesta A/B/Ambas/Ninguna","A. Si la primera es verdadera",IF($A9="Verdadero o Falso Complejas","1. ","")))</f>
        <v/>
      </c>
      <c r="E9" s="342">
        <f>IF($A9="Verdadero o Falso Simple","Falso",IF($A9="Respuesta A/B/Ambas/Ninguna","B. Si la segunda es verdadera",IF($A9="Verdadero o Falso Complejas","2. ","")))</f>
        <v/>
      </c>
      <c r="F9" s="342">
        <f>IF($A9="Respuesta A/B/Ambas/Ninguna","C. Si ambas son verdaderas",IF($A9="Verdadero o Falso Complejas","3. ",""))</f>
        <v/>
      </c>
      <c r="G9" s="342">
        <f>IF($A9="Respuesta A/B/Ambas/Ninguna","D. Si ninguna es verdadera",IF($A9="Verdadero o Falso Complejas","4. ",""))</f>
        <v/>
      </c>
      <c r="H9" s="342">
        <f>IF($A9="Verdadero o Falso Simple","",IF($A9="Respuesta A/B/Ambas/Ninguna","",IF($A9="Verdadero o Falso Complejas","","")))</f>
        <v/>
      </c>
      <c r="I9" s="342" t="n"/>
      <c r="J9" s="342" t="n">
        <v>1</v>
      </c>
      <c r="K9" s="342" t="inlineStr">
        <is>
          <t>2P</t>
        </is>
      </c>
      <c r="L9" s="343">
        <f>IF(TRIM($A9)="","",IF(OR($A9="Selección de la mejor respuesta",$A9="SELECCION_MEJOR_RESPUESTA",$A9="Subítem de caso o problema",$A9="SUBITEM_CASO"),IF(TRIM($C9)="","Completar enunciado",IF(SUMPRODUCT(--(LEN(TRIM($D9:$H9&amp;""))&gt;0))&lt;5,"Completar opciones A-E",IF(AND(TRIM($I9)&lt;&gt;"",OR(LEFT(TRIM($I9),1)="A",LEFT(TRIM($I9),1)="B",LEFT(TRIM($I9),1)="C",LEFT(TRIM($I9),1)="D",LEFT(TRIM($I9),1)="E")),"OK","Completar respuesta correcta A-E"))),IF(TRIM($A9)="","",IF(COUNTIF($Q9:$AJ9,"?*")=0,"OK","Falta revisar: "&amp;$Q9&amp;$R9&amp;$S9&amp;$T9&amp;$U9&amp;$V9&amp;$W9&amp;$X9&amp;$Y9&amp;$Z9&amp;$AA9&amp;$AB9&amp;$AC9&amp;$AD9&amp;$AE9&amp;$AF9&amp;$AG9&amp;$AH9&amp;$AI9&amp;$AJ9))))</f>
        <v/>
      </c>
      <c r="M9" s="341" t="n"/>
      <c r="Q9">
        <f>IF(TRIM($C9)="","enunciado","")</f>
        <v/>
      </c>
      <c r="R9">
        <f>IF(TRIM($K9)="",IF(COUNTIF($Q9:$Q9,"?*")&gt;0,", ","")&amp;"parcial","")</f>
        <v/>
      </c>
      <c r="S9">
        <f>IF(AND(TRIM($K9)&lt;&gt;"",TRIM($K9)&lt;&gt;VALIDACIONES!$G$1),IF(COUNTIF($Q9:$R9,"?*")&gt;0,", ","")&amp;"parcial distinto a "&amp;VALIDACIONES!$G$1,"")</f>
        <v/>
      </c>
      <c r="T9">
        <f>IF(AND(OR($A9="Ítems agrupados por caso clínico o problema",$A9="Subítem de caso o problema",$A9="Emparejamiento Ampliado",$A9="Opción de Emparejamiento Ampliado"),TRIM($B9)=""),IF(COUNTIF($Q9:$S9,"?*")&gt;0,", ","")&amp;"grupo","")</f>
        <v/>
      </c>
      <c r="U9">
        <f>IF(AND(OR($A9="Verdadero o Falso Simple",$A9="Respuesta A/B/Ambas/Ninguna",$A9="Verdadero o Falso Complejas",$A9="Selección de la mejor respuesta",$A9="Subítem de caso o problema",$A9="Opción de Emparejamiento Ampliado"),TRIM($I9)=""),IF(COUNTIF($Q9:$T9,"?*")&gt;0,", ","")&amp;"respuesta_correcta","")</f>
        <v/>
      </c>
      <c r="V9">
        <f>IF(AND(OR($A9="Verdadero o Falso Simple",$A9="Respuesta A/B/Ambas/Ninguna",$A9="Verdadero o Falso Complejas",$A9="Selección de la mejor respuesta",$A9="Subítem de caso o problema",$A9="Opción de Emparejamiento Ampliado"),TRIM($J9)=""),IF(COUNTIF($Q9:$U9,"?*")&gt;0,", ","")&amp;"dificultad","")</f>
        <v/>
      </c>
      <c r="W9">
        <f>IF(AND(OR($A9="Ítems agrupados por caso clínico o problema",$A9="Emparejamiento Ampliado"),TRIM($I9)&lt;&gt;""),IF(COUNTIF($Q9:$V9,"?*")&gt;0,", ","")&amp;"respuesta debe ir vacia","")</f>
        <v/>
      </c>
      <c r="X9">
        <f>IF(AND(OR($A9="Ítems agrupados por caso clínico o problema",$A9="Emparejamiento Ampliado"),TRIM($J9)&lt;&gt;""),IF(COUNTIF($Q9:$W9,"?*")&gt;0,", ","")&amp;"dificultad debe ir vacia","")</f>
        <v/>
      </c>
      <c r="Y9">
        <f>IF(AND($A9="Verdadero o Falso Simple",OR(COUNTIF($D9:$E9,"?*")&lt;2,COUNTIF($F9:$H9,"?*")&gt;0)),IF(COUNTIF($Q9:$X9,"?*")&gt;0,", ","")&amp;"incisos A-B","")</f>
        <v/>
      </c>
      <c r="Z9">
        <f>IF(AND($A9="Verdadero o Falso Simple",TRIM($I9)&lt;&gt;"",NOT(OR(LEFT(TRIM($I9),1)="A",LEFT(TRIM($I9),1)="B"))),IF(COUNTIF($Q9:$Y9,"?*")&gt;0,", ","")&amp;"respuesta A-B","")</f>
        <v/>
      </c>
      <c r="AA9">
        <f>IF(AND($A9="Respuesta A/B/Ambas/Ninguna",COUNTIF($D9:$G9,"?*")&lt;4),IF(COUNTIF($Q9:$Z9,"?*")&gt;0,", ","")&amp;"opciones A-D","")</f>
        <v/>
      </c>
      <c r="AB9">
        <f>IF(AND($A9="Respuesta A/B/Ambas/Ninguna",COUNTIF($H9:$H9,"?*")&gt;0),IF(COUNTIF($Q9:$AA9,"?*")&gt;0,", ","")&amp;"opcion E deshabilitada","")</f>
        <v/>
      </c>
      <c r="AC9">
        <f>IF(AND($A9="Respuesta A/B/Ambas/Ninguna",TRIM($I9)&lt;&gt;"",NOT(OR(LEFT(TRIM($I9),1)="A",LEFT(TRIM($I9),1)="B",LEFT(TRIM($I9),1)="C",LEFT(TRIM($I9),1)="D"))),IF(COUNTIF($Q9:$AB9,"?*")&gt;0,", ","")&amp;"respuesta A-D","")</f>
        <v/>
      </c>
      <c r="AD9">
        <f>IF(AND($A9="Verdadero o Falso Complejas",OR(LEN(TRIM(SUBSTITUTE($D9,"1.","")))=0,LEN(TRIM(SUBSTITUTE($E9,"2.","")))=0,LEN(TRIM(SUBSTITUTE($F9,"3.","")))=0,LEN(TRIM(SUBSTITUTE($G9,"4.","")))=0)),IF(COUNTIF($Q9:$AC9,"?*")&gt;0,", ","")&amp;"incisos 1-4","")</f>
        <v/>
      </c>
      <c r="AE9">
        <f>IF(AND($A9="Verdadero o Falso Complejas",COUNTIF($H9:$H9,"?*")&gt;0),IF(COUNTIF($Q9:$AD9,"?*")&gt;0,", ","")&amp;"opcion E deshabilitada","")</f>
        <v/>
      </c>
      <c r="AF9">
        <f>IF(AND($A9="Verdadero o Falso Complejas",TRIM($I9)&lt;&gt;"",NOT(OR(LEFT(TRIM($I9),1)="A",LEFT(TRIM($I9),1)="B",LEFT(TRIM($I9),1)="C",LEFT(TRIM($I9),1)="D",LEFT(TRIM($I9),1)="E"))),IF(COUNTIF($Q9:$AE9,"?*")&gt;0,", ","")&amp;"respuesta A-E","")</f>
        <v/>
      </c>
      <c r="AG9">
        <f>IF(AND(OR($A9="Selección de la mejor respuesta",$A9="Subítem de caso o problema"),COUNTA($D9:$H9)&lt;5),IF(COUNTIF($Q9:$AF9,"?*")&gt;0,", ","")&amp;"incisos A-E","")</f>
        <v/>
      </c>
      <c r="AH9">
        <f>IF(AND(OR($A9="Selección de la mejor respuesta",$A9="Subítem de caso o problema"),TRIM($I9)&lt;&gt;"",NOT(OR(LEFT(TRIM($I9),1)="A",LEFT(TRIM($I9),1)="B",LEFT(TRIM($I9),1)="C",LEFT(TRIM($I9),1)="D",LEFT(TRIM($I9),1)="E"))),IF(COUNTIF($Q9:$AG9,"?*")&gt;0,", ","")&amp;"respuesta A-E","")</f>
        <v/>
      </c>
      <c r="AI9">
        <f>IF(AND(OR($A9="Ítems agrupados por caso clínico o problema",$A9="Opción de Emparejamiento Ampliado"),COUNTIF($D9:$H9,"?*")&gt;0),IF(COUNTIF($Q9:$AH9,"?*")&gt;0,", ","")&amp;"sin incisos","")</f>
        <v/>
      </c>
      <c r="AJ9">
        <f>IF(AND($A9="Emparejamiento Ampliado",COUNTIF($D9:$H9,"?*")&lt;2),IF(COUNTIF($Q9:$AI9,"?*")&gt;0,", ","")&amp;"minimo 2 claves","")</f>
        <v/>
      </c>
      <c r="AK9">
        <f>IF(AND($A9="Opción de Emparejamiento Ampliado",NOT(OR(LEFT(TRIM($I9),1)="A",LEFT(TRIM($I9),1)="B",LEFT(TRIM($I9),1)="C",LEFT(TRIM($I9),1)="D",LEFT(TRIM($I9),1)="E"))),IF(COUNTIF($Q9:$AJ9,"?*")&gt;0,", ","")&amp;"respuesta A-E","")</f>
        <v/>
      </c>
      <c r="AL9">
        <f>IF(TRIM($K9)="",IF(COUNTIF($M9:$M9,"?*")&gt;0,", ","")&amp;"parcial","")</f>
        <v/>
      </c>
      <c r="AM9">
        <f>IF(AND(TRIM($K9)&lt;&gt;"",TRIM($K9)&lt;&gt;VALIDACIONES!$G$1),IF(COUNTIF($M9:$N9,"?*")&gt;0,", ","")&amp;"parcial distinto a "&amp;VALIDACIONES!$G$1,"")</f>
        <v/>
      </c>
      <c r="AN9">
        <f>IF(AND(OR($A9="Ítems agrupados por caso clínico o problema",$A9="Subítem de caso o problema",$A9="Emparejamiento Ampliado",$A9="Opción de Emparejamiento Ampliado"),TRIM($B9)=""),IF(COUNTIF($M9:$O9,"?*")&gt;0,", ","")&amp;"grupo","")</f>
        <v/>
      </c>
      <c r="AO9" s="368" t="inlineStr">
        <is>
          <t>Grupo 1 (V/F y Premisas)</t>
        </is>
      </c>
      <c r="AP9" s="369">
        <f>COUNTIF($A$2:$A$1001,VALIDACIONES!$A$1)+COUNTIF($A$2:$A$1001,VALIDACIONES!$A$2)+COUNTIF($A$2:$A$1001,VALIDACIONES!$A$3)+COUNTIF($A$2:$A$1001,"VERDADERO_O_FALSO_SIMPLE")+COUNTIF($A$2:$A$1001,"VERDADERO_O_FALSO_COMPLEJAS")+COUNTIF($A$2:$A$1001,"RESPUESTA_PREMISAS_ABCD")+COUNTIF($A$2:$A$1001,"FALSO_VERDADERO")+COUNTIF($A$2:$A$1001,"PREGUNTA_CON_CLAVE")+COUNTIF($A$2:$A$1001,"RESPUESTA_COMPUESTA")</f>
        <v/>
      </c>
      <c r="AQ9" s="370" t="inlineStr">
        <is>
          <t>Meta: 15</t>
        </is>
      </c>
    </row>
    <row r="10" ht="24" customHeight="1">
      <c r="A10" s="342" t="n"/>
      <c r="B10" s="342" t="n"/>
      <c r="C10" s="342" t="n"/>
      <c r="D10" s="342">
        <f>IF($A10="Verdadero o Falso Simple","Verdadero",IF($A10="Respuesta A/B/Ambas/Ninguna","A. Si la primera es verdadera",IF($A10="Verdadero o Falso Complejas","1. ","")))</f>
        <v/>
      </c>
      <c r="E10" s="342">
        <f>IF($A10="Verdadero o Falso Simple","Falso",IF($A10="Respuesta A/B/Ambas/Ninguna","B. Si la segunda es verdadera",IF($A10="Verdadero o Falso Complejas","2. ","")))</f>
        <v/>
      </c>
      <c r="F10" s="342">
        <f>IF($A10="Respuesta A/B/Ambas/Ninguna","C. Si ambas son verdaderas",IF($A10="Verdadero o Falso Complejas","3. ",""))</f>
        <v/>
      </c>
      <c r="G10" s="342">
        <f>IF($A10="Respuesta A/B/Ambas/Ninguna","D. Si ninguna es verdadera",IF($A10="Verdadero o Falso Complejas","4. ",""))</f>
        <v/>
      </c>
      <c r="H10" s="342">
        <f>IF($A10="Verdadero o Falso Simple","",IF($A10="Respuesta A/B/Ambas/Ninguna","",IF($A10="Verdadero o Falso Complejas","","")))</f>
        <v/>
      </c>
      <c r="I10" s="342" t="n"/>
      <c r="J10" s="342" t="n">
        <v>1</v>
      </c>
      <c r="K10" s="342" t="inlineStr">
        <is>
          <t>2P</t>
        </is>
      </c>
      <c r="L10" s="343">
        <f>IF(TRIM($A10)="","",IF(OR($A10="Selección de la mejor respuesta",$A10="SELECCION_MEJOR_RESPUESTA",$A10="Subítem de caso o problema",$A10="SUBITEM_CASO"),IF(TRIM($C10)="","Completar enunciado",IF(SUMPRODUCT(--(LEN(TRIM($D10:$H10&amp;""))&gt;0))&lt;5,"Completar opciones A-E",IF(AND(TRIM($I10)&lt;&gt;"",OR(LEFT(TRIM($I10),1)="A",LEFT(TRIM($I10),1)="B",LEFT(TRIM($I10),1)="C",LEFT(TRIM($I10),1)="D",LEFT(TRIM($I10),1)="E")),"OK","Completar respuesta correcta A-E"))),IF(TRIM($A10)="","",IF(COUNTIF($Q10:$AJ10,"?*")=0,"OK","Falta revisar: "&amp;$Q10&amp;$R10&amp;$S10&amp;$T10&amp;$U10&amp;$V10&amp;$W10&amp;$X10&amp;$Y10&amp;$Z10&amp;$AA10&amp;$AB10&amp;$AC10&amp;$AD10&amp;$AE10&amp;$AF10&amp;$AG10&amp;$AH10&amp;$AI10&amp;$AJ10))))</f>
        <v/>
      </c>
      <c r="M10" s="341" t="n"/>
      <c r="Q10">
        <f>IF(TRIM($C10)="","enunciado","")</f>
        <v/>
      </c>
      <c r="R10">
        <f>IF(TRIM($K10)="",IF(COUNTIF($Q10:$Q10,"?*")&gt;0,", ","")&amp;"parcial","")</f>
        <v/>
      </c>
      <c r="S10">
        <f>IF(AND(TRIM($K10)&lt;&gt;"",TRIM($K10)&lt;&gt;VALIDACIONES!$G$1),IF(COUNTIF($Q10:$R10,"?*")&gt;0,", ","")&amp;"parcial distinto a "&amp;VALIDACIONES!$G$1,"")</f>
        <v/>
      </c>
      <c r="T10">
        <f>IF(AND(OR($A10="Ítems agrupados por caso clínico o problema",$A10="Subítem de caso o problema",$A10="Emparejamiento Ampliado",$A10="Opción de Emparejamiento Ampliado"),TRIM($B10)=""),IF(COUNTIF($Q10:$S10,"?*")&gt;0,", ","")&amp;"grupo","")</f>
        <v/>
      </c>
      <c r="U10">
        <f>IF(AND(OR($A10="Verdadero o Falso Simple",$A10="Respuesta A/B/Ambas/Ninguna",$A10="Verdadero o Falso Complejas",$A10="Selección de la mejor respuesta",$A10="Subítem de caso o problema",$A10="Opción de Emparejamiento Ampliado"),TRIM($I10)=""),IF(COUNTIF($Q10:$T10,"?*")&gt;0,", ","")&amp;"respuesta_correcta","")</f>
        <v/>
      </c>
      <c r="V10">
        <f>IF(AND(OR($A10="Verdadero o Falso Simple",$A10="Respuesta A/B/Ambas/Ninguna",$A10="Verdadero o Falso Complejas",$A10="Selección de la mejor respuesta",$A10="Subítem de caso o problema",$A10="Opción de Emparejamiento Ampliado"),TRIM($J10)=""),IF(COUNTIF($Q10:$U10,"?*")&gt;0,", ","")&amp;"dificultad","")</f>
        <v/>
      </c>
      <c r="W10">
        <f>IF(AND(OR($A10="Ítems agrupados por caso clínico o problema",$A10="Emparejamiento Ampliado"),TRIM($I10)&lt;&gt;""),IF(COUNTIF($Q10:$V10,"?*")&gt;0,", ","")&amp;"respuesta debe ir vacia","")</f>
        <v/>
      </c>
      <c r="X10">
        <f>IF(AND(OR($A10="Ítems agrupados por caso clínico o problema",$A10="Emparejamiento Ampliado"),TRIM($J10)&lt;&gt;""),IF(COUNTIF($Q10:$W10,"?*")&gt;0,", ","")&amp;"dificultad debe ir vacia","")</f>
        <v/>
      </c>
      <c r="Y10">
        <f>IF(AND($A10="Verdadero o Falso Simple",OR(COUNTIF($D10:$E10,"?*")&lt;2,COUNTIF($F10:$H10,"?*")&gt;0)),IF(COUNTIF($Q10:$X10,"?*")&gt;0,", ","")&amp;"incisos A-B","")</f>
        <v/>
      </c>
      <c r="Z10">
        <f>IF(AND($A10="Verdadero o Falso Simple",TRIM($I10)&lt;&gt;"",NOT(OR(LEFT(TRIM($I10),1)="A",LEFT(TRIM($I10),1)="B"))),IF(COUNTIF($Q10:$Y10,"?*")&gt;0,", ","")&amp;"respuesta A-B","")</f>
        <v/>
      </c>
      <c r="AA10">
        <f>IF(AND($A10="Respuesta A/B/Ambas/Ninguna",COUNTIF($D10:$G10,"?*")&lt;4),IF(COUNTIF($Q10:$Z10,"?*")&gt;0,", ","")&amp;"opciones A-D","")</f>
        <v/>
      </c>
      <c r="AB10">
        <f>IF(AND($A10="Respuesta A/B/Ambas/Ninguna",COUNTIF($H10:$H10,"?*")&gt;0),IF(COUNTIF($Q10:$AA10,"?*")&gt;0,", ","")&amp;"opcion E deshabilitada","")</f>
        <v/>
      </c>
      <c r="AC10">
        <f>IF(AND($A10="Respuesta A/B/Ambas/Ninguna",TRIM($I10)&lt;&gt;"",NOT(OR(LEFT(TRIM($I10),1)="A",LEFT(TRIM($I10),1)="B",LEFT(TRIM($I10),1)="C",LEFT(TRIM($I10),1)="D"))),IF(COUNTIF($Q10:$AB10,"?*")&gt;0,", ","")&amp;"respuesta A-D","")</f>
        <v/>
      </c>
      <c r="AD10">
        <f>IF(AND($A10="Verdadero o Falso Complejas",OR(LEN(TRIM(SUBSTITUTE($D10,"1.","")))=0,LEN(TRIM(SUBSTITUTE($E10,"2.","")))=0,LEN(TRIM(SUBSTITUTE($F10,"3.","")))=0,LEN(TRIM(SUBSTITUTE($G10,"4.","")))=0)),IF(COUNTIF($Q10:$AC10,"?*")&gt;0,", ","")&amp;"incisos 1-4","")</f>
        <v/>
      </c>
      <c r="AE10">
        <f>IF(AND($A10="Verdadero o Falso Complejas",COUNTIF($H10:$H10,"?*")&gt;0),IF(COUNTIF($Q10:$AD10,"?*")&gt;0,", ","")&amp;"opcion E deshabilitada","")</f>
        <v/>
      </c>
      <c r="AF10">
        <f>IF(AND($A10="Verdadero o Falso Complejas",TRIM($I10)&lt;&gt;"",NOT(OR(LEFT(TRIM($I10),1)="A",LEFT(TRIM($I10),1)="B",LEFT(TRIM($I10),1)="C",LEFT(TRIM($I10),1)="D",LEFT(TRIM($I10),1)="E"))),IF(COUNTIF($Q10:$AE10,"?*")&gt;0,", ","")&amp;"respuesta A-E","")</f>
        <v/>
      </c>
      <c r="AG10">
        <f>IF(AND(OR($A10="Selección de la mejor respuesta",$A10="Subítem de caso o problema"),COUNTA($D10:$H10)&lt;5),IF(COUNTIF($Q10:$AF10,"?*")&gt;0,", ","")&amp;"incisos A-E","")</f>
        <v/>
      </c>
      <c r="AH10">
        <f>IF(AND(OR($A10="Selección de la mejor respuesta",$A10="Subítem de caso o problema"),TRIM($I10)&lt;&gt;"",NOT(OR(LEFT(TRIM($I10),1)="A",LEFT(TRIM($I10),1)="B",LEFT(TRIM($I10),1)="C",LEFT(TRIM($I10),1)="D",LEFT(TRIM($I10),1)="E"))),IF(COUNTIF($Q10:$AG10,"?*")&gt;0,", ","")&amp;"respuesta A-E","")</f>
        <v/>
      </c>
      <c r="AI10">
        <f>IF(AND(OR($A10="Ítems agrupados por caso clínico o problema",$A10="Opción de Emparejamiento Ampliado"),COUNTIF($D10:$H10,"?*")&gt;0),IF(COUNTIF($Q10:$AH10,"?*")&gt;0,", ","")&amp;"sin incisos","")</f>
        <v/>
      </c>
      <c r="AJ10">
        <f>IF(AND($A10="Emparejamiento Ampliado",COUNTIF($D10:$H10,"?*")&lt;2),IF(COUNTIF($Q10:$AI10,"?*")&gt;0,", ","")&amp;"minimo 2 claves","")</f>
        <v/>
      </c>
      <c r="AK10">
        <f>IF(AND($A10="Opción de Emparejamiento Ampliado",NOT(OR(LEFT(TRIM($I10),1)="A",LEFT(TRIM($I10),1)="B",LEFT(TRIM($I10),1)="C",LEFT(TRIM($I10),1)="D",LEFT(TRIM($I10),1)="E"))),IF(COUNTIF($Q10:$AJ10,"?*")&gt;0,", ","")&amp;"respuesta A-E","")</f>
        <v/>
      </c>
      <c r="AL10">
        <f>IF(TRIM($K10)="",IF(COUNTIF($M10:$M10,"?*")&gt;0,", ","")&amp;"parcial","")</f>
        <v/>
      </c>
      <c r="AM10">
        <f>IF(AND(TRIM($K10)&lt;&gt;"",TRIM($K10)&lt;&gt;VALIDACIONES!$G$1),IF(COUNTIF($M10:$N10,"?*")&gt;0,", ","")&amp;"parcial distinto a "&amp;VALIDACIONES!$G$1,"")</f>
        <v/>
      </c>
      <c r="AN10">
        <f>IF(AND(OR($A10="Ítems agrupados por caso clínico o problema",$A10="Subítem de caso o problema",$A10="Emparejamiento Ampliado",$A10="Opción de Emparejamiento Ampliado"),TRIM($B10)=""),IF(COUNTIF($M10:$O10,"?*")&gt;0,", ","")&amp;"grupo","")</f>
        <v/>
      </c>
      <c r="AO10" s="368" t="inlineStr">
        <is>
          <t>Grupo 2 (Mejor Respuesta)</t>
        </is>
      </c>
      <c r="AP10" s="369">
        <f>COUNTIF($A$2:$A$1001,VALIDACIONES!$A$4)+COUNTIF($A$2:$A$1001,"SELECCION_MEJOR_RESPUESTA")+COUNTIF($A$2:$A$1001,"SELECCION_SIMPLE")+COUNTIF($A$2:$A$1001,"SELECCION_UNICA")</f>
        <v/>
      </c>
      <c r="AQ10" s="370" t="inlineStr">
        <is>
          <t>Meta: 30</t>
        </is>
      </c>
    </row>
    <row r="11" ht="24" customHeight="1">
      <c r="A11" s="342" t="n"/>
      <c r="B11" s="342" t="n"/>
      <c r="C11" s="342" t="n"/>
      <c r="D11" s="342">
        <f>IF($A11="Verdadero o Falso Simple","Verdadero",IF($A11="Respuesta A/B/Ambas/Ninguna","A. Si la primera es verdadera",IF($A11="Verdadero o Falso Complejas","1. ","")))</f>
        <v/>
      </c>
      <c r="E11" s="342">
        <f>IF($A11="Verdadero o Falso Simple","Falso",IF($A11="Respuesta A/B/Ambas/Ninguna","B. Si la segunda es verdadera",IF($A11="Verdadero o Falso Complejas","2. ","")))</f>
        <v/>
      </c>
      <c r="F11" s="342">
        <f>IF($A11="Respuesta A/B/Ambas/Ninguna","C. Si ambas son verdaderas",IF($A11="Verdadero o Falso Complejas","3. ",""))</f>
        <v/>
      </c>
      <c r="G11" s="342">
        <f>IF($A11="Respuesta A/B/Ambas/Ninguna","D. Si ninguna es verdadera",IF($A11="Verdadero o Falso Complejas","4. ",""))</f>
        <v/>
      </c>
      <c r="H11" s="342">
        <f>IF($A11="Verdadero o Falso Simple","",IF($A11="Respuesta A/B/Ambas/Ninguna","",IF($A11="Verdadero o Falso Complejas","","")))</f>
        <v/>
      </c>
      <c r="I11" s="342" t="n"/>
      <c r="J11" s="342" t="n">
        <v>1</v>
      </c>
      <c r="K11" s="342" t="inlineStr">
        <is>
          <t>2P</t>
        </is>
      </c>
      <c r="L11" s="343">
        <f>IF(TRIM($A11)="","",IF(OR($A11="Selección de la mejor respuesta",$A11="SELECCION_MEJOR_RESPUESTA",$A11="Subítem de caso o problema",$A11="SUBITEM_CASO"),IF(TRIM($C11)="","Completar enunciado",IF(SUMPRODUCT(--(LEN(TRIM($D11:$H11&amp;""))&gt;0))&lt;5,"Completar opciones A-E",IF(AND(TRIM($I11)&lt;&gt;"",OR(LEFT(TRIM($I11),1)="A",LEFT(TRIM($I11),1)="B",LEFT(TRIM($I11),1)="C",LEFT(TRIM($I11),1)="D",LEFT(TRIM($I11),1)="E")),"OK","Completar respuesta correcta A-E"))),IF(TRIM($A11)="","",IF(COUNTIF($Q11:$AJ11,"?*")=0,"OK","Falta revisar: "&amp;$Q11&amp;$R11&amp;$S11&amp;$T11&amp;$U11&amp;$V11&amp;$W11&amp;$X11&amp;$Y11&amp;$Z11&amp;$AA11&amp;$AB11&amp;$AC11&amp;$AD11&amp;$AE11&amp;$AF11&amp;$AG11&amp;$AH11&amp;$AI11&amp;$AJ11))))</f>
        <v/>
      </c>
      <c r="M11" s="341" t="n"/>
      <c r="Q11">
        <f>IF(TRIM($C11)="","enunciado","")</f>
        <v/>
      </c>
      <c r="R11">
        <f>IF(TRIM($K11)="",IF(COUNTIF($Q11:$Q11,"?*")&gt;0,", ","")&amp;"parcial","")</f>
        <v/>
      </c>
      <c r="S11">
        <f>IF(AND(TRIM($K11)&lt;&gt;"",TRIM($K11)&lt;&gt;VALIDACIONES!$G$1),IF(COUNTIF($Q11:$R11,"?*")&gt;0,", ","")&amp;"parcial distinto a "&amp;VALIDACIONES!$G$1,"")</f>
        <v/>
      </c>
      <c r="T11">
        <f>IF(AND(OR($A11="Ítems agrupados por caso clínico o problema",$A11="Subítem de caso o problema",$A11="Emparejamiento Ampliado",$A11="Opción de Emparejamiento Ampliado"),TRIM($B11)=""),IF(COUNTIF($Q11:$S11,"?*")&gt;0,", ","")&amp;"grupo","")</f>
        <v/>
      </c>
      <c r="U11">
        <f>IF(AND(OR($A11="Verdadero o Falso Simple",$A11="Respuesta A/B/Ambas/Ninguna",$A11="Verdadero o Falso Complejas",$A11="Selección de la mejor respuesta",$A11="Subítem de caso o problema",$A11="Opción de Emparejamiento Ampliado"),TRIM($I11)=""),IF(COUNTIF($Q11:$T11,"?*")&gt;0,", ","")&amp;"respuesta_correcta","")</f>
        <v/>
      </c>
      <c r="V11">
        <f>IF(AND(OR($A11="Verdadero o Falso Simple",$A11="Respuesta A/B/Ambas/Ninguna",$A11="Verdadero o Falso Complejas",$A11="Selección de la mejor respuesta",$A11="Subítem de caso o problema",$A11="Opción de Emparejamiento Ampliado"),TRIM($J11)=""),IF(COUNTIF($Q11:$U11,"?*")&gt;0,", ","")&amp;"dificultad","")</f>
        <v/>
      </c>
      <c r="W11">
        <f>IF(AND(OR($A11="Ítems agrupados por caso clínico o problema",$A11="Emparejamiento Ampliado"),TRIM($I11)&lt;&gt;""),IF(COUNTIF($Q11:$V11,"?*")&gt;0,", ","")&amp;"respuesta debe ir vacia","")</f>
        <v/>
      </c>
      <c r="X11">
        <f>IF(AND(OR($A11="Ítems agrupados por caso clínico o problema",$A11="Emparejamiento Ampliado"),TRIM($J11)&lt;&gt;""),IF(COUNTIF($Q11:$W11,"?*")&gt;0,", ","")&amp;"dificultad debe ir vacia","")</f>
        <v/>
      </c>
      <c r="Y11">
        <f>IF(AND($A11="Verdadero o Falso Simple",OR(COUNTIF($D11:$E11,"?*")&lt;2,COUNTIF($F11:$H11,"?*")&gt;0)),IF(COUNTIF($Q11:$X11,"?*")&gt;0,", ","")&amp;"incisos A-B","")</f>
        <v/>
      </c>
      <c r="Z11">
        <f>IF(AND($A11="Verdadero o Falso Simple",TRIM($I11)&lt;&gt;"",NOT(OR(LEFT(TRIM($I11),1)="A",LEFT(TRIM($I11),1)="B"))),IF(COUNTIF($Q11:$Y11,"?*")&gt;0,", ","")&amp;"respuesta A-B","")</f>
        <v/>
      </c>
      <c r="AA11">
        <f>IF(AND($A11="Respuesta A/B/Ambas/Ninguna",COUNTIF($D11:$G11,"?*")&lt;4),IF(COUNTIF($Q11:$Z11,"?*")&gt;0,", ","")&amp;"opciones A-D","")</f>
        <v/>
      </c>
      <c r="AB11">
        <f>IF(AND($A11="Respuesta A/B/Ambas/Ninguna",COUNTIF($H11:$H11,"?*")&gt;0),IF(COUNTIF($Q11:$AA11,"?*")&gt;0,", ","")&amp;"opcion E deshabilitada","")</f>
        <v/>
      </c>
      <c r="AC11">
        <f>IF(AND($A11="Respuesta A/B/Ambas/Ninguna",TRIM($I11)&lt;&gt;"",NOT(OR(LEFT(TRIM($I11),1)="A",LEFT(TRIM($I11),1)="B",LEFT(TRIM($I11),1)="C",LEFT(TRIM($I11),1)="D"))),IF(COUNTIF($Q11:$AB11,"?*")&gt;0,", ","")&amp;"respuesta A-D","")</f>
        <v/>
      </c>
      <c r="AD11">
        <f>IF(AND($A11="Verdadero o Falso Complejas",OR(LEN(TRIM(SUBSTITUTE($D11,"1.","")))=0,LEN(TRIM(SUBSTITUTE($E11,"2.","")))=0,LEN(TRIM(SUBSTITUTE($F11,"3.","")))=0,LEN(TRIM(SUBSTITUTE($G11,"4.","")))=0)),IF(COUNTIF($Q11:$AC11,"?*")&gt;0,", ","")&amp;"incisos 1-4","")</f>
        <v/>
      </c>
      <c r="AE11">
        <f>IF(AND($A11="Verdadero o Falso Complejas",COUNTIF($H11:$H11,"?*")&gt;0),IF(COUNTIF($Q11:$AD11,"?*")&gt;0,", ","")&amp;"opcion E deshabilitada","")</f>
        <v/>
      </c>
      <c r="AF11">
        <f>IF(AND($A11="Verdadero o Falso Complejas",TRIM($I11)&lt;&gt;"",NOT(OR(LEFT(TRIM($I11),1)="A",LEFT(TRIM($I11),1)="B",LEFT(TRIM($I11),1)="C",LEFT(TRIM($I11),1)="D",LEFT(TRIM($I11),1)="E"))),IF(COUNTIF($Q11:$AE11,"?*")&gt;0,", ","")&amp;"respuesta A-E","")</f>
        <v/>
      </c>
      <c r="AG11">
        <f>IF(AND(OR($A11="Selección de la mejor respuesta",$A11="Subítem de caso o problema"),COUNTA($D11:$H11)&lt;5),IF(COUNTIF($Q11:$AF11,"?*")&gt;0,", ","")&amp;"incisos A-E","")</f>
        <v/>
      </c>
      <c r="AH11">
        <f>IF(AND(OR($A11="Selección de la mejor respuesta",$A11="Subítem de caso o problema"),TRIM($I11)&lt;&gt;"",NOT(OR(LEFT(TRIM($I11),1)="A",LEFT(TRIM($I11),1)="B",LEFT(TRIM($I11),1)="C",LEFT(TRIM($I11),1)="D",LEFT(TRIM($I11),1)="E"))),IF(COUNTIF($Q11:$AG11,"?*")&gt;0,", ","")&amp;"respuesta A-E","")</f>
        <v/>
      </c>
      <c r="AI11">
        <f>IF(AND(OR($A11="Ítems agrupados por caso clínico o problema",$A11="Opción de Emparejamiento Ampliado"),COUNTIF($D11:$H11,"?*")&gt;0),IF(COUNTIF($Q11:$AH11,"?*")&gt;0,", ","")&amp;"sin incisos","")</f>
        <v/>
      </c>
      <c r="AJ11">
        <f>IF(AND($A11="Emparejamiento Ampliado",COUNTIF($D11:$H11,"?*")&lt;2),IF(COUNTIF($Q11:$AI11,"?*")&gt;0,", ","")&amp;"minimo 2 claves","")</f>
        <v/>
      </c>
      <c r="AK11">
        <f>IF(AND($A11="Opción de Emparejamiento Ampliado",NOT(OR(LEFT(TRIM($I11),1)="A",LEFT(TRIM($I11),1)="B",LEFT(TRIM($I11),1)="C",LEFT(TRIM($I11),1)="D",LEFT(TRIM($I11),1)="E"))),IF(COUNTIF($Q11:$AJ11,"?*")&gt;0,", ","")&amp;"respuesta A-E","")</f>
        <v/>
      </c>
      <c r="AL11">
        <f>IF(TRIM($K11)="",IF(COUNTIF($M11:$M11,"?*")&gt;0,", ","")&amp;"parcial","")</f>
        <v/>
      </c>
      <c r="AM11">
        <f>IF(AND(TRIM($K11)&lt;&gt;"",TRIM($K11)&lt;&gt;VALIDACIONES!$G$1),IF(COUNTIF($M11:$N11,"?*")&gt;0,", ","")&amp;"parcial distinto a "&amp;VALIDACIONES!$G$1,"")</f>
        <v/>
      </c>
      <c r="AN11">
        <f>IF(AND(OR($A11="Ítems agrupados por caso clínico o problema",$A11="Subítem de caso o problema",$A11="Emparejamiento Ampliado",$A11="Opción de Emparejamiento Ampliado"),TRIM($B11)=""),IF(COUNTIF($M11:$O11,"?*")&gt;0,", ","")&amp;"grupo","")</f>
        <v/>
      </c>
      <c r="AO11" s="368" t="inlineStr">
        <is>
          <t>Grupo 3 (Casos y Emparej.)</t>
        </is>
      </c>
      <c r="AP11" s="369">
        <f>COUNTIF($A$2:$A$1001,VALIDACIONES!$A$6)+COUNTIF($A$2:$A$1001,VALIDACIONES!$A$8)+COUNTIF($A$2:$A$1001,"OPCION_EMPAREJAMIENTO")+COUNTIF($A$2:$A$1001,"SUBITEM_CASO")+COUNTIF($A$2:$A$1001,"SUBPROBLEMA")</f>
        <v/>
      </c>
      <c r="AQ11" s="370" t="inlineStr">
        <is>
          <t>Meta: 15</t>
        </is>
      </c>
    </row>
    <row r="12" ht="24" customHeight="1">
      <c r="A12" s="342" t="n"/>
      <c r="B12" s="342" t="n"/>
      <c r="C12" s="342" t="n"/>
      <c r="D12" s="342">
        <f>IF($A12="Verdadero o Falso Simple","Verdadero",IF($A12="Respuesta A/B/Ambas/Ninguna","A. Si la primera es verdadera",IF($A12="Verdadero o Falso Complejas","1. ","")))</f>
        <v/>
      </c>
      <c r="E12" s="342">
        <f>IF($A12="Verdadero o Falso Simple","Falso",IF($A12="Respuesta A/B/Ambas/Ninguna","B. Si la segunda es verdadera",IF($A12="Verdadero o Falso Complejas","2. ","")))</f>
        <v/>
      </c>
      <c r="F12" s="342">
        <f>IF($A12="Respuesta A/B/Ambas/Ninguna","C. Si ambas son verdaderas",IF($A12="Verdadero o Falso Complejas","3. ",""))</f>
        <v/>
      </c>
      <c r="G12" s="342">
        <f>IF($A12="Respuesta A/B/Ambas/Ninguna","D. Si ninguna es verdadera",IF($A12="Verdadero o Falso Complejas","4. ",""))</f>
        <v/>
      </c>
      <c r="H12" s="342">
        <f>IF($A12="Verdadero o Falso Simple","",IF($A12="Respuesta A/B/Ambas/Ninguna","",IF($A12="Verdadero o Falso Complejas","","")))</f>
        <v/>
      </c>
      <c r="I12" s="342" t="n"/>
      <c r="J12" s="342" t="n">
        <v>1</v>
      </c>
      <c r="K12" s="342" t="inlineStr">
        <is>
          <t>2P</t>
        </is>
      </c>
      <c r="L12" s="343">
        <f>IF(TRIM($A12)="","",IF(OR($A12="Selección de la mejor respuesta",$A12="SELECCION_MEJOR_RESPUESTA",$A12="Subítem de caso o problema",$A12="SUBITEM_CASO"),IF(TRIM($C12)="","Completar enunciado",IF(SUMPRODUCT(--(LEN(TRIM($D12:$H12&amp;""))&gt;0))&lt;5,"Completar opciones A-E",IF(AND(TRIM($I12)&lt;&gt;"",OR(LEFT(TRIM($I12),1)="A",LEFT(TRIM($I12),1)="B",LEFT(TRIM($I12),1)="C",LEFT(TRIM($I12),1)="D",LEFT(TRIM($I12),1)="E")),"OK","Completar respuesta correcta A-E"))),IF(TRIM($A12)="","",IF(COUNTIF($Q12:$AJ12,"?*")=0,"OK","Falta revisar: "&amp;$Q12&amp;$R12&amp;$S12&amp;$T12&amp;$U12&amp;$V12&amp;$W12&amp;$X12&amp;$Y12&amp;$Z12&amp;$AA12&amp;$AB12&amp;$AC12&amp;$AD12&amp;$AE12&amp;$AF12&amp;$AG12&amp;$AH12&amp;$AI12&amp;$AJ12))))</f>
        <v/>
      </c>
      <c r="M12" s="341" t="n"/>
      <c r="Q12">
        <f>IF(TRIM($C12)="","enunciado","")</f>
        <v/>
      </c>
      <c r="R12">
        <f>IF(TRIM($K12)="",IF(COUNTIF($Q12:$Q12,"?*")&gt;0,", ","")&amp;"parcial","")</f>
        <v/>
      </c>
      <c r="S12">
        <f>IF(AND(TRIM($K12)&lt;&gt;"",TRIM($K12)&lt;&gt;VALIDACIONES!$G$1),IF(COUNTIF($Q12:$R12,"?*")&gt;0,", ","")&amp;"parcial distinto a "&amp;VALIDACIONES!$G$1,"")</f>
        <v/>
      </c>
      <c r="T12">
        <f>IF(AND(OR($A12="Ítems agrupados por caso clínico o problema",$A12="Subítem de caso o problema",$A12="Emparejamiento Ampliado",$A12="Opción de Emparejamiento Ampliado"),TRIM($B12)=""),IF(COUNTIF($Q12:$S12,"?*")&gt;0,", ","")&amp;"grupo","")</f>
        <v/>
      </c>
      <c r="U12">
        <f>IF(AND(OR($A12="Verdadero o Falso Simple",$A12="Respuesta A/B/Ambas/Ninguna",$A12="Verdadero o Falso Complejas",$A12="Selección de la mejor respuesta",$A12="Subítem de caso o problema",$A12="Opción de Emparejamiento Ampliado"),TRIM($I12)=""),IF(COUNTIF($Q12:$T12,"?*")&gt;0,", ","")&amp;"respuesta_correcta","")</f>
        <v/>
      </c>
      <c r="V12">
        <f>IF(AND(OR($A12="Verdadero o Falso Simple",$A12="Respuesta A/B/Ambas/Ninguna",$A12="Verdadero o Falso Complejas",$A12="Selección de la mejor respuesta",$A12="Subítem de caso o problema",$A12="Opción de Emparejamiento Ampliado"),TRIM($J12)=""),IF(COUNTIF($Q12:$U12,"?*")&gt;0,", ","")&amp;"dificultad","")</f>
        <v/>
      </c>
      <c r="W12">
        <f>IF(AND(OR($A12="Ítems agrupados por caso clínico o problema",$A12="Emparejamiento Ampliado"),TRIM($I12)&lt;&gt;""),IF(COUNTIF($Q12:$V12,"?*")&gt;0,", ","")&amp;"respuesta debe ir vacia","")</f>
        <v/>
      </c>
      <c r="X12">
        <f>IF(AND(OR($A12="Ítems agrupados por caso clínico o problema",$A12="Emparejamiento Ampliado"),TRIM($J12)&lt;&gt;""),IF(COUNTIF($Q12:$W12,"?*")&gt;0,", ","")&amp;"dificultad debe ir vacia","")</f>
        <v/>
      </c>
      <c r="Y12">
        <f>IF(AND($A12="Verdadero o Falso Simple",OR(COUNTIF($D12:$E12,"?*")&lt;2,COUNTIF($F12:$H12,"?*")&gt;0)),IF(COUNTIF($Q12:$X12,"?*")&gt;0,", ","")&amp;"incisos A-B","")</f>
        <v/>
      </c>
      <c r="Z12">
        <f>IF(AND($A12="Verdadero o Falso Simple",TRIM($I12)&lt;&gt;"",NOT(OR(LEFT(TRIM($I12),1)="A",LEFT(TRIM($I12),1)="B"))),IF(COUNTIF($Q12:$Y12,"?*")&gt;0,", ","")&amp;"respuesta A-B","")</f>
        <v/>
      </c>
      <c r="AA12">
        <f>IF(AND($A12="Respuesta A/B/Ambas/Ninguna",COUNTIF($D12:$G12,"?*")&lt;4),IF(COUNTIF($Q12:$Z12,"?*")&gt;0,", ","")&amp;"opciones A-D","")</f>
        <v/>
      </c>
      <c r="AB12">
        <f>IF(AND($A12="Respuesta A/B/Ambas/Ninguna",COUNTIF($H12:$H12,"?*")&gt;0),IF(COUNTIF($Q12:$AA12,"?*")&gt;0,", ","")&amp;"opcion E deshabilitada","")</f>
        <v/>
      </c>
      <c r="AC12">
        <f>IF(AND($A12="Respuesta A/B/Ambas/Ninguna",TRIM($I12)&lt;&gt;"",NOT(OR(LEFT(TRIM($I12),1)="A",LEFT(TRIM($I12),1)="B",LEFT(TRIM($I12),1)="C",LEFT(TRIM($I12),1)="D"))),IF(COUNTIF($Q12:$AB12,"?*")&gt;0,", ","")&amp;"respuesta A-D","")</f>
        <v/>
      </c>
      <c r="AD12">
        <f>IF(AND($A12="Verdadero o Falso Complejas",OR(LEN(TRIM(SUBSTITUTE($D12,"1.","")))=0,LEN(TRIM(SUBSTITUTE($E12,"2.","")))=0,LEN(TRIM(SUBSTITUTE($F12,"3.","")))=0,LEN(TRIM(SUBSTITUTE($G12,"4.","")))=0)),IF(COUNTIF($Q12:$AC12,"?*")&gt;0,", ","")&amp;"incisos 1-4","")</f>
        <v/>
      </c>
      <c r="AE12">
        <f>IF(AND($A12="Verdadero o Falso Complejas",COUNTIF($H12:$H12,"?*")&gt;0),IF(COUNTIF($Q12:$AD12,"?*")&gt;0,", ","")&amp;"opcion E deshabilitada","")</f>
        <v/>
      </c>
      <c r="AF12">
        <f>IF(AND($A12="Verdadero o Falso Complejas",TRIM($I12)&lt;&gt;"",NOT(OR(LEFT(TRIM($I12),1)="A",LEFT(TRIM($I12),1)="B",LEFT(TRIM($I12),1)="C",LEFT(TRIM($I12),1)="D",LEFT(TRIM($I12),1)="E"))),IF(COUNTIF($Q12:$AE12,"?*")&gt;0,", ","")&amp;"respuesta A-E","")</f>
        <v/>
      </c>
      <c r="AG12">
        <f>IF(AND(OR($A12="Selección de la mejor respuesta",$A12="Subítem de caso o problema"),COUNTA($D12:$H12)&lt;5),IF(COUNTIF($Q12:$AF12,"?*")&gt;0,", ","")&amp;"incisos A-E","")</f>
        <v/>
      </c>
      <c r="AH12">
        <f>IF(AND(OR($A12="Selección de la mejor respuesta",$A12="Subítem de caso o problema"),TRIM($I12)&lt;&gt;"",NOT(OR(LEFT(TRIM($I12),1)="A",LEFT(TRIM($I12),1)="B",LEFT(TRIM($I12),1)="C",LEFT(TRIM($I12),1)="D",LEFT(TRIM($I12),1)="E"))),IF(COUNTIF($Q12:$AG12,"?*")&gt;0,", ","")&amp;"respuesta A-E","")</f>
        <v/>
      </c>
      <c r="AI12">
        <f>IF(AND(OR($A12="Ítems agrupados por caso clínico o problema",$A12="Opción de Emparejamiento Ampliado"),COUNTIF($D12:$H12,"?*")&gt;0),IF(COUNTIF($Q12:$AH12,"?*")&gt;0,", ","")&amp;"sin incisos","")</f>
        <v/>
      </c>
      <c r="AJ12">
        <f>IF(AND($A12="Emparejamiento Ampliado",COUNTIF($D12:$H12,"?*")&lt;2),IF(COUNTIF($Q12:$AI12,"?*")&gt;0,", ","")&amp;"minimo 2 claves","")</f>
        <v/>
      </c>
      <c r="AK12">
        <f>IF(AND($A12="Opción de Emparejamiento Ampliado",NOT(OR(LEFT(TRIM($I12),1)="A",LEFT(TRIM($I12),1)="B",LEFT(TRIM($I12),1)="C",LEFT(TRIM($I12),1)="D",LEFT(TRIM($I12),1)="E"))),IF(COUNTIF($Q12:$AJ12,"?*")&gt;0,", ","")&amp;"respuesta A-E","")</f>
        <v/>
      </c>
      <c r="AL12">
        <f>IF(TRIM($K12)="",IF(COUNTIF($M12:$M12,"?*")&gt;0,", ","")&amp;"parcial","")</f>
        <v/>
      </c>
      <c r="AM12">
        <f>IF(AND(TRIM($K12)&lt;&gt;"",TRIM($K12)&lt;&gt;VALIDACIONES!$G$1),IF(COUNTIF($M12:$N12,"?*")&gt;0,", ","")&amp;"parcial distinto a "&amp;VALIDACIONES!$G$1,"")</f>
        <v/>
      </c>
      <c r="AN12">
        <f>IF(AND(OR($A12="Ítems agrupados por caso clínico o problema",$A12="Subítem de caso o problema",$A12="Emparejamiento Ampliado",$A12="Opción de Emparejamiento Ampliado"),TRIM($B12)=""),IF(COUNTIF($M12:$O12,"?*")&gt;0,", ","")&amp;"grupo","")</f>
        <v/>
      </c>
      <c r="AO12" s="368" t="inlineStr">
        <is>
          <t>Total por Grupos</t>
        </is>
      </c>
      <c r="AP12" s="369">
        <f>SUM(AP9:AP11)</f>
        <v/>
      </c>
      <c r="AQ12" s="370" t="inlineStr">
        <is>
          <t>Meta: 60</t>
        </is>
      </c>
    </row>
    <row r="13" ht="24" customHeight="1">
      <c r="A13" s="342" t="n"/>
      <c r="B13" s="342" t="n"/>
      <c r="C13" s="342" t="n"/>
      <c r="D13" s="342">
        <f>IF($A13="Verdadero o Falso Simple","Verdadero",IF($A13="Respuesta A/B/Ambas/Ninguna","A. Si la primera es verdadera",IF($A13="Verdadero o Falso Complejas","1. ","")))</f>
        <v/>
      </c>
      <c r="E13" s="342">
        <f>IF($A13="Verdadero o Falso Simple","Falso",IF($A13="Respuesta A/B/Ambas/Ninguna","B. Si la segunda es verdadera",IF($A13="Verdadero o Falso Complejas","2. ","")))</f>
        <v/>
      </c>
      <c r="F13" s="342">
        <f>IF($A13="Respuesta A/B/Ambas/Ninguna","C. Si ambas son verdaderas",IF($A13="Verdadero o Falso Complejas","3. ",""))</f>
        <v/>
      </c>
      <c r="G13" s="342">
        <f>IF($A13="Respuesta A/B/Ambas/Ninguna","D. Si ninguna es verdadera",IF($A13="Verdadero o Falso Complejas","4. ",""))</f>
        <v/>
      </c>
      <c r="H13" s="342">
        <f>IF($A13="Verdadero o Falso Simple","",IF($A13="Respuesta A/B/Ambas/Ninguna","",IF($A13="Verdadero o Falso Complejas","","")))</f>
        <v/>
      </c>
      <c r="I13" s="342" t="n"/>
      <c r="J13" s="342" t="n">
        <v>1</v>
      </c>
      <c r="K13" s="342" t="inlineStr">
        <is>
          <t>2P</t>
        </is>
      </c>
      <c r="L13" s="343">
        <f>IF(TRIM($A13)="","",IF(OR($A13="Selección de la mejor respuesta",$A13="SELECCION_MEJOR_RESPUESTA",$A13="Subítem de caso o problema",$A13="SUBITEM_CASO"),IF(TRIM($C13)="","Completar enunciado",IF(SUMPRODUCT(--(LEN(TRIM($D13:$H13&amp;""))&gt;0))&lt;5,"Completar opciones A-E",IF(AND(TRIM($I13)&lt;&gt;"",OR(LEFT(TRIM($I13),1)="A",LEFT(TRIM($I13),1)="B",LEFT(TRIM($I13),1)="C",LEFT(TRIM($I13),1)="D",LEFT(TRIM($I13),1)="E")),"OK","Completar respuesta correcta A-E"))),IF(TRIM($A13)="","",IF(COUNTIF($Q13:$AJ13,"?*")=0,"OK","Falta revisar: "&amp;$Q13&amp;$R13&amp;$S13&amp;$T13&amp;$U13&amp;$V13&amp;$W13&amp;$X13&amp;$Y13&amp;$Z13&amp;$AA13&amp;$AB13&amp;$AC13&amp;$AD13&amp;$AE13&amp;$AF13&amp;$AG13&amp;$AH13&amp;$AI13&amp;$AJ13))))</f>
        <v/>
      </c>
      <c r="M13" s="341" t="n"/>
      <c r="Q13">
        <f>IF(TRIM($C13)="","enunciado","")</f>
        <v/>
      </c>
      <c r="R13">
        <f>IF(TRIM($K13)="",IF(COUNTIF($Q13:$Q13,"?*")&gt;0,", ","")&amp;"parcial","")</f>
        <v/>
      </c>
      <c r="S13">
        <f>IF(AND(TRIM($K13)&lt;&gt;"",TRIM($K13)&lt;&gt;VALIDACIONES!$G$1),IF(COUNTIF($Q13:$R13,"?*")&gt;0,", ","")&amp;"parcial distinto a "&amp;VALIDACIONES!$G$1,"")</f>
        <v/>
      </c>
      <c r="T13">
        <f>IF(AND(OR($A13="Ítems agrupados por caso clínico o problema",$A13="Subítem de caso o problema",$A13="Emparejamiento Ampliado",$A13="Opción de Emparejamiento Ampliado"),TRIM($B13)=""),IF(COUNTIF($Q13:$S13,"?*")&gt;0,", ","")&amp;"grupo","")</f>
        <v/>
      </c>
      <c r="U13">
        <f>IF(AND(OR($A13="Verdadero o Falso Simple",$A13="Respuesta A/B/Ambas/Ninguna",$A13="Verdadero o Falso Complejas",$A13="Selección de la mejor respuesta",$A13="Subítem de caso o problema",$A13="Opción de Emparejamiento Ampliado"),TRIM($I13)=""),IF(COUNTIF($Q13:$T13,"?*")&gt;0,", ","")&amp;"respuesta_correcta","")</f>
        <v/>
      </c>
      <c r="V13">
        <f>IF(AND(OR($A13="Verdadero o Falso Simple",$A13="Respuesta A/B/Ambas/Ninguna",$A13="Verdadero o Falso Complejas",$A13="Selección de la mejor respuesta",$A13="Subítem de caso o problema",$A13="Opción de Emparejamiento Ampliado"),TRIM($J13)=""),IF(COUNTIF($Q13:$U13,"?*")&gt;0,", ","")&amp;"dificultad","")</f>
        <v/>
      </c>
      <c r="W13">
        <f>IF(AND(OR($A13="Ítems agrupados por caso clínico o problema",$A13="Emparejamiento Ampliado"),TRIM($I13)&lt;&gt;""),IF(COUNTIF($Q13:$V13,"?*")&gt;0,", ","")&amp;"respuesta debe ir vacia","")</f>
        <v/>
      </c>
      <c r="X13">
        <f>IF(AND(OR($A13="Ítems agrupados por caso clínico o problema",$A13="Emparejamiento Ampliado"),TRIM($J13)&lt;&gt;""),IF(COUNTIF($Q13:$W13,"?*")&gt;0,", ","")&amp;"dificultad debe ir vacia","")</f>
        <v/>
      </c>
      <c r="Y13">
        <f>IF(AND($A13="Verdadero o Falso Simple",OR(COUNTIF($D13:$E13,"?*")&lt;2,COUNTIF($F13:$H13,"?*")&gt;0)),IF(COUNTIF($Q13:$X13,"?*")&gt;0,", ","")&amp;"incisos A-B","")</f>
        <v/>
      </c>
      <c r="Z13">
        <f>IF(AND($A13="Verdadero o Falso Simple",TRIM($I13)&lt;&gt;"",NOT(OR(LEFT(TRIM($I13),1)="A",LEFT(TRIM($I13),1)="B"))),IF(COUNTIF($Q13:$Y13,"?*")&gt;0,", ","")&amp;"respuesta A-B","")</f>
        <v/>
      </c>
      <c r="AA13">
        <f>IF(AND($A13="Respuesta A/B/Ambas/Ninguna",COUNTIF($D13:$G13,"?*")&lt;4),IF(COUNTIF($Q13:$Z13,"?*")&gt;0,", ","")&amp;"opciones A-D","")</f>
        <v/>
      </c>
      <c r="AB13">
        <f>IF(AND($A13="Respuesta A/B/Ambas/Ninguna",COUNTIF($H13:$H13,"?*")&gt;0),IF(COUNTIF($Q13:$AA13,"?*")&gt;0,", ","")&amp;"opcion E deshabilitada","")</f>
        <v/>
      </c>
      <c r="AC13">
        <f>IF(AND($A13="Respuesta A/B/Ambas/Ninguna",TRIM($I13)&lt;&gt;"",NOT(OR(LEFT(TRIM($I13),1)="A",LEFT(TRIM($I13),1)="B",LEFT(TRIM($I13),1)="C",LEFT(TRIM($I13),1)="D"))),IF(COUNTIF($Q13:$AB13,"?*")&gt;0,", ","")&amp;"respuesta A-D","")</f>
        <v/>
      </c>
      <c r="AD13">
        <f>IF(AND($A13="Verdadero o Falso Complejas",OR(LEN(TRIM(SUBSTITUTE($D13,"1.","")))=0,LEN(TRIM(SUBSTITUTE($E13,"2.","")))=0,LEN(TRIM(SUBSTITUTE($F13,"3.","")))=0,LEN(TRIM(SUBSTITUTE($G13,"4.","")))=0)),IF(COUNTIF($Q13:$AC13,"?*")&gt;0,", ","")&amp;"incisos 1-4","")</f>
        <v/>
      </c>
      <c r="AE13">
        <f>IF(AND($A13="Verdadero o Falso Complejas",COUNTIF($H13:$H13,"?*")&gt;0),IF(COUNTIF($Q13:$AD13,"?*")&gt;0,", ","")&amp;"opcion E deshabilitada","")</f>
        <v/>
      </c>
      <c r="AF13">
        <f>IF(AND($A13="Verdadero o Falso Complejas",TRIM($I13)&lt;&gt;"",NOT(OR(LEFT(TRIM($I13),1)="A",LEFT(TRIM($I13),1)="B",LEFT(TRIM($I13),1)="C",LEFT(TRIM($I13),1)="D",LEFT(TRIM($I13),1)="E"))),IF(COUNTIF($Q13:$AE13,"?*")&gt;0,", ","")&amp;"respuesta A-E","")</f>
        <v/>
      </c>
      <c r="AG13">
        <f>IF(AND(OR($A13="Selección de la mejor respuesta",$A13="Subítem de caso o problema"),COUNTA($D13:$H13)&lt;5),IF(COUNTIF($Q13:$AF13,"?*")&gt;0,", ","")&amp;"incisos A-E","")</f>
        <v/>
      </c>
      <c r="AH13">
        <f>IF(AND(OR($A13="Selección de la mejor respuesta",$A13="Subítem de caso o problema"),TRIM($I13)&lt;&gt;"",NOT(OR(LEFT(TRIM($I13),1)="A",LEFT(TRIM($I13),1)="B",LEFT(TRIM($I13),1)="C",LEFT(TRIM($I13),1)="D",LEFT(TRIM($I13),1)="E"))),IF(COUNTIF($Q13:$AG13,"?*")&gt;0,", ","")&amp;"respuesta A-E","")</f>
        <v/>
      </c>
      <c r="AI13">
        <f>IF(AND(OR($A13="Ítems agrupados por caso clínico o problema",$A13="Opción de Emparejamiento Ampliado"),COUNTIF($D13:$H13,"?*")&gt;0),IF(COUNTIF($Q13:$AH13,"?*")&gt;0,", ","")&amp;"sin incisos","")</f>
        <v/>
      </c>
      <c r="AJ13">
        <f>IF(AND($A13="Emparejamiento Ampliado",COUNTIF($D13:$H13,"?*")&lt;2),IF(COUNTIF($Q13:$AI13,"?*")&gt;0,", ","")&amp;"minimo 2 claves","")</f>
        <v/>
      </c>
      <c r="AK13">
        <f>IF(AND($A13="Opción de Emparejamiento Ampliado",NOT(OR(LEFT(TRIM($I13),1)="A",LEFT(TRIM($I13),1)="B",LEFT(TRIM($I13),1)="C",LEFT(TRIM($I13),1)="D",LEFT(TRIM($I13),1)="E"))),IF(COUNTIF($Q13:$AJ13,"?*")&gt;0,", ","")&amp;"respuesta A-E","")</f>
        <v/>
      </c>
      <c r="AL13">
        <f>IF(TRIM($K13)="",IF(COUNTIF($M13:$M13,"?*")&gt;0,", ","")&amp;"parcial","")</f>
        <v/>
      </c>
      <c r="AM13">
        <f>IF(AND(TRIM($K13)&lt;&gt;"",TRIM($K13)&lt;&gt;VALIDACIONES!$G$1),IF(COUNTIF($M13:$N13,"?*")&gt;0,", ","")&amp;"parcial distinto a "&amp;VALIDACIONES!$G$1,"")</f>
        <v/>
      </c>
      <c r="AN13">
        <f>IF(AND(OR($A13="Ítems agrupados por caso clínico o problema",$A13="Subítem de caso o problema",$A13="Emparejamiento Ampliado",$A13="Opción de Emparejamiento Ampliado"),TRIM($B13)=""),IF(COUNTIF($M13:$O13,"?*")&gt;0,", ","")&amp;"grupo","")</f>
        <v/>
      </c>
      <c r="AO13" s="368" t="inlineStr">
        <is>
          <t>Estado Grupos</t>
        </is>
      </c>
      <c r="AP13" s="369">
        <f>IF(AND(AP9&gt;=15,AP10&gt;=30,AP11&gt;=15,AP12&gt;=60),"COMPLETA","REVISAR")</f>
        <v/>
      </c>
      <c r="AQ13" s="370" t="n"/>
    </row>
    <row r="14" ht="24" customHeight="1">
      <c r="A14" s="342" t="n"/>
      <c r="B14" s="342" t="n"/>
      <c r="C14" s="342" t="n"/>
      <c r="D14" s="342">
        <f>IF($A14="Verdadero o Falso Simple","Verdadero",IF($A14="Respuesta A/B/Ambas/Ninguna","A. Si la primera es verdadera",IF($A14="Verdadero o Falso Complejas","1. ","")))</f>
        <v/>
      </c>
      <c r="E14" s="342">
        <f>IF($A14="Verdadero o Falso Simple","Falso",IF($A14="Respuesta A/B/Ambas/Ninguna","B. Si la segunda es verdadera",IF($A14="Verdadero o Falso Complejas","2. ","")))</f>
        <v/>
      </c>
      <c r="F14" s="342">
        <f>IF($A14="Respuesta A/B/Ambas/Ninguna","C. Si ambas son verdaderas",IF($A14="Verdadero o Falso Complejas","3. ",""))</f>
        <v/>
      </c>
      <c r="G14" s="342">
        <f>IF($A14="Respuesta A/B/Ambas/Ninguna","D. Si ninguna es verdadera",IF($A14="Verdadero o Falso Complejas","4. ",""))</f>
        <v/>
      </c>
      <c r="H14" s="342">
        <f>IF($A14="Verdadero o Falso Simple","",IF($A14="Respuesta A/B/Ambas/Ninguna","",IF($A14="Verdadero o Falso Complejas","","")))</f>
        <v/>
      </c>
      <c r="I14" s="342" t="n"/>
      <c r="J14" s="342" t="n">
        <v>1</v>
      </c>
      <c r="K14" s="342" t="inlineStr">
        <is>
          <t>2P</t>
        </is>
      </c>
      <c r="L14" s="343">
        <f>IF(TRIM($A14)="","",IF(OR($A14="Selección de la mejor respuesta",$A14="SELECCION_MEJOR_RESPUESTA",$A14="Subítem de caso o problema",$A14="SUBITEM_CASO"),IF(TRIM($C14)="","Completar enunciado",IF(SUMPRODUCT(--(LEN(TRIM($D14:$H14&amp;""))&gt;0))&lt;5,"Completar opciones A-E",IF(AND(TRIM($I14)&lt;&gt;"",OR(LEFT(TRIM($I14),1)="A",LEFT(TRIM($I14),1)="B",LEFT(TRIM($I14),1)="C",LEFT(TRIM($I14),1)="D",LEFT(TRIM($I14),1)="E")),"OK","Completar respuesta correcta A-E"))),IF(TRIM($A14)="","",IF(COUNTIF($Q14:$AJ14,"?*")=0,"OK","Falta revisar: "&amp;$Q14&amp;$R14&amp;$S14&amp;$T14&amp;$U14&amp;$V14&amp;$W14&amp;$X14&amp;$Y14&amp;$Z14&amp;$AA14&amp;$AB14&amp;$AC14&amp;$AD14&amp;$AE14&amp;$AF14&amp;$AG14&amp;$AH14&amp;$AI14&amp;$AJ14))))</f>
        <v/>
      </c>
      <c r="M14" s="341" t="n"/>
      <c r="Q14">
        <f>IF(TRIM($C14)="","enunciado","")</f>
        <v/>
      </c>
      <c r="R14">
        <f>IF(TRIM($K14)="",IF(COUNTIF($Q14:$Q14,"?*")&gt;0,", ","")&amp;"parcial","")</f>
        <v/>
      </c>
      <c r="S14">
        <f>IF(AND(TRIM($K14)&lt;&gt;"",TRIM($K14)&lt;&gt;VALIDACIONES!$G$1),IF(COUNTIF($Q14:$R14,"?*")&gt;0,", ","")&amp;"parcial distinto a "&amp;VALIDACIONES!$G$1,"")</f>
        <v/>
      </c>
      <c r="T14">
        <f>IF(AND(OR($A14="Ítems agrupados por caso clínico o problema",$A14="Subítem de caso o problema",$A14="Emparejamiento Ampliado",$A14="Opción de Emparejamiento Ampliado"),TRIM($B14)=""),IF(COUNTIF($Q14:$S14,"?*")&gt;0,", ","")&amp;"grupo","")</f>
        <v/>
      </c>
      <c r="U14">
        <f>IF(AND(OR($A14="Verdadero o Falso Simple",$A14="Respuesta A/B/Ambas/Ninguna",$A14="Verdadero o Falso Complejas",$A14="Selección de la mejor respuesta",$A14="Subítem de caso o problema",$A14="Opción de Emparejamiento Ampliado"),TRIM($I14)=""),IF(COUNTIF($Q14:$T14,"?*")&gt;0,", ","")&amp;"respuesta_correcta","")</f>
        <v/>
      </c>
      <c r="V14">
        <f>IF(AND(OR($A14="Verdadero o Falso Simple",$A14="Respuesta A/B/Ambas/Ninguna",$A14="Verdadero o Falso Complejas",$A14="Selección de la mejor respuesta",$A14="Subítem de caso o problema",$A14="Opción de Emparejamiento Ampliado"),TRIM($J14)=""),IF(COUNTIF($Q14:$U14,"?*")&gt;0,", ","")&amp;"dificultad","")</f>
        <v/>
      </c>
      <c r="W14">
        <f>IF(AND(OR($A14="Ítems agrupados por caso clínico o problema",$A14="Emparejamiento Ampliado"),TRIM($I14)&lt;&gt;""),IF(COUNTIF($Q14:$V14,"?*")&gt;0,", ","")&amp;"respuesta debe ir vacia","")</f>
        <v/>
      </c>
      <c r="X14">
        <f>IF(AND(OR($A14="Ítems agrupados por caso clínico o problema",$A14="Emparejamiento Ampliado"),TRIM($J14)&lt;&gt;""),IF(COUNTIF($Q14:$W14,"?*")&gt;0,", ","")&amp;"dificultad debe ir vacia","")</f>
        <v/>
      </c>
      <c r="Y14">
        <f>IF(AND($A14="Verdadero o Falso Simple",OR(COUNTIF($D14:$E14,"?*")&lt;2,COUNTIF($F14:$H14,"?*")&gt;0)),IF(COUNTIF($Q14:$X14,"?*")&gt;0,", ","")&amp;"incisos A-B","")</f>
        <v/>
      </c>
      <c r="Z14">
        <f>IF(AND($A14="Verdadero o Falso Simple",TRIM($I14)&lt;&gt;"",NOT(OR(LEFT(TRIM($I14),1)="A",LEFT(TRIM($I14),1)="B"))),IF(COUNTIF($Q14:$Y14,"?*")&gt;0,", ","")&amp;"respuesta A-B","")</f>
        <v/>
      </c>
      <c r="AA14">
        <f>IF(AND($A14="Respuesta A/B/Ambas/Ninguna",COUNTIF($D14:$G14,"?*")&lt;4),IF(COUNTIF($Q14:$Z14,"?*")&gt;0,", ","")&amp;"opciones A-D","")</f>
        <v/>
      </c>
      <c r="AB14">
        <f>IF(AND($A14="Respuesta A/B/Ambas/Ninguna",COUNTIF($H14:$H14,"?*")&gt;0),IF(COUNTIF($Q14:$AA14,"?*")&gt;0,", ","")&amp;"opcion E deshabilitada","")</f>
        <v/>
      </c>
      <c r="AC14">
        <f>IF(AND($A14="Respuesta A/B/Ambas/Ninguna",TRIM($I14)&lt;&gt;"",NOT(OR(LEFT(TRIM($I14),1)="A",LEFT(TRIM($I14),1)="B",LEFT(TRIM($I14),1)="C",LEFT(TRIM($I14),1)="D"))),IF(COUNTIF($Q14:$AB14,"?*")&gt;0,", ","")&amp;"respuesta A-D","")</f>
        <v/>
      </c>
      <c r="AD14">
        <f>IF(AND($A14="Verdadero o Falso Complejas",OR(LEN(TRIM(SUBSTITUTE($D14,"1.","")))=0,LEN(TRIM(SUBSTITUTE($E14,"2.","")))=0,LEN(TRIM(SUBSTITUTE($F14,"3.","")))=0,LEN(TRIM(SUBSTITUTE($G14,"4.","")))=0)),IF(COUNTIF($Q14:$AC14,"?*")&gt;0,", ","")&amp;"incisos 1-4","")</f>
        <v/>
      </c>
      <c r="AE14">
        <f>IF(AND($A14="Verdadero o Falso Complejas",COUNTIF($H14:$H14,"?*")&gt;0),IF(COUNTIF($Q14:$AD14,"?*")&gt;0,", ","")&amp;"opcion E deshabilitada","")</f>
        <v/>
      </c>
      <c r="AF14">
        <f>IF(AND($A14="Verdadero o Falso Complejas",TRIM($I14)&lt;&gt;"",NOT(OR(LEFT(TRIM($I14),1)="A",LEFT(TRIM($I14),1)="B",LEFT(TRIM($I14),1)="C",LEFT(TRIM($I14),1)="D",LEFT(TRIM($I14),1)="E"))),IF(COUNTIF($Q14:$AE14,"?*")&gt;0,", ","")&amp;"respuesta A-E","")</f>
        <v/>
      </c>
      <c r="AG14">
        <f>IF(AND(OR($A14="Selección de la mejor respuesta",$A14="Subítem de caso o problema"),COUNTA($D14:$H14)&lt;5),IF(COUNTIF($Q14:$AF14,"?*")&gt;0,", ","")&amp;"incisos A-E","")</f>
        <v/>
      </c>
      <c r="AH14">
        <f>IF(AND(OR($A14="Selección de la mejor respuesta",$A14="Subítem de caso o problema"),TRIM($I14)&lt;&gt;"",NOT(OR(LEFT(TRIM($I14),1)="A",LEFT(TRIM($I14),1)="B",LEFT(TRIM($I14),1)="C",LEFT(TRIM($I14),1)="D",LEFT(TRIM($I14),1)="E"))),IF(COUNTIF($Q14:$AG14,"?*")&gt;0,", ","")&amp;"respuesta A-E","")</f>
        <v/>
      </c>
      <c r="AI14">
        <f>IF(AND(OR($A14="Ítems agrupados por caso clínico o problema",$A14="Opción de Emparejamiento Ampliado"),COUNTIF($D14:$H14,"?*")&gt;0),IF(COUNTIF($Q14:$AH14,"?*")&gt;0,", ","")&amp;"sin incisos","")</f>
        <v/>
      </c>
      <c r="AJ14">
        <f>IF(AND($A14="Emparejamiento Ampliado",COUNTIF($D14:$H14,"?*")&lt;2),IF(COUNTIF($Q14:$AI14,"?*")&gt;0,", ","")&amp;"minimo 2 claves","")</f>
        <v/>
      </c>
      <c r="AK14">
        <f>IF(AND($A14="Opción de Emparejamiento Ampliado",NOT(OR(LEFT(TRIM($I14),1)="A",LEFT(TRIM($I14),1)="B",LEFT(TRIM($I14),1)="C",LEFT(TRIM($I14),1)="D",LEFT(TRIM($I14),1)="E"))),IF(COUNTIF($Q14:$AJ14,"?*")&gt;0,", ","")&amp;"respuesta A-E","")</f>
        <v/>
      </c>
      <c r="AL14">
        <f>IF(TRIM($K14)="",IF(COUNTIF($M14:$M14,"?*")&gt;0,", ","")&amp;"parcial","")</f>
        <v/>
      </c>
      <c r="AM14">
        <f>IF(AND(TRIM($K14)&lt;&gt;"",TRIM($K14)&lt;&gt;VALIDACIONES!$G$1),IF(COUNTIF($M14:$N14,"?*")&gt;0,", ","")&amp;"parcial distinto a "&amp;VALIDACIONES!$G$1,"")</f>
        <v/>
      </c>
      <c r="AN14">
        <f>IF(AND(OR($A14="Ítems agrupados por caso clínico o problema",$A14="Subítem de caso o problema",$A14="Emparejamiento Ampliado",$A14="Opción de Emparejamiento Ampliado"),TRIM($B14)=""),IF(COUNTIF($M14:$O14,"?*")&gt;0,", ","")&amp;"grupo","")</f>
        <v/>
      </c>
      <c r="AO14" s="368" t="inlineStr">
        <is>
          <t>Estado General</t>
        </is>
      </c>
      <c r="AP14" s="369">
        <f>IF(AND(AP6="COMPLETA",AP13="COMPLETA"),"APROBADO","REVISAR")</f>
        <v/>
      </c>
      <c r="AQ14" s="370" t="n"/>
    </row>
    <row r="15" ht="24" customHeight="1">
      <c r="A15" s="342" t="n"/>
      <c r="B15" s="342" t="n"/>
      <c r="C15" s="342" t="n"/>
      <c r="D15" s="342">
        <f>IF($A15="Verdadero o Falso Simple","Verdadero",IF($A15="Respuesta A/B/Ambas/Ninguna","A. Si la primera es verdadera",IF($A15="Verdadero o Falso Complejas","1. ","")))</f>
        <v/>
      </c>
      <c r="E15" s="342">
        <f>IF($A15="Verdadero o Falso Simple","Falso",IF($A15="Respuesta A/B/Ambas/Ninguna","B. Si la segunda es verdadera",IF($A15="Verdadero o Falso Complejas","2. ","")))</f>
        <v/>
      </c>
      <c r="F15" s="342">
        <f>IF($A15="Respuesta A/B/Ambas/Ninguna","C. Si ambas son verdaderas",IF($A15="Verdadero o Falso Complejas","3. ",""))</f>
        <v/>
      </c>
      <c r="G15" s="342">
        <f>IF($A15="Respuesta A/B/Ambas/Ninguna","D. Si ninguna es verdadera",IF($A15="Verdadero o Falso Complejas","4. ",""))</f>
        <v/>
      </c>
      <c r="H15" s="342">
        <f>IF($A15="Verdadero o Falso Simple","",IF($A15="Respuesta A/B/Ambas/Ninguna","",IF($A15="Verdadero o Falso Complejas","","")))</f>
        <v/>
      </c>
      <c r="I15" s="342" t="n"/>
      <c r="J15" s="342" t="n">
        <v>1</v>
      </c>
      <c r="K15" s="342" t="inlineStr">
        <is>
          <t>2P</t>
        </is>
      </c>
      <c r="L15" s="343">
        <f>IF(TRIM($A15)="","",IF(OR($A15="Selección de la mejor respuesta",$A15="SELECCION_MEJOR_RESPUESTA",$A15="Subítem de caso o problema",$A15="SUBITEM_CASO"),IF(TRIM($C15)="","Completar enunciado",IF(SUMPRODUCT(--(LEN(TRIM($D15:$H15&amp;""))&gt;0))&lt;5,"Completar opciones A-E",IF(AND(TRIM($I15)&lt;&gt;"",OR(LEFT(TRIM($I15),1)="A",LEFT(TRIM($I15),1)="B",LEFT(TRIM($I15),1)="C",LEFT(TRIM($I15),1)="D",LEFT(TRIM($I15),1)="E")),"OK","Completar respuesta correcta A-E"))),IF(TRIM($A15)="","",IF(COUNTIF($Q15:$AJ15,"?*")=0,"OK","Falta revisar: "&amp;$Q15&amp;$R15&amp;$S15&amp;$T15&amp;$U15&amp;$V15&amp;$W15&amp;$X15&amp;$Y15&amp;$Z15&amp;$AA15&amp;$AB15&amp;$AC15&amp;$AD15&amp;$AE15&amp;$AF15&amp;$AG15&amp;$AH15&amp;$AI15&amp;$AJ15))))</f>
        <v/>
      </c>
      <c r="M15" s="341" t="n"/>
      <c r="Q15">
        <f>IF(TRIM($C15)="","enunciado","")</f>
        <v/>
      </c>
      <c r="R15">
        <f>IF(TRIM($K15)="",IF(COUNTIF($Q15:$Q15,"?*")&gt;0,", ","")&amp;"parcial","")</f>
        <v/>
      </c>
      <c r="S15">
        <f>IF(AND(TRIM($K15)&lt;&gt;"",TRIM($K15)&lt;&gt;VALIDACIONES!$G$1),IF(COUNTIF($Q15:$R15,"?*")&gt;0,", ","")&amp;"parcial distinto a "&amp;VALIDACIONES!$G$1,"")</f>
        <v/>
      </c>
      <c r="T15">
        <f>IF(AND(OR($A15="Ítems agrupados por caso clínico o problema",$A15="Subítem de caso o problema",$A15="Emparejamiento Ampliado",$A15="Opción de Emparejamiento Ampliado"),TRIM($B15)=""),IF(COUNTIF($Q15:$S15,"?*")&gt;0,", ","")&amp;"grupo","")</f>
        <v/>
      </c>
      <c r="U15">
        <f>IF(AND(OR($A15="Verdadero o Falso Simple",$A15="Respuesta A/B/Ambas/Ninguna",$A15="Verdadero o Falso Complejas",$A15="Selección de la mejor respuesta",$A15="Subítem de caso o problema",$A15="Opción de Emparejamiento Ampliado"),TRIM($I15)=""),IF(COUNTIF($Q15:$T15,"?*")&gt;0,", ","")&amp;"respuesta_correcta","")</f>
        <v/>
      </c>
      <c r="V15">
        <f>IF(AND(OR($A15="Verdadero o Falso Simple",$A15="Respuesta A/B/Ambas/Ninguna",$A15="Verdadero o Falso Complejas",$A15="Selección de la mejor respuesta",$A15="Subítem de caso o problema",$A15="Opción de Emparejamiento Ampliado"),TRIM($J15)=""),IF(COUNTIF($Q15:$U15,"?*")&gt;0,", ","")&amp;"dificultad","")</f>
        <v/>
      </c>
      <c r="W15">
        <f>IF(AND(OR($A15="Ítems agrupados por caso clínico o problema",$A15="Emparejamiento Ampliado"),TRIM($I15)&lt;&gt;""),IF(COUNTIF($Q15:$V15,"?*")&gt;0,", ","")&amp;"respuesta debe ir vacia","")</f>
        <v/>
      </c>
      <c r="X15">
        <f>IF(AND(OR($A15="Ítems agrupados por caso clínico o problema",$A15="Emparejamiento Ampliado"),TRIM($J15)&lt;&gt;""),IF(COUNTIF($Q15:$W15,"?*")&gt;0,", ","")&amp;"dificultad debe ir vacia","")</f>
        <v/>
      </c>
      <c r="Y15">
        <f>IF(AND($A15="Verdadero o Falso Simple",OR(COUNTIF($D15:$E15,"?*")&lt;2,COUNTIF($F15:$H15,"?*")&gt;0)),IF(COUNTIF($Q15:$X15,"?*")&gt;0,", ","")&amp;"incisos A-B","")</f>
        <v/>
      </c>
      <c r="Z15">
        <f>IF(AND($A15="Verdadero o Falso Simple",TRIM($I15)&lt;&gt;"",NOT(OR(LEFT(TRIM($I15),1)="A",LEFT(TRIM($I15),1)="B"))),IF(COUNTIF($Q15:$Y15,"?*")&gt;0,", ","")&amp;"respuesta A-B","")</f>
        <v/>
      </c>
      <c r="AA15">
        <f>IF(AND($A15="Respuesta A/B/Ambas/Ninguna",COUNTIF($D15:$G15,"?*")&lt;4),IF(COUNTIF($Q15:$Z15,"?*")&gt;0,", ","")&amp;"opciones A-D","")</f>
        <v/>
      </c>
      <c r="AB15">
        <f>IF(AND($A15="Respuesta A/B/Ambas/Ninguna",COUNTIF($H15:$H15,"?*")&gt;0),IF(COUNTIF($Q15:$AA15,"?*")&gt;0,", ","")&amp;"opcion E deshabilitada","")</f>
        <v/>
      </c>
      <c r="AC15">
        <f>IF(AND($A15="Respuesta A/B/Ambas/Ninguna",TRIM($I15)&lt;&gt;"",NOT(OR(LEFT(TRIM($I15),1)="A",LEFT(TRIM($I15),1)="B",LEFT(TRIM($I15),1)="C",LEFT(TRIM($I15),1)="D"))),IF(COUNTIF($Q15:$AB15,"?*")&gt;0,", ","")&amp;"respuesta A-D","")</f>
        <v/>
      </c>
      <c r="AD15">
        <f>IF(AND($A15="Verdadero o Falso Complejas",OR(LEN(TRIM(SUBSTITUTE($D15,"1.","")))=0,LEN(TRIM(SUBSTITUTE($E15,"2.","")))=0,LEN(TRIM(SUBSTITUTE($F15,"3.","")))=0,LEN(TRIM(SUBSTITUTE($G15,"4.","")))=0)),IF(COUNTIF($Q15:$AC15,"?*")&gt;0,", ","")&amp;"incisos 1-4","")</f>
        <v/>
      </c>
      <c r="AE15">
        <f>IF(AND($A15="Verdadero o Falso Complejas",COUNTIF($H15:$H15,"?*")&gt;0),IF(COUNTIF($Q15:$AD15,"?*")&gt;0,", ","")&amp;"opcion E deshabilitada","")</f>
        <v/>
      </c>
      <c r="AF15">
        <f>IF(AND($A15="Verdadero o Falso Complejas",TRIM($I15)&lt;&gt;"",NOT(OR(LEFT(TRIM($I15),1)="A",LEFT(TRIM($I15),1)="B",LEFT(TRIM($I15),1)="C",LEFT(TRIM($I15),1)="D",LEFT(TRIM($I15),1)="E"))),IF(COUNTIF($Q15:$AE15,"?*")&gt;0,", ","")&amp;"respuesta A-E","")</f>
        <v/>
      </c>
      <c r="AG15">
        <f>IF(AND(OR($A15="Selección de la mejor respuesta",$A15="Subítem de caso o problema"),COUNTA($D15:$H15)&lt;5),IF(COUNTIF($Q15:$AF15,"?*")&gt;0,", ","")&amp;"incisos A-E","")</f>
        <v/>
      </c>
      <c r="AH15">
        <f>IF(AND(OR($A15="Selección de la mejor respuesta",$A15="Subítem de caso o problema"),TRIM($I15)&lt;&gt;"",NOT(OR(LEFT(TRIM($I15),1)="A",LEFT(TRIM($I15),1)="B",LEFT(TRIM($I15),1)="C",LEFT(TRIM($I15),1)="D",LEFT(TRIM($I15),1)="E"))),IF(COUNTIF($Q15:$AG15,"?*")&gt;0,", ","")&amp;"respuesta A-E","")</f>
        <v/>
      </c>
      <c r="AI15">
        <f>IF(AND(OR($A15="Ítems agrupados por caso clínico o problema",$A15="Opción de Emparejamiento Ampliado"),COUNTIF($D15:$H15,"?*")&gt;0),IF(COUNTIF($Q15:$AH15,"?*")&gt;0,", ","")&amp;"sin incisos","")</f>
        <v/>
      </c>
      <c r="AJ15">
        <f>IF(AND($A15="Emparejamiento Ampliado",COUNTIF($D15:$H15,"?*")&lt;2),IF(COUNTIF($Q15:$AI15,"?*")&gt;0,", ","")&amp;"minimo 2 claves","")</f>
        <v/>
      </c>
      <c r="AK15">
        <f>IF(AND($A15="Opción de Emparejamiento Ampliado",NOT(OR(LEFT(TRIM($I15),1)="A",LEFT(TRIM($I15),1)="B",LEFT(TRIM($I15),1)="C",LEFT(TRIM($I15),1)="D",LEFT(TRIM($I15),1)="E"))),IF(COUNTIF($Q15:$AJ15,"?*")&gt;0,", ","")&amp;"respuesta A-E","")</f>
        <v/>
      </c>
      <c r="AL15">
        <f>IF(TRIM($K15)="",IF(COUNTIF($M15:$M15,"?*")&gt;0,", ","")&amp;"parcial","")</f>
        <v/>
      </c>
      <c r="AM15">
        <f>IF(AND(TRIM($K15)&lt;&gt;"",TRIM($K15)&lt;&gt;VALIDACIONES!$G$1),IF(COUNTIF($M15:$N15,"?*")&gt;0,", ","")&amp;"parcial distinto a "&amp;VALIDACIONES!$G$1,"")</f>
        <v/>
      </c>
      <c r="AN15">
        <f>IF(AND(OR($A15="Ítems agrupados por caso clínico o problema",$A15="Subítem de caso o problema",$A15="Emparejamiento Ampliado",$A15="Opción de Emparejamiento Ampliado"),TRIM($B15)=""),IF(COUNTIF($M15:$O15,"?*")&gt;0,", ","")&amp;"grupo","")</f>
        <v/>
      </c>
    </row>
    <row r="16" ht="24" customHeight="1">
      <c r="A16" s="342" t="n"/>
      <c r="B16" s="342" t="n"/>
      <c r="C16" s="342" t="n"/>
      <c r="D16" s="342">
        <f>IF($A16="Verdadero o Falso Simple","Verdadero",IF($A16="Respuesta A/B/Ambas/Ninguna","A. Si la primera es verdadera",IF($A16="Verdadero o Falso Complejas","1. ","")))</f>
        <v/>
      </c>
      <c r="E16" s="342">
        <f>IF($A16="Verdadero o Falso Simple","Falso",IF($A16="Respuesta A/B/Ambas/Ninguna","B. Si la segunda es verdadera",IF($A16="Verdadero o Falso Complejas","2. ","")))</f>
        <v/>
      </c>
      <c r="F16" s="342">
        <f>IF($A16="Respuesta A/B/Ambas/Ninguna","C. Si ambas son verdaderas",IF($A16="Verdadero o Falso Complejas","3. ",""))</f>
        <v/>
      </c>
      <c r="G16" s="342">
        <f>IF($A16="Respuesta A/B/Ambas/Ninguna","D. Si ninguna es verdadera",IF($A16="Verdadero o Falso Complejas","4. ",""))</f>
        <v/>
      </c>
      <c r="H16" s="342">
        <f>IF($A16="Verdadero o Falso Simple","",IF($A16="Respuesta A/B/Ambas/Ninguna","",IF($A16="Verdadero o Falso Complejas","","")))</f>
        <v/>
      </c>
      <c r="I16" s="342" t="n"/>
      <c r="J16" s="342" t="n">
        <v>1</v>
      </c>
      <c r="K16" s="342" t="inlineStr">
        <is>
          <t>2P</t>
        </is>
      </c>
      <c r="L16" s="343">
        <f>IF(TRIM($A16)="","",IF(OR($A16="Selección de la mejor respuesta",$A16="SELECCION_MEJOR_RESPUESTA",$A16="Subítem de caso o problema",$A16="SUBITEM_CASO"),IF(TRIM($C16)="","Completar enunciado",IF(SUMPRODUCT(--(LEN(TRIM($D16:$H16&amp;""))&gt;0))&lt;5,"Completar opciones A-E",IF(AND(TRIM($I16)&lt;&gt;"",OR(LEFT(TRIM($I16),1)="A",LEFT(TRIM($I16),1)="B",LEFT(TRIM($I16),1)="C",LEFT(TRIM($I16),1)="D",LEFT(TRIM($I16),1)="E")),"OK","Completar respuesta correcta A-E"))),IF(TRIM($A16)="","",IF(COUNTIF($Q16:$AJ16,"?*")=0,"OK","Falta revisar: "&amp;$Q16&amp;$R16&amp;$S16&amp;$T16&amp;$U16&amp;$V16&amp;$W16&amp;$X16&amp;$Y16&amp;$Z16&amp;$AA16&amp;$AB16&amp;$AC16&amp;$AD16&amp;$AE16&amp;$AF16&amp;$AG16&amp;$AH16&amp;$AI16&amp;$AJ16))))</f>
        <v/>
      </c>
      <c r="M16" s="341" t="n"/>
      <c r="Q16">
        <f>IF(TRIM($C16)="","enunciado","")</f>
        <v/>
      </c>
      <c r="R16">
        <f>IF(TRIM($K16)="",IF(COUNTIF($Q16:$Q16,"?*")&gt;0,", ","")&amp;"parcial","")</f>
        <v/>
      </c>
      <c r="S16">
        <f>IF(AND(TRIM($K16)&lt;&gt;"",TRIM($K16)&lt;&gt;VALIDACIONES!$G$1),IF(COUNTIF($Q16:$R16,"?*")&gt;0,", ","")&amp;"parcial distinto a "&amp;VALIDACIONES!$G$1,"")</f>
        <v/>
      </c>
      <c r="T16">
        <f>IF(AND(OR($A16="Ítems agrupados por caso clínico o problema",$A16="Subítem de caso o problema",$A16="Emparejamiento Ampliado",$A16="Opción de Emparejamiento Ampliado"),TRIM($B16)=""),IF(COUNTIF($Q16:$S16,"?*")&gt;0,", ","")&amp;"grupo","")</f>
        <v/>
      </c>
      <c r="U16">
        <f>IF(AND(OR($A16="Verdadero o Falso Simple",$A16="Respuesta A/B/Ambas/Ninguna",$A16="Verdadero o Falso Complejas",$A16="Selección de la mejor respuesta",$A16="Subítem de caso o problema",$A16="Opción de Emparejamiento Ampliado"),TRIM($I16)=""),IF(COUNTIF($Q16:$T16,"?*")&gt;0,", ","")&amp;"respuesta_correcta","")</f>
        <v/>
      </c>
      <c r="V16">
        <f>IF(AND(OR($A16="Verdadero o Falso Simple",$A16="Respuesta A/B/Ambas/Ninguna",$A16="Verdadero o Falso Complejas",$A16="Selección de la mejor respuesta",$A16="Subítem de caso o problema",$A16="Opción de Emparejamiento Ampliado"),TRIM($J16)=""),IF(COUNTIF($Q16:$U16,"?*")&gt;0,", ","")&amp;"dificultad","")</f>
        <v/>
      </c>
      <c r="W16">
        <f>IF(AND(OR($A16="Ítems agrupados por caso clínico o problema",$A16="Emparejamiento Ampliado"),TRIM($I16)&lt;&gt;""),IF(COUNTIF($Q16:$V16,"?*")&gt;0,", ","")&amp;"respuesta debe ir vacia","")</f>
        <v/>
      </c>
      <c r="X16">
        <f>IF(AND(OR($A16="Ítems agrupados por caso clínico o problema",$A16="Emparejamiento Ampliado"),TRIM($J16)&lt;&gt;""),IF(COUNTIF($Q16:$W16,"?*")&gt;0,", ","")&amp;"dificultad debe ir vacia","")</f>
        <v/>
      </c>
      <c r="Y16">
        <f>IF(AND($A16="Verdadero o Falso Simple",OR(COUNTIF($D16:$E16,"?*")&lt;2,COUNTIF($F16:$H16,"?*")&gt;0)),IF(COUNTIF($Q16:$X16,"?*")&gt;0,", ","")&amp;"incisos A-B","")</f>
        <v/>
      </c>
      <c r="Z16">
        <f>IF(AND($A16="Verdadero o Falso Simple",TRIM($I16)&lt;&gt;"",NOT(OR(LEFT(TRIM($I16),1)="A",LEFT(TRIM($I16),1)="B"))),IF(COUNTIF($Q16:$Y16,"?*")&gt;0,", ","")&amp;"respuesta A-B","")</f>
        <v/>
      </c>
      <c r="AA16">
        <f>IF(AND($A16="Respuesta A/B/Ambas/Ninguna",COUNTIF($D16:$G16,"?*")&lt;4),IF(COUNTIF($Q16:$Z16,"?*")&gt;0,", ","")&amp;"opciones A-D","")</f>
        <v/>
      </c>
      <c r="AB16">
        <f>IF(AND($A16="Respuesta A/B/Ambas/Ninguna",COUNTIF($H16:$H16,"?*")&gt;0),IF(COUNTIF($Q16:$AA16,"?*")&gt;0,", ","")&amp;"opcion E deshabilitada","")</f>
        <v/>
      </c>
      <c r="AC16">
        <f>IF(AND($A16="Respuesta A/B/Ambas/Ninguna",TRIM($I16)&lt;&gt;"",NOT(OR(LEFT(TRIM($I16),1)="A",LEFT(TRIM($I16),1)="B",LEFT(TRIM($I16),1)="C",LEFT(TRIM($I16),1)="D"))),IF(COUNTIF($Q16:$AB16,"?*")&gt;0,", ","")&amp;"respuesta A-D","")</f>
        <v/>
      </c>
      <c r="AD16">
        <f>IF(AND($A16="Verdadero o Falso Complejas",OR(LEN(TRIM(SUBSTITUTE($D16,"1.","")))=0,LEN(TRIM(SUBSTITUTE($E16,"2.","")))=0,LEN(TRIM(SUBSTITUTE($F16,"3.","")))=0,LEN(TRIM(SUBSTITUTE($G16,"4.","")))=0)),IF(COUNTIF($Q16:$AC16,"?*")&gt;0,", ","")&amp;"incisos 1-4","")</f>
        <v/>
      </c>
      <c r="AE16">
        <f>IF(AND($A16="Verdadero o Falso Complejas",COUNTIF($H16:$H16,"?*")&gt;0),IF(COUNTIF($Q16:$AD16,"?*")&gt;0,", ","")&amp;"opcion E deshabilitada","")</f>
        <v/>
      </c>
      <c r="AF16">
        <f>IF(AND($A16="Verdadero o Falso Complejas",TRIM($I16)&lt;&gt;"",NOT(OR(LEFT(TRIM($I16),1)="A",LEFT(TRIM($I16),1)="B",LEFT(TRIM($I16),1)="C",LEFT(TRIM($I16),1)="D",LEFT(TRIM($I16),1)="E"))),IF(COUNTIF($Q16:$AE16,"?*")&gt;0,", ","")&amp;"respuesta A-E","")</f>
        <v/>
      </c>
      <c r="AG16">
        <f>IF(AND(OR($A16="Selección de la mejor respuesta",$A16="Subítem de caso o problema"),COUNTA($D16:$H16)&lt;5),IF(COUNTIF($Q16:$AF16,"?*")&gt;0,", ","")&amp;"incisos A-E","")</f>
        <v/>
      </c>
      <c r="AH16">
        <f>IF(AND(OR($A16="Selección de la mejor respuesta",$A16="Subítem de caso o problema"),TRIM($I16)&lt;&gt;"",NOT(OR(LEFT(TRIM($I16),1)="A",LEFT(TRIM($I16),1)="B",LEFT(TRIM($I16),1)="C",LEFT(TRIM($I16),1)="D",LEFT(TRIM($I16),1)="E"))),IF(COUNTIF($Q16:$AG16,"?*")&gt;0,", ","")&amp;"respuesta A-E","")</f>
        <v/>
      </c>
      <c r="AI16">
        <f>IF(AND(OR($A16="Ítems agrupados por caso clínico o problema",$A16="Opción de Emparejamiento Ampliado"),COUNTIF($D16:$H16,"?*")&gt;0),IF(COUNTIF($Q16:$AH16,"?*")&gt;0,", ","")&amp;"sin incisos","")</f>
        <v/>
      </c>
      <c r="AJ16">
        <f>IF(AND($A16="Emparejamiento Ampliado",COUNTIF($D16:$H16,"?*")&lt;2),IF(COUNTIF($Q16:$AI16,"?*")&gt;0,", ","")&amp;"minimo 2 claves","")</f>
        <v/>
      </c>
      <c r="AK16">
        <f>IF(AND($A16="Opción de Emparejamiento Ampliado",NOT(OR(LEFT(TRIM($I16),1)="A",LEFT(TRIM($I16),1)="B",LEFT(TRIM($I16),1)="C",LEFT(TRIM($I16),1)="D",LEFT(TRIM($I16),1)="E"))),IF(COUNTIF($Q16:$AJ16,"?*")&gt;0,", ","")&amp;"respuesta A-E","")</f>
        <v/>
      </c>
      <c r="AL16">
        <f>IF(TRIM($K16)="",IF(COUNTIF($M16:$M16,"?*")&gt;0,", ","")&amp;"parcial","")</f>
        <v/>
      </c>
      <c r="AM16">
        <f>IF(AND(TRIM($K16)&lt;&gt;"",TRIM($K16)&lt;&gt;VALIDACIONES!$G$1),IF(COUNTIF($M16:$N16,"?*")&gt;0,", ","")&amp;"parcial distinto a "&amp;VALIDACIONES!$G$1,"")</f>
        <v/>
      </c>
      <c r="AN16">
        <f>IF(AND(OR($A16="Ítems agrupados por caso clínico o problema",$A16="Subítem de caso o problema",$A16="Emparejamiento Ampliado",$A16="Opción de Emparejamiento Ampliado"),TRIM($B16)=""),IF(COUNTIF($M16:$O16,"?*")&gt;0,", ","")&amp;"grupo","")</f>
        <v/>
      </c>
    </row>
    <row r="17" ht="24" customHeight="1">
      <c r="A17" s="344" t="n"/>
      <c r="B17" s="344" t="n"/>
      <c r="C17" s="344" t="n"/>
      <c r="D17" s="344">
        <f>IF($A17="Verdadero o Falso Simple","Verdadero",IF($A17="Respuesta A/B/Ambas/Ninguna","A. Si la primera es verdadera",IF($A17="Verdadero o Falso Complejas","1. ","")))</f>
        <v/>
      </c>
      <c r="E17" s="344">
        <f>IF($A17="Verdadero o Falso Simple","Falso",IF($A17="Respuesta A/B/Ambas/Ninguna","B. Si la segunda es verdadera",IF($A17="Verdadero o Falso Complejas","2. ","")))</f>
        <v/>
      </c>
      <c r="F17" s="344">
        <f>IF($A17="Respuesta A/B/Ambas/Ninguna","C. Si ambas son verdaderas",IF($A17="Verdadero o Falso Complejas","3. ",""))</f>
        <v/>
      </c>
      <c r="G17" s="344">
        <f>IF($A17="Respuesta A/B/Ambas/Ninguna","D. Si ninguna es verdadera",IF($A17="Verdadero o Falso Complejas","4. ",""))</f>
        <v/>
      </c>
      <c r="H17" s="344">
        <f>IF($A17="Verdadero o Falso Simple","",IF($A17="Respuesta A/B/Ambas/Ninguna","",IF($A17="Verdadero o Falso Complejas","","")))</f>
        <v/>
      </c>
      <c r="I17" s="344" t="n"/>
      <c r="J17" s="344" t="n">
        <v>2</v>
      </c>
      <c r="K17" s="344" t="inlineStr">
        <is>
          <t>2P</t>
        </is>
      </c>
      <c r="L17" s="345">
        <f>IF(TRIM($A17)="","",IF(OR($A17="Selección de la mejor respuesta",$A17="SELECCION_MEJOR_RESPUESTA",$A17="Subítem de caso o problema",$A17="SUBITEM_CASO"),IF(TRIM($C17)="","Completar enunciado",IF(SUMPRODUCT(--(LEN(TRIM($D17:$H17&amp;""))&gt;0))&lt;5,"Completar opciones A-E",IF(AND(TRIM($I17)&lt;&gt;"",OR(LEFT(TRIM($I17),1)="A",LEFT(TRIM($I17),1)="B",LEFT(TRIM($I17),1)="C",LEFT(TRIM($I17),1)="D",LEFT(TRIM($I17),1)="E")),"OK","Completar respuesta correcta A-E"))),IF(TRIM($A17)="","",IF(COUNTIF($Q17:$AJ17,"?*")=0,"OK","Falta revisar: "&amp;$Q17&amp;$R17&amp;$S17&amp;$T17&amp;$U17&amp;$V17&amp;$W17&amp;$X17&amp;$Y17&amp;$Z17&amp;$AA17&amp;$AB17&amp;$AC17&amp;$AD17&amp;$AE17&amp;$AF17&amp;$AG17&amp;$AH17&amp;$AI17&amp;$AJ17))))</f>
        <v/>
      </c>
      <c r="M17" s="341" t="n"/>
      <c r="Q17">
        <f>IF(TRIM($C17)="","enunciado","")</f>
        <v/>
      </c>
      <c r="R17">
        <f>IF(TRIM($K17)="",IF(COUNTIF($Q17:$Q17,"?*")&gt;0,", ","")&amp;"parcial","")</f>
        <v/>
      </c>
      <c r="S17">
        <f>IF(AND(TRIM($K17)&lt;&gt;"",TRIM($K17)&lt;&gt;VALIDACIONES!$G$1),IF(COUNTIF($Q17:$R17,"?*")&gt;0,", ","")&amp;"parcial distinto a "&amp;VALIDACIONES!$G$1,"")</f>
        <v/>
      </c>
      <c r="T17">
        <f>IF(AND(OR($A17="Ítems agrupados por caso clínico o problema",$A17="Subítem de caso o problema",$A17="Emparejamiento Ampliado",$A17="Opción de Emparejamiento Ampliado"),TRIM($B17)=""),IF(COUNTIF($Q17:$S17,"?*")&gt;0,", ","")&amp;"grupo","")</f>
        <v/>
      </c>
      <c r="U17">
        <f>IF(AND(OR($A17="Verdadero o Falso Simple",$A17="Respuesta A/B/Ambas/Ninguna",$A17="Verdadero o Falso Complejas",$A17="Selección de la mejor respuesta",$A17="Subítem de caso o problema",$A17="Opción de Emparejamiento Ampliado"),TRIM($I17)=""),IF(COUNTIF($Q17:$T17,"?*")&gt;0,", ","")&amp;"respuesta_correcta","")</f>
        <v/>
      </c>
      <c r="V17">
        <f>IF(AND(OR($A17="Verdadero o Falso Simple",$A17="Respuesta A/B/Ambas/Ninguna",$A17="Verdadero o Falso Complejas",$A17="Selección de la mejor respuesta",$A17="Subítem de caso o problema",$A17="Opción de Emparejamiento Ampliado"),TRIM($J17)=""),IF(COUNTIF($Q17:$U17,"?*")&gt;0,", ","")&amp;"dificultad","")</f>
        <v/>
      </c>
      <c r="W17">
        <f>IF(AND(OR($A17="Ítems agrupados por caso clínico o problema",$A17="Emparejamiento Ampliado"),TRIM($I17)&lt;&gt;""),IF(COUNTIF($Q17:$V17,"?*")&gt;0,", ","")&amp;"respuesta debe ir vacia","")</f>
        <v/>
      </c>
      <c r="X17">
        <f>IF(AND(OR($A17="Ítems agrupados por caso clínico o problema",$A17="Emparejamiento Ampliado"),TRIM($J17)&lt;&gt;""),IF(COUNTIF($Q17:$W17,"?*")&gt;0,", ","")&amp;"dificultad debe ir vacia","")</f>
        <v/>
      </c>
      <c r="Y17">
        <f>IF(AND($A17="Verdadero o Falso Simple",OR(COUNTIF($D17:$E17,"?*")&lt;2,COUNTIF($F17:$H17,"?*")&gt;0)),IF(COUNTIF($Q17:$X17,"?*")&gt;0,", ","")&amp;"incisos A-B","")</f>
        <v/>
      </c>
      <c r="Z17">
        <f>IF(AND($A17="Verdadero o Falso Simple",TRIM($I17)&lt;&gt;"",NOT(OR(LEFT(TRIM($I17),1)="A",LEFT(TRIM($I17),1)="B"))),IF(COUNTIF($Q17:$Y17,"?*")&gt;0,", ","")&amp;"respuesta A-B","")</f>
        <v/>
      </c>
      <c r="AA17">
        <f>IF(AND($A17="Respuesta A/B/Ambas/Ninguna",COUNTIF($D17:$G17,"?*")&lt;4),IF(COUNTIF($Q17:$Z17,"?*")&gt;0,", ","")&amp;"opciones A-D","")</f>
        <v/>
      </c>
      <c r="AB17">
        <f>IF(AND($A17="Respuesta A/B/Ambas/Ninguna",COUNTIF($H17:$H17,"?*")&gt;0),IF(COUNTIF($Q17:$AA17,"?*")&gt;0,", ","")&amp;"opcion E deshabilitada","")</f>
        <v/>
      </c>
      <c r="AC17">
        <f>IF(AND($A17="Respuesta A/B/Ambas/Ninguna",TRIM($I17)&lt;&gt;"",NOT(OR(LEFT(TRIM($I17),1)="A",LEFT(TRIM($I17),1)="B",LEFT(TRIM($I17),1)="C",LEFT(TRIM($I17),1)="D"))),IF(COUNTIF($Q17:$AB17,"?*")&gt;0,", ","")&amp;"respuesta A-D","")</f>
        <v/>
      </c>
      <c r="AD17">
        <f>IF(AND($A17="Verdadero o Falso Complejas",OR(LEN(TRIM(SUBSTITUTE($D17,"1.","")))=0,LEN(TRIM(SUBSTITUTE($E17,"2.","")))=0,LEN(TRIM(SUBSTITUTE($F17,"3.","")))=0,LEN(TRIM(SUBSTITUTE($G17,"4.","")))=0)),IF(COUNTIF($Q17:$AC17,"?*")&gt;0,", ","")&amp;"incisos 1-4","")</f>
        <v/>
      </c>
      <c r="AE17">
        <f>IF(AND($A17="Verdadero o Falso Complejas",COUNTIF($H17:$H17,"?*")&gt;0),IF(COUNTIF($Q17:$AD17,"?*")&gt;0,", ","")&amp;"opcion E deshabilitada","")</f>
        <v/>
      </c>
      <c r="AF17">
        <f>IF(AND($A17="Verdadero o Falso Complejas",TRIM($I17)&lt;&gt;"",NOT(OR(LEFT(TRIM($I17),1)="A",LEFT(TRIM($I17),1)="B",LEFT(TRIM($I17),1)="C",LEFT(TRIM($I17),1)="D",LEFT(TRIM($I17),1)="E"))),IF(COUNTIF($Q17:$AE17,"?*")&gt;0,", ","")&amp;"respuesta A-E","")</f>
        <v/>
      </c>
      <c r="AG17">
        <f>IF(AND(OR($A17="Selección de la mejor respuesta",$A17="Subítem de caso o problema"),COUNTA($D17:$H17)&lt;5),IF(COUNTIF($Q17:$AF17,"?*")&gt;0,", ","")&amp;"incisos A-E","")</f>
        <v/>
      </c>
      <c r="AH17">
        <f>IF(AND(OR($A17="Selección de la mejor respuesta",$A17="Subítem de caso o problema"),TRIM($I17)&lt;&gt;"",NOT(OR(LEFT(TRIM($I17),1)="A",LEFT(TRIM($I17),1)="B",LEFT(TRIM($I17),1)="C",LEFT(TRIM($I17),1)="D",LEFT(TRIM($I17),1)="E"))),IF(COUNTIF($Q17:$AG17,"?*")&gt;0,", ","")&amp;"respuesta A-E","")</f>
        <v/>
      </c>
      <c r="AI17">
        <f>IF(AND(OR($A17="Ítems agrupados por caso clínico o problema",$A17="Opción de Emparejamiento Ampliado"),COUNTIF($D17:$H17,"?*")&gt;0),IF(COUNTIF($Q17:$AH17,"?*")&gt;0,", ","")&amp;"sin incisos","")</f>
        <v/>
      </c>
      <c r="AJ17">
        <f>IF(AND($A17="Emparejamiento Ampliado",COUNTIF($D17:$H17,"?*")&lt;2),IF(COUNTIF($Q17:$AI17,"?*")&gt;0,", ","")&amp;"minimo 2 claves","")</f>
        <v/>
      </c>
      <c r="AK17">
        <f>IF(AND($A17="Opción de Emparejamiento Ampliado",NOT(OR(LEFT(TRIM($I17),1)="A",LEFT(TRIM($I17),1)="B",LEFT(TRIM($I17),1)="C",LEFT(TRIM($I17),1)="D",LEFT(TRIM($I17),1)="E"))),IF(COUNTIF($Q17:$AJ17,"?*")&gt;0,", ","")&amp;"respuesta A-E","")</f>
        <v/>
      </c>
      <c r="AL17">
        <f>IF(TRIM($K17)="",IF(COUNTIF($M17:$M17,"?*")&gt;0,", ","")&amp;"parcial","")</f>
        <v/>
      </c>
      <c r="AM17">
        <f>IF(AND(TRIM($K17)&lt;&gt;"",TRIM($K17)&lt;&gt;VALIDACIONES!$G$1),IF(COUNTIF($M17:$N17,"?*")&gt;0,", ","")&amp;"parcial distinto a "&amp;VALIDACIONES!$G$1,"")</f>
        <v/>
      </c>
      <c r="AN17">
        <f>IF(AND(OR($A17="Ítems agrupados por caso clínico o problema",$A17="Subítem de caso o problema",$A17="Emparejamiento Ampliado",$A17="Opción de Emparejamiento Ampliado"),TRIM($B17)=""),IF(COUNTIF($M17:$O17,"?*")&gt;0,", ","")&amp;"grupo","")</f>
        <v/>
      </c>
    </row>
    <row r="18" ht="24" customHeight="1">
      <c r="A18" s="344" t="n"/>
      <c r="B18" s="344" t="n"/>
      <c r="C18" s="344" t="n"/>
      <c r="D18" s="344">
        <f>IF($A18="Verdadero o Falso Simple","Verdadero",IF($A18="Respuesta A/B/Ambas/Ninguna","A. Si la primera es verdadera",IF($A18="Verdadero o Falso Complejas","1. ","")))</f>
        <v/>
      </c>
      <c r="E18" s="344">
        <f>IF($A18="Verdadero o Falso Simple","Falso",IF($A18="Respuesta A/B/Ambas/Ninguna","B. Si la segunda es verdadera",IF($A18="Verdadero o Falso Complejas","2. ","")))</f>
        <v/>
      </c>
      <c r="F18" s="344">
        <f>IF($A18="Respuesta A/B/Ambas/Ninguna","C. Si ambas son verdaderas",IF($A18="Verdadero o Falso Complejas","3. ",""))</f>
        <v/>
      </c>
      <c r="G18" s="344">
        <f>IF($A18="Respuesta A/B/Ambas/Ninguna","D. Si ninguna es verdadera",IF($A18="Verdadero o Falso Complejas","4. ",""))</f>
        <v/>
      </c>
      <c r="H18" s="344">
        <f>IF($A18="Verdadero o Falso Simple","",IF($A18="Respuesta A/B/Ambas/Ninguna","",IF($A18="Verdadero o Falso Complejas","","")))</f>
        <v/>
      </c>
      <c r="I18" s="344" t="n"/>
      <c r="J18" s="344" t="n">
        <v>2</v>
      </c>
      <c r="K18" s="344" t="inlineStr">
        <is>
          <t>2P</t>
        </is>
      </c>
      <c r="L18" s="345">
        <f>IF(TRIM($A18)="","",IF(OR($A18="Selección de la mejor respuesta",$A18="SELECCION_MEJOR_RESPUESTA",$A18="Subítem de caso o problema",$A18="SUBITEM_CASO"),IF(TRIM($C18)="","Completar enunciado",IF(SUMPRODUCT(--(LEN(TRIM($D18:$H18&amp;""))&gt;0))&lt;5,"Completar opciones A-E",IF(AND(TRIM($I18)&lt;&gt;"",OR(LEFT(TRIM($I18),1)="A",LEFT(TRIM($I18),1)="B",LEFT(TRIM($I18),1)="C",LEFT(TRIM($I18),1)="D",LEFT(TRIM($I18),1)="E")),"OK","Completar respuesta correcta A-E"))),IF(TRIM($A18)="","",IF(COUNTIF($Q18:$AJ18,"?*")=0,"OK","Falta revisar: "&amp;$Q18&amp;$R18&amp;$S18&amp;$T18&amp;$U18&amp;$V18&amp;$W18&amp;$X18&amp;$Y18&amp;$Z18&amp;$AA18&amp;$AB18&amp;$AC18&amp;$AD18&amp;$AE18&amp;$AF18&amp;$AG18&amp;$AH18&amp;$AI18&amp;$AJ18))))</f>
        <v/>
      </c>
      <c r="M18" s="341" t="n"/>
      <c r="Q18">
        <f>IF(TRIM($C18)="","enunciado","")</f>
        <v/>
      </c>
      <c r="R18">
        <f>IF(TRIM($K18)="",IF(COUNTIF($Q18:$Q18,"?*")&gt;0,", ","")&amp;"parcial","")</f>
        <v/>
      </c>
      <c r="S18">
        <f>IF(AND(TRIM($K18)&lt;&gt;"",TRIM($K18)&lt;&gt;VALIDACIONES!$G$1),IF(COUNTIF($Q18:$R18,"?*")&gt;0,", ","")&amp;"parcial distinto a "&amp;VALIDACIONES!$G$1,"")</f>
        <v/>
      </c>
      <c r="T18">
        <f>IF(AND(OR($A18="Ítems agrupados por caso clínico o problema",$A18="Subítem de caso o problema",$A18="Emparejamiento Ampliado",$A18="Opción de Emparejamiento Ampliado"),TRIM($B18)=""),IF(COUNTIF($Q18:$S18,"?*")&gt;0,", ","")&amp;"grupo","")</f>
        <v/>
      </c>
      <c r="U18">
        <f>IF(AND(OR($A18="Verdadero o Falso Simple",$A18="Respuesta A/B/Ambas/Ninguna",$A18="Verdadero o Falso Complejas",$A18="Selección de la mejor respuesta",$A18="Subítem de caso o problema",$A18="Opción de Emparejamiento Ampliado"),TRIM($I18)=""),IF(COUNTIF($Q18:$T18,"?*")&gt;0,", ","")&amp;"respuesta_correcta","")</f>
        <v/>
      </c>
      <c r="V18">
        <f>IF(AND(OR($A18="Verdadero o Falso Simple",$A18="Respuesta A/B/Ambas/Ninguna",$A18="Verdadero o Falso Complejas",$A18="Selección de la mejor respuesta",$A18="Subítem de caso o problema",$A18="Opción de Emparejamiento Ampliado"),TRIM($J18)=""),IF(COUNTIF($Q18:$U18,"?*")&gt;0,", ","")&amp;"dificultad","")</f>
        <v/>
      </c>
      <c r="W18">
        <f>IF(AND(OR($A18="Ítems agrupados por caso clínico o problema",$A18="Emparejamiento Ampliado"),TRIM($I18)&lt;&gt;""),IF(COUNTIF($Q18:$V18,"?*")&gt;0,", ","")&amp;"respuesta debe ir vacia","")</f>
        <v/>
      </c>
      <c r="X18">
        <f>IF(AND(OR($A18="Ítems agrupados por caso clínico o problema",$A18="Emparejamiento Ampliado"),TRIM($J18)&lt;&gt;""),IF(COUNTIF($Q18:$W18,"?*")&gt;0,", ","")&amp;"dificultad debe ir vacia","")</f>
        <v/>
      </c>
      <c r="Y18">
        <f>IF(AND($A18="Verdadero o Falso Simple",OR(COUNTIF($D18:$E18,"?*")&lt;2,COUNTIF($F18:$H18,"?*")&gt;0)),IF(COUNTIF($Q18:$X18,"?*")&gt;0,", ","")&amp;"incisos A-B","")</f>
        <v/>
      </c>
      <c r="Z18">
        <f>IF(AND($A18="Verdadero o Falso Simple",TRIM($I18)&lt;&gt;"",NOT(OR(LEFT(TRIM($I18),1)="A",LEFT(TRIM($I18),1)="B"))),IF(COUNTIF($Q18:$Y18,"?*")&gt;0,", ","")&amp;"respuesta A-B","")</f>
        <v/>
      </c>
      <c r="AA18">
        <f>IF(AND($A18="Respuesta A/B/Ambas/Ninguna",COUNTIF($D18:$G18,"?*")&lt;4),IF(COUNTIF($Q18:$Z18,"?*")&gt;0,", ","")&amp;"opciones A-D","")</f>
        <v/>
      </c>
      <c r="AB18">
        <f>IF(AND($A18="Respuesta A/B/Ambas/Ninguna",COUNTIF($H18:$H18,"?*")&gt;0),IF(COUNTIF($Q18:$AA18,"?*")&gt;0,", ","")&amp;"opcion E deshabilitada","")</f>
        <v/>
      </c>
      <c r="AC18">
        <f>IF(AND($A18="Respuesta A/B/Ambas/Ninguna",TRIM($I18)&lt;&gt;"",NOT(OR(LEFT(TRIM($I18),1)="A",LEFT(TRIM($I18),1)="B",LEFT(TRIM($I18),1)="C",LEFT(TRIM($I18),1)="D"))),IF(COUNTIF($Q18:$AB18,"?*")&gt;0,", ","")&amp;"respuesta A-D","")</f>
        <v/>
      </c>
      <c r="AD18">
        <f>IF(AND($A18="Verdadero o Falso Complejas",OR(LEN(TRIM(SUBSTITUTE($D18,"1.","")))=0,LEN(TRIM(SUBSTITUTE($E18,"2.","")))=0,LEN(TRIM(SUBSTITUTE($F18,"3.","")))=0,LEN(TRIM(SUBSTITUTE($G18,"4.","")))=0)),IF(COUNTIF($Q18:$AC18,"?*")&gt;0,", ","")&amp;"incisos 1-4","")</f>
        <v/>
      </c>
      <c r="AE18">
        <f>IF(AND($A18="Verdadero o Falso Complejas",COUNTIF($H18:$H18,"?*")&gt;0),IF(COUNTIF($Q18:$AD18,"?*")&gt;0,", ","")&amp;"opcion E deshabilitada","")</f>
        <v/>
      </c>
      <c r="AF18">
        <f>IF(AND($A18="Verdadero o Falso Complejas",TRIM($I18)&lt;&gt;"",NOT(OR(LEFT(TRIM($I18),1)="A",LEFT(TRIM($I18),1)="B",LEFT(TRIM($I18),1)="C",LEFT(TRIM($I18),1)="D",LEFT(TRIM($I18),1)="E"))),IF(COUNTIF($Q18:$AE18,"?*")&gt;0,", ","")&amp;"respuesta A-E","")</f>
        <v/>
      </c>
      <c r="AG18">
        <f>IF(AND(OR($A18="Selección de la mejor respuesta",$A18="Subítem de caso o problema"),COUNTA($D18:$H18)&lt;5),IF(COUNTIF($Q18:$AF18,"?*")&gt;0,", ","")&amp;"incisos A-E","")</f>
        <v/>
      </c>
      <c r="AH18">
        <f>IF(AND(OR($A18="Selección de la mejor respuesta",$A18="Subítem de caso o problema"),TRIM($I18)&lt;&gt;"",NOT(OR(LEFT(TRIM($I18),1)="A",LEFT(TRIM($I18),1)="B",LEFT(TRIM($I18),1)="C",LEFT(TRIM($I18),1)="D",LEFT(TRIM($I18),1)="E"))),IF(COUNTIF($Q18:$AG18,"?*")&gt;0,", ","")&amp;"respuesta A-E","")</f>
        <v/>
      </c>
      <c r="AI18">
        <f>IF(AND(OR($A18="Ítems agrupados por caso clínico o problema",$A18="Opción de Emparejamiento Ampliado"),COUNTIF($D18:$H18,"?*")&gt;0),IF(COUNTIF($Q18:$AH18,"?*")&gt;0,", ","")&amp;"sin incisos","")</f>
        <v/>
      </c>
      <c r="AJ18">
        <f>IF(AND($A18="Emparejamiento Ampliado",COUNTIF($D18:$H18,"?*")&lt;2),IF(COUNTIF($Q18:$AI18,"?*")&gt;0,", ","")&amp;"minimo 2 claves","")</f>
        <v/>
      </c>
      <c r="AK18">
        <f>IF(AND($A18="Opción de Emparejamiento Ampliado",NOT(OR(LEFT(TRIM($I18),1)="A",LEFT(TRIM($I18),1)="B",LEFT(TRIM($I18),1)="C",LEFT(TRIM($I18),1)="D",LEFT(TRIM($I18),1)="E"))),IF(COUNTIF($Q18:$AJ18,"?*")&gt;0,", ","")&amp;"respuesta A-E","")</f>
        <v/>
      </c>
      <c r="AL18">
        <f>IF(TRIM($K18)="",IF(COUNTIF($M18:$M18,"?*")&gt;0,", ","")&amp;"parcial","")</f>
        <v/>
      </c>
      <c r="AM18">
        <f>IF(AND(TRIM($K18)&lt;&gt;"",TRIM($K18)&lt;&gt;VALIDACIONES!$G$1),IF(COUNTIF($M18:$N18,"?*")&gt;0,", ","")&amp;"parcial distinto a "&amp;VALIDACIONES!$G$1,"")</f>
        <v/>
      </c>
      <c r="AN18">
        <f>IF(AND(OR($A18="Ítems agrupados por caso clínico o problema",$A18="Subítem de caso o problema",$A18="Emparejamiento Ampliado",$A18="Opción de Emparejamiento Ampliado"),TRIM($B18)=""),IF(COUNTIF($M18:$O18,"?*")&gt;0,", ","")&amp;"grupo","")</f>
        <v/>
      </c>
    </row>
    <row r="19" ht="24" customHeight="1">
      <c r="A19" s="344" t="n"/>
      <c r="B19" s="344" t="n"/>
      <c r="C19" s="344" t="n"/>
      <c r="D19" s="344">
        <f>IF($A19="Verdadero o Falso Simple","Verdadero",IF($A19="Respuesta A/B/Ambas/Ninguna","A. Si la primera es verdadera",IF($A19="Verdadero o Falso Complejas","1. ","")))</f>
        <v/>
      </c>
      <c r="E19" s="344">
        <f>IF($A19="Verdadero o Falso Simple","Falso",IF($A19="Respuesta A/B/Ambas/Ninguna","B. Si la segunda es verdadera",IF($A19="Verdadero o Falso Complejas","2. ","")))</f>
        <v/>
      </c>
      <c r="F19" s="344">
        <f>IF($A19="Respuesta A/B/Ambas/Ninguna","C. Si ambas son verdaderas",IF($A19="Verdadero o Falso Complejas","3. ",""))</f>
        <v/>
      </c>
      <c r="G19" s="344">
        <f>IF($A19="Respuesta A/B/Ambas/Ninguna","D. Si ninguna es verdadera",IF($A19="Verdadero o Falso Complejas","4. ",""))</f>
        <v/>
      </c>
      <c r="H19" s="344">
        <f>IF($A19="Verdadero o Falso Simple","",IF($A19="Respuesta A/B/Ambas/Ninguna","",IF($A19="Verdadero o Falso Complejas","","")))</f>
        <v/>
      </c>
      <c r="I19" s="344" t="n"/>
      <c r="J19" s="344" t="n">
        <v>2</v>
      </c>
      <c r="K19" s="344" t="inlineStr">
        <is>
          <t>2P</t>
        </is>
      </c>
      <c r="L19" s="345">
        <f>IF(TRIM($A19)="","",IF(OR($A19="Selección de la mejor respuesta",$A19="SELECCION_MEJOR_RESPUESTA",$A19="Subítem de caso o problema",$A19="SUBITEM_CASO"),IF(TRIM($C19)="","Completar enunciado",IF(SUMPRODUCT(--(LEN(TRIM($D19:$H19&amp;""))&gt;0))&lt;5,"Completar opciones A-E",IF(AND(TRIM($I19)&lt;&gt;"",OR(LEFT(TRIM($I19),1)="A",LEFT(TRIM($I19),1)="B",LEFT(TRIM($I19),1)="C",LEFT(TRIM($I19),1)="D",LEFT(TRIM($I19),1)="E")),"OK","Completar respuesta correcta A-E"))),IF(TRIM($A19)="","",IF(COUNTIF($Q19:$AJ19,"?*")=0,"OK","Falta revisar: "&amp;$Q19&amp;$R19&amp;$S19&amp;$T19&amp;$U19&amp;$V19&amp;$W19&amp;$X19&amp;$Y19&amp;$Z19&amp;$AA19&amp;$AB19&amp;$AC19&amp;$AD19&amp;$AE19&amp;$AF19&amp;$AG19&amp;$AH19&amp;$AI19&amp;$AJ19))))</f>
        <v/>
      </c>
      <c r="M19" s="341" t="n"/>
      <c r="Q19">
        <f>IF(TRIM($C19)="","enunciado","")</f>
        <v/>
      </c>
      <c r="R19">
        <f>IF(TRIM($K19)="",IF(COUNTIF($Q19:$Q19,"?*")&gt;0,", ","")&amp;"parcial","")</f>
        <v/>
      </c>
      <c r="S19">
        <f>IF(AND(TRIM($K19)&lt;&gt;"",TRIM($K19)&lt;&gt;VALIDACIONES!$G$1),IF(COUNTIF($Q19:$R19,"?*")&gt;0,", ","")&amp;"parcial distinto a "&amp;VALIDACIONES!$G$1,"")</f>
        <v/>
      </c>
      <c r="T19">
        <f>IF(AND(OR($A19="Ítems agrupados por caso clínico o problema",$A19="Subítem de caso o problema",$A19="Emparejamiento Ampliado",$A19="Opción de Emparejamiento Ampliado"),TRIM($B19)=""),IF(COUNTIF($Q19:$S19,"?*")&gt;0,", ","")&amp;"grupo","")</f>
        <v/>
      </c>
      <c r="U19">
        <f>IF(AND(OR($A19="Verdadero o Falso Simple",$A19="Respuesta A/B/Ambas/Ninguna",$A19="Verdadero o Falso Complejas",$A19="Selección de la mejor respuesta",$A19="Subítem de caso o problema",$A19="Opción de Emparejamiento Ampliado"),TRIM($I19)=""),IF(COUNTIF($Q19:$T19,"?*")&gt;0,", ","")&amp;"respuesta_correcta","")</f>
        <v/>
      </c>
      <c r="V19">
        <f>IF(AND(OR($A19="Verdadero o Falso Simple",$A19="Respuesta A/B/Ambas/Ninguna",$A19="Verdadero o Falso Complejas",$A19="Selección de la mejor respuesta",$A19="Subítem de caso o problema",$A19="Opción de Emparejamiento Ampliado"),TRIM($J19)=""),IF(COUNTIF($Q19:$U19,"?*")&gt;0,", ","")&amp;"dificultad","")</f>
        <v/>
      </c>
      <c r="W19">
        <f>IF(AND(OR($A19="Ítems agrupados por caso clínico o problema",$A19="Emparejamiento Ampliado"),TRIM($I19)&lt;&gt;""),IF(COUNTIF($Q19:$V19,"?*")&gt;0,", ","")&amp;"respuesta debe ir vacia","")</f>
        <v/>
      </c>
      <c r="X19">
        <f>IF(AND(OR($A19="Ítems agrupados por caso clínico o problema",$A19="Emparejamiento Ampliado"),TRIM($J19)&lt;&gt;""),IF(COUNTIF($Q19:$W19,"?*")&gt;0,", ","")&amp;"dificultad debe ir vacia","")</f>
        <v/>
      </c>
      <c r="Y19">
        <f>IF(AND($A19="Verdadero o Falso Simple",OR(COUNTIF($D19:$E19,"?*")&lt;2,COUNTIF($F19:$H19,"?*")&gt;0)),IF(COUNTIF($Q19:$X19,"?*")&gt;0,", ","")&amp;"incisos A-B","")</f>
        <v/>
      </c>
      <c r="Z19">
        <f>IF(AND($A19="Verdadero o Falso Simple",TRIM($I19)&lt;&gt;"",NOT(OR(LEFT(TRIM($I19),1)="A",LEFT(TRIM($I19),1)="B"))),IF(COUNTIF($Q19:$Y19,"?*")&gt;0,", ","")&amp;"respuesta A-B","")</f>
        <v/>
      </c>
      <c r="AA19">
        <f>IF(AND($A19="Respuesta A/B/Ambas/Ninguna",COUNTIF($D19:$G19,"?*")&lt;4),IF(COUNTIF($Q19:$Z19,"?*")&gt;0,", ","")&amp;"opciones A-D","")</f>
        <v/>
      </c>
      <c r="AB19">
        <f>IF(AND($A19="Respuesta A/B/Ambas/Ninguna",COUNTIF($H19:$H19,"?*")&gt;0),IF(COUNTIF($Q19:$AA19,"?*")&gt;0,", ","")&amp;"opcion E deshabilitada","")</f>
        <v/>
      </c>
      <c r="AC19">
        <f>IF(AND($A19="Respuesta A/B/Ambas/Ninguna",TRIM($I19)&lt;&gt;"",NOT(OR(LEFT(TRIM($I19),1)="A",LEFT(TRIM($I19),1)="B",LEFT(TRIM($I19),1)="C",LEFT(TRIM($I19),1)="D"))),IF(COUNTIF($Q19:$AB19,"?*")&gt;0,", ","")&amp;"respuesta A-D","")</f>
        <v/>
      </c>
      <c r="AD19">
        <f>IF(AND($A19="Verdadero o Falso Complejas",OR(LEN(TRIM(SUBSTITUTE($D19,"1.","")))=0,LEN(TRIM(SUBSTITUTE($E19,"2.","")))=0,LEN(TRIM(SUBSTITUTE($F19,"3.","")))=0,LEN(TRIM(SUBSTITUTE($G19,"4.","")))=0)),IF(COUNTIF($Q19:$AC19,"?*")&gt;0,", ","")&amp;"incisos 1-4","")</f>
        <v/>
      </c>
      <c r="AE19">
        <f>IF(AND($A19="Verdadero o Falso Complejas",COUNTIF($H19:$H19,"?*")&gt;0),IF(COUNTIF($Q19:$AD19,"?*")&gt;0,", ","")&amp;"opcion E deshabilitada","")</f>
        <v/>
      </c>
      <c r="AF19">
        <f>IF(AND($A19="Verdadero o Falso Complejas",TRIM($I19)&lt;&gt;"",NOT(OR(LEFT(TRIM($I19),1)="A",LEFT(TRIM($I19),1)="B",LEFT(TRIM($I19),1)="C",LEFT(TRIM($I19),1)="D",LEFT(TRIM($I19),1)="E"))),IF(COUNTIF($Q19:$AE19,"?*")&gt;0,", ","")&amp;"respuesta A-E","")</f>
        <v/>
      </c>
      <c r="AG19">
        <f>IF(AND(OR($A19="Selección de la mejor respuesta",$A19="Subítem de caso o problema"),COUNTA($D19:$H19)&lt;5),IF(COUNTIF($Q19:$AF19,"?*")&gt;0,", ","")&amp;"incisos A-E","")</f>
        <v/>
      </c>
      <c r="AH19">
        <f>IF(AND(OR($A19="Selección de la mejor respuesta",$A19="Subítem de caso o problema"),TRIM($I19)&lt;&gt;"",NOT(OR(LEFT(TRIM($I19),1)="A",LEFT(TRIM($I19),1)="B",LEFT(TRIM($I19),1)="C",LEFT(TRIM($I19),1)="D",LEFT(TRIM($I19),1)="E"))),IF(COUNTIF($Q19:$AG19,"?*")&gt;0,", ","")&amp;"respuesta A-E","")</f>
        <v/>
      </c>
      <c r="AI19">
        <f>IF(AND(OR($A19="Ítems agrupados por caso clínico o problema",$A19="Opción de Emparejamiento Ampliado"),COUNTIF($D19:$H19,"?*")&gt;0),IF(COUNTIF($Q19:$AH19,"?*")&gt;0,", ","")&amp;"sin incisos","")</f>
        <v/>
      </c>
      <c r="AJ19">
        <f>IF(AND($A19="Emparejamiento Ampliado",COUNTIF($D19:$H19,"?*")&lt;2),IF(COUNTIF($Q19:$AI19,"?*")&gt;0,", ","")&amp;"minimo 2 claves","")</f>
        <v/>
      </c>
      <c r="AK19">
        <f>IF(AND($A19="Opción de Emparejamiento Ampliado",NOT(OR(LEFT(TRIM($I19),1)="A",LEFT(TRIM($I19),1)="B",LEFT(TRIM($I19),1)="C",LEFT(TRIM($I19),1)="D",LEFT(TRIM($I19),1)="E"))),IF(COUNTIF($Q19:$AJ19,"?*")&gt;0,", ","")&amp;"respuesta A-E","")</f>
        <v/>
      </c>
      <c r="AL19">
        <f>IF(TRIM($K19)="",IF(COUNTIF($M19:$M19,"?*")&gt;0,", ","")&amp;"parcial","")</f>
        <v/>
      </c>
      <c r="AM19">
        <f>IF(AND(TRIM($K19)&lt;&gt;"",TRIM($K19)&lt;&gt;VALIDACIONES!$G$1),IF(COUNTIF($M19:$N19,"?*")&gt;0,", ","")&amp;"parcial distinto a "&amp;VALIDACIONES!$G$1,"")</f>
        <v/>
      </c>
      <c r="AN19">
        <f>IF(AND(OR($A19="Ítems agrupados por caso clínico o problema",$A19="Subítem de caso o problema",$A19="Emparejamiento Ampliado",$A19="Opción de Emparejamiento Ampliado"),TRIM($B19)=""),IF(COUNTIF($M19:$O19,"?*")&gt;0,", ","")&amp;"grupo","")</f>
        <v/>
      </c>
    </row>
    <row r="20" ht="24" customHeight="1">
      <c r="A20" s="344" t="n"/>
      <c r="B20" s="344" t="n"/>
      <c r="C20" s="344" t="n"/>
      <c r="D20" s="344">
        <f>IF($A20="Verdadero o Falso Simple","Verdadero",IF($A20="Respuesta A/B/Ambas/Ninguna","A. Si la primera es verdadera",IF($A20="Verdadero o Falso Complejas","1. ","")))</f>
        <v/>
      </c>
      <c r="E20" s="344">
        <f>IF($A20="Verdadero o Falso Simple","Falso",IF($A20="Respuesta A/B/Ambas/Ninguna","B. Si la segunda es verdadera",IF($A20="Verdadero o Falso Complejas","2. ","")))</f>
        <v/>
      </c>
      <c r="F20" s="344">
        <f>IF($A20="Respuesta A/B/Ambas/Ninguna","C. Si ambas son verdaderas",IF($A20="Verdadero o Falso Complejas","3. ",""))</f>
        <v/>
      </c>
      <c r="G20" s="344">
        <f>IF($A20="Respuesta A/B/Ambas/Ninguna","D. Si ninguna es verdadera",IF($A20="Verdadero o Falso Complejas","4. ",""))</f>
        <v/>
      </c>
      <c r="H20" s="344">
        <f>IF($A20="Verdadero o Falso Simple","",IF($A20="Respuesta A/B/Ambas/Ninguna","",IF($A20="Verdadero o Falso Complejas","","")))</f>
        <v/>
      </c>
      <c r="I20" s="344" t="n"/>
      <c r="J20" s="344" t="n">
        <v>2</v>
      </c>
      <c r="K20" s="344" t="inlineStr">
        <is>
          <t>2P</t>
        </is>
      </c>
      <c r="L20" s="345">
        <f>IF(TRIM($A20)="","",IF(OR($A20="Selección de la mejor respuesta",$A20="SELECCION_MEJOR_RESPUESTA",$A20="Subítem de caso o problema",$A20="SUBITEM_CASO"),IF(TRIM($C20)="","Completar enunciado",IF(SUMPRODUCT(--(LEN(TRIM($D20:$H20&amp;""))&gt;0))&lt;5,"Completar opciones A-E",IF(AND(TRIM($I20)&lt;&gt;"",OR(LEFT(TRIM($I20),1)="A",LEFT(TRIM($I20),1)="B",LEFT(TRIM($I20),1)="C",LEFT(TRIM($I20),1)="D",LEFT(TRIM($I20),1)="E")),"OK","Completar respuesta correcta A-E"))),IF(TRIM($A20)="","",IF(COUNTIF($Q20:$AJ20,"?*")=0,"OK","Falta revisar: "&amp;$Q20&amp;$R20&amp;$S20&amp;$T20&amp;$U20&amp;$V20&amp;$W20&amp;$X20&amp;$Y20&amp;$Z20&amp;$AA20&amp;$AB20&amp;$AC20&amp;$AD20&amp;$AE20&amp;$AF20&amp;$AG20&amp;$AH20&amp;$AI20&amp;$AJ20))))</f>
        <v/>
      </c>
      <c r="M20" s="341" t="n"/>
      <c r="Q20">
        <f>IF(TRIM($C20)="","enunciado","")</f>
        <v/>
      </c>
      <c r="R20">
        <f>IF(TRIM($K20)="",IF(COUNTIF($Q20:$Q20,"?*")&gt;0,", ","")&amp;"parcial","")</f>
        <v/>
      </c>
      <c r="S20">
        <f>IF(AND(TRIM($K20)&lt;&gt;"",TRIM($K20)&lt;&gt;VALIDACIONES!$G$1),IF(COUNTIF($Q20:$R20,"?*")&gt;0,", ","")&amp;"parcial distinto a "&amp;VALIDACIONES!$G$1,"")</f>
        <v/>
      </c>
      <c r="T20">
        <f>IF(AND(OR($A20="Ítems agrupados por caso clínico o problema",$A20="Subítem de caso o problema",$A20="Emparejamiento Ampliado",$A20="Opción de Emparejamiento Ampliado"),TRIM($B20)=""),IF(COUNTIF($Q20:$S20,"?*")&gt;0,", ","")&amp;"grupo","")</f>
        <v/>
      </c>
      <c r="U20">
        <f>IF(AND(OR($A20="Verdadero o Falso Simple",$A20="Respuesta A/B/Ambas/Ninguna",$A20="Verdadero o Falso Complejas",$A20="Selección de la mejor respuesta",$A20="Subítem de caso o problema",$A20="Opción de Emparejamiento Ampliado"),TRIM($I20)=""),IF(COUNTIF($Q20:$T20,"?*")&gt;0,", ","")&amp;"respuesta_correcta","")</f>
        <v/>
      </c>
      <c r="V20">
        <f>IF(AND(OR($A20="Verdadero o Falso Simple",$A20="Respuesta A/B/Ambas/Ninguna",$A20="Verdadero o Falso Complejas",$A20="Selección de la mejor respuesta",$A20="Subítem de caso o problema",$A20="Opción de Emparejamiento Ampliado"),TRIM($J20)=""),IF(COUNTIF($Q20:$U20,"?*")&gt;0,", ","")&amp;"dificultad","")</f>
        <v/>
      </c>
      <c r="W20">
        <f>IF(AND(OR($A20="Ítems agrupados por caso clínico o problema",$A20="Emparejamiento Ampliado"),TRIM($I20)&lt;&gt;""),IF(COUNTIF($Q20:$V20,"?*")&gt;0,", ","")&amp;"respuesta debe ir vacia","")</f>
        <v/>
      </c>
      <c r="X20">
        <f>IF(AND(OR($A20="Ítems agrupados por caso clínico o problema",$A20="Emparejamiento Ampliado"),TRIM($J20)&lt;&gt;""),IF(COUNTIF($Q20:$W20,"?*")&gt;0,", ","")&amp;"dificultad debe ir vacia","")</f>
        <v/>
      </c>
      <c r="Y20">
        <f>IF(AND($A20="Verdadero o Falso Simple",OR(COUNTIF($D20:$E20,"?*")&lt;2,COUNTIF($F20:$H20,"?*")&gt;0)),IF(COUNTIF($Q20:$X20,"?*")&gt;0,", ","")&amp;"incisos A-B","")</f>
        <v/>
      </c>
      <c r="Z20">
        <f>IF(AND($A20="Verdadero o Falso Simple",TRIM($I20)&lt;&gt;"",NOT(OR(LEFT(TRIM($I20),1)="A",LEFT(TRIM($I20),1)="B"))),IF(COUNTIF($Q20:$Y20,"?*")&gt;0,", ","")&amp;"respuesta A-B","")</f>
        <v/>
      </c>
      <c r="AA20">
        <f>IF(AND($A20="Respuesta A/B/Ambas/Ninguna",COUNTIF($D20:$G20,"?*")&lt;4),IF(COUNTIF($Q20:$Z20,"?*")&gt;0,", ","")&amp;"opciones A-D","")</f>
        <v/>
      </c>
      <c r="AB20">
        <f>IF(AND($A20="Respuesta A/B/Ambas/Ninguna",COUNTIF($H20:$H20,"?*")&gt;0),IF(COUNTIF($Q20:$AA20,"?*")&gt;0,", ","")&amp;"opcion E deshabilitada","")</f>
        <v/>
      </c>
      <c r="AC20">
        <f>IF(AND($A20="Respuesta A/B/Ambas/Ninguna",TRIM($I20)&lt;&gt;"",NOT(OR(LEFT(TRIM($I20),1)="A",LEFT(TRIM($I20),1)="B",LEFT(TRIM($I20),1)="C",LEFT(TRIM($I20),1)="D"))),IF(COUNTIF($Q20:$AB20,"?*")&gt;0,", ","")&amp;"respuesta A-D","")</f>
        <v/>
      </c>
      <c r="AD20">
        <f>IF(AND($A20="Verdadero o Falso Complejas",OR(LEN(TRIM(SUBSTITUTE($D20,"1.","")))=0,LEN(TRIM(SUBSTITUTE($E20,"2.","")))=0,LEN(TRIM(SUBSTITUTE($F20,"3.","")))=0,LEN(TRIM(SUBSTITUTE($G20,"4.","")))=0)),IF(COUNTIF($Q20:$AC20,"?*")&gt;0,", ","")&amp;"incisos 1-4","")</f>
        <v/>
      </c>
      <c r="AE20">
        <f>IF(AND($A20="Verdadero o Falso Complejas",COUNTIF($H20:$H20,"?*")&gt;0),IF(COUNTIF($Q20:$AD20,"?*")&gt;0,", ","")&amp;"opcion E deshabilitada","")</f>
        <v/>
      </c>
      <c r="AF20">
        <f>IF(AND($A20="Verdadero o Falso Complejas",TRIM($I20)&lt;&gt;"",NOT(OR(LEFT(TRIM($I20),1)="A",LEFT(TRIM($I20),1)="B",LEFT(TRIM($I20),1)="C",LEFT(TRIM($I20),1)="D",LEFT(TRIM($I20),1)="E"))),IF(COUNTIF($Q20:$AE20,"?*")&gt;0,", ","")&amp;"respuesta A-E","")</f>
        <v/>
      </c>
      <c r="AG20">
        <f>IF(AND(OR($A20="Selección de la mejor respuesta",$A20="Subítem de caso o problema"),COUNTA($D20:$H20)&lt;5),IF(COUNTIF($Q20:$AF20,"?*")&gt;0,", ","")&amp;"incisos A-E","")</f>
        <v/>
      </c>
      <c r="AH20">
        <f>IF(AND(OR($A20="Selección de la mejor respuesta",$A20="Subítem de caso o problema"),TRIM($I20)&lt;&gt;"",NOT(OR(LEFT(TRIM($I20),1)="A",LEFT(TRIM($I20),1)="B",LEFT(TRIM($I20),1)="C",LEFT(TRIM($I20),1)="D",LEFT(TRIM($I20),1)="E"))),IF(COUNTIF($Q20:$AG20,"?*")&gt;0,", ","")&amp;"respuesta A-E","")</f>
        <v/>
      </c>
      <c r="AI20">
        <f>IF(AND(OR($A20="Ítems agrupados por caso clínico o problema",$A20="Opción de Emparejamiento Ampliado"),COUNTIF($D20:$H20,"?*")&gt;0),IF(COUNTIF($Q20:$AH20,"?*")&gt;0,", ","")&amp;"sin incisos","")</f>
        <v/>
      </c>
      <c r="AJ20">
        <f>IF(AND($A20="Emparejamiento Ampliado",COUNTIF($D20:$H20,"?*")&lt;2),IF(COUNTIF($Q20:$AI20,"?*")&gt;0,", ","")&amp;"minimo 2 claves","")</f>
        <v/>
      </c>
      <c r="AK20">
        <f>IF(AND($A20="Opción de Emparejamiento Ampliado",NOT(OR(LEFT(TRIM($I20),1)="A",LEFT(TRIM($I20),1)="B",LEFT(TRIM($I20),1)="C",LEFT(TRIM($I20),1)="D",LEFT(TRIM($I20),1)="E"))),IF(COUNTIF($Q20:$AJ20,"?*")&gt;0,", ","")&amp;"respuesta A-E","")</f>
        <v/>
      </c>
      <c r="AL20">
        <f>IF(TRIM($K20)="",IF(COUNTIF($M20:$M20,"?*")&gt;0,", ","")&amp;"parcial","")</f>
        <v/>
      </c>
      <c r="AM20">
        <f>IF(AND(TRIM($K20)&lt;&gt;"",TRIM($K20)&lt;&gt;VALIDACIONES!$G$1),IF(COUNTIF($M20:$N20,"?*")&gt;0,", ","")&amp;"parcial distinto a "&amp;VALIDACIONES!$G$1,"")</f>
        <v/>
      </c>
      <c r="AN20">
        <f>IF(AND(OR($A20="Ítems agrupados por caso clínico o problema",$A20="Subítem de caso o problema",$A20="Emparejamiento Ampliado",$A20="Opción de Emparejamiento Ampliado"),TRIM($B20)=""),IF(COUNTIF($M20:$O20,"?*")&gt;0,", ","")&amp;"grupo","")</f>
        <v/>
      </c>
    </row>
    <row r="21" ht="24" customHeight="1">
      <c r="A21" s="344" t="n"/>
      <c r="B21" s="344" t="n"/>
      <c r="C21" s="344" t="n"/>
      <c r="D21" s="344">
        <f>IF($A21="Verdadero o Falso Simple","Verdadero",IF($A21="Respuesta A/B/Ambas/Ninguna","A. Si la primera es verdadera",IF($A21="Verdadero o Falso Complejas","1. ","")))</f>
        <v/>
      </c>
      <c r="E21" s="344">
        <f>IF($A21="Verdadero o Falso Simple","Falso",IF($A21="Respuesta A/B/Ambas/Ninguna","B. Si la segunda es verdadera",IF($A21="Verdadero o Falso Complejas","2. ","")))</f>
        <v/>
      </c>
      <c r="F21" s="344">
        <f>IF($A21="Respuesta A/B/Ambas/Ninguna","C. Si ambas son verdaderas",IF($A21="Verdadero o Falso Complejas","3. ",""))</f>
        <v/>
      </c>
      <c r="G21" s="344">
        <f>IF($A21="Respuesta A/B/Ambas/Ninguna","D. Si ninguna es verdadera",IF($A21="Verdadero o Falso Complejas","4. ",""))</f>
        <v/>
      </c>
      <c r="H21" s="344">
        <f>IF($A21="Verdadero o Falso Simple","",IF($A21="Respuesta A/B/Ambas/Ninguna","",IF($A21="Verdadero o Falso Complejas","","")))</f>
        <v/>
      </c>
      <c r="I21" s="344" t="n"/>
      <c r="J21" s="344" t="n">
        <v>2</v>
      </c>
      <c r="K21" s="344" t="inlineStr">
        <is>
          <t>2P</t>
        </is>
      </c>
      <c r="L21" s="345">
        <f>IF(TRIM($A21)="","",IF(OR($A21="Selección de la mejor respuesta",$A21="SELECCION_MEJOR_RESPUESTA",$A21="Subítem de caso o problema",$A21="SUBITEM_CASO"),IF(TRIM($C21)="","Completar enunciado",IF(SUMPRODUCT(--(LEN(TRIM($D21:$H21&amp;""))&gt;0))&lt;5,"Completar opciones A-E",IF(AND(TRIM($I21)&lt;&gt;"",OR(LEFT(TRIM($I21),1)="A",LEFT(TRIM($I21),1)="B",LEFT(TRIM($I21),1)="C",LEFT(TRIM($I21),1)="D",LEFT(TRIM($I21),1)="E")),"OK","Completar respuesta correcta A-E"))),IF(TRIM($A21)="","",IF(COUNTIF($Q21:$AJ21,"?*")=0,"OK","Falta revisar: "&amp;$Q21&amp;$R21&amp;$S21&amp;$T21&amp;$U21&amp;$V21&amp;$W21&amp;$X21&amp;$Y21&amp;$Z21&amp;$AA21&amp;$AB21&amp;$AC21&amp;$AD21&amp;$AE21&amp;$AF21&amp;$AG21&amp;$AH21&amp;$AI21&amp;$AJ21))))</f>
        <v/>
      </c>
      <c r="M21" s="341" t="n"/>
      <c r="Q21">
        <f>IF(TRIM($C21)="","enunciado","")</f>
        <v/>
      </c>
      <c r="R21">
        <f>IF(TRIM($K21)="",IF(COUNTIF($Q21:$Q21,"?*")&gt;0,", ","")&amp;"parcial","")</f>
        <v/>
      </c>
      <c r="S21">
        <f>IF(AND(TRIM($K21)&lt;&gt;"",TRIM($K21)&lt;&gt;VALIDACIONES!$G$1),IF(COUNTIF($Q21:$R21,"?*")&gt;0,", ","")&amp;"parcial distinto a "&amp;VALIDACIONES!$G$1,"")</f>
        <v/>
      </c>
      <c r="T21">
        <f>IF(AND(OR($A21="Ítems agrupados por caso clínico o problema",$A21="Subítem de caso o problema",$A21="Emparejamiento Ampliado",$A21="Opción de Emparejamiento Ampliado"),TRIM($B21)=""),IF(COUNTIF($Q21:$S21,"?*")&gt;0,", ","")&amp;"grupo","")</f>
        <v/>
      </c>
      <c r="U21">
        <f>IF(AND(OR($A21="Verdadero o Falso Simple",$A21="Respuesta A/B/Ambas/Ninguna",$A21="Verdadero o Falso Complejas",$A21="Selección de la mejor respuesta",$A21="Subítem de caso o problema",$A21="Opción de Emparejamiento Ampliado"),TRIM($I21)=""),IF(COUNTIF($Q21:$T21,"?*")&gt;0,", ","")&amp;"respuesta_correcta","")</f>
        <v/>
      </c>
      <c r="V21">
        <f>IF(AND(OR($A21="Verdadero o Falso Simple",$A21="Respuesta A/B/Ambas/Ninguna",$A21="Verdadero o Falso Complejas",$A21="Selección de la mejor respuesta",$A21="Subítem de caso o problema",$A21="Opción de Emparejamiento Ampliado"),TRIM($J21)=""),IF(COUNTIF($Q21:$U21,"?*")&gt;0,", ","")&amp;"dificultad","")</f>
        <v/>
      </c>
      <c r="W21">
        <f>IF(AND(OR($A21="Ítems agrupados por caso clínico o problema",$A21="Emparejamiento Ampliado"),TRIM($I21)&lt;&gt;""),IF(COUNTIF($Q21:$V21,"?*")&gt;0,", ","")&amp;"respuesta debe ir vacia","")</f>
        <v/>
      </c>
      <c r="X21">
        <f>IF(AND(OR($A21="Ítems agrupados por caso clínico o problema",$A21="Emparejamiento Ampliado"),TRIM($J21)&lt;&gt;""),IF(COUNTIF($Q21:$W21,"?*")&gt;0,", ","")&amp;"dificultad debe ir vacia","")</f>
        <v/>
      </c>
      <c r="Y21">
        <f>IF(AND($A21="Verdadero o Falso Simple",OR(COUNTIF($D21:$E21,"?*")&lt;2,COUNTIF($F21:$H21,"?*")&gt;0)),IF(COUNTIF($Q21:$X21,"?*")&gt;0,", ","")&amp;"incisos A-B","")</f>
        <v/>
      </c>
      <c r="Z21">
        <f>IF(AND($A21="Verdadero o Falso Simple",TRIM($I21)&lt;&gt;"",NOT(OR(LEFT(TRIM($I21),1)="A",LEFT(TRIM($I21),1)="B"))),IF(COUNTIF($Q21:$Y21,"?*")&gt;0,", ","")&amp;"respuesta A-B","")</f>
        <v/>
      </c>
      <c r="AA21">
        <f>IF(AND($A21="Respuesta A/B/Ambas/Ninguna",COUNTIF($D21:$G21,"?*")&lt;4),IF(COUNTIF($Q21:$Z21,"?*")&gt;0,", ","")&amp;"opciones A-D","")</f>
        <v/>
      </c>
      <c r="AB21">
        <f>IF(AND($A21="Respuesta A/B/Ambas/Ninguna",COUNTIF($H21:$H21,"?*")&gt;0),IF(COUNTIF($Q21:$AA21,"?*")&gt;0,", ","")&amp;"opcion E deshabilitada","")</f>
        <v/>
      </c>
      <c r="AC21">
        <f>IF(AND($A21="Respuesta A/B/Ambas/Ninguna",TRIM($I21)&lt;&gt;"",NOT(OR(LEFT(TRIM($I21),1)="A",LEFT(TRIM($I21),1)="B",LEFT(TRIM($I21),1)="C",LEFT(TRIM($I21),1)="D"))),IF(COUNTIF($Q21:$AB21,"?*")&gt;0,", ","")&amp;"respuesta A-D","")</f>
        <v/>
      </c>
      <c r="AD21">
        <f>IF(AND($A21="Verdadero o Falso Complejas",OR(LEN(TRIM(SUBSTITUTE($D21,"1.","")))=0,LEN(TRIM(SUBSTITUTE($E21,"2.","")))=0,LEN(TRIM(SUBSTITUTE($F21,"3.","")))=0,LEN(TRIM(SUBSTITUTE($G21,"4.","")))=0)),IF(COUNTIF($Q21:$AC21,"?*")&gt;0,", ","")&amp;"incisos 1-4","")</f>
        <v/>
      </c>
      <c r="AE21">
        <f>IF(AND($A21="Verdadero o Falso Complejas",COUNTIF($H21:$H21,"?*")&gt;0),IF(COUNTIF($Q21:$AD21,"?*")&gt;0,", ","")&amp;"opcion E deshabilitada","")</f>
        <v/>
      </c>
      <c r="AF21">
        <f>IF(AND($A21="Verdadero o Falso Complejas",TRIM($I21)&lt;&gt;"",NOT(OR(LEFT(TRIM($I21),1)="A",LEFT(TRIM($I21),1)="B",LEFT(TRIM($I21),1)="C",LEFT(TRIM($I21),1)="D",LEFT(TRIM($I21),1)="E"))),IF(COUNTIF($Q21:$AE21,"?*")&gt;0,", ","")&amp;"respuesta A-E","")</f>
        <v/>
      </c>
      <c r="AG21">
        <f>IF(AND(OR($A21="Selección de la mejor respuesta",$A21="Subítem de caso o problema"),COUNTA($D21:$H21)&lt;5),IF(COUNTIF($Q21:$AF21,"?*")&gt;0,", ","")&amp;"incisos A-E","")</f>
        <v/>
      </c>
      <c r="AH21">
        <f>IF(AND(OR($A21="Selección de la mejor respuesta",$A21="Subítem de caso o problema"),TRIM($I21)&lt;&gt;"",NOT(OR(LEFT(TRIM($I21),1)="A",LEFT(TRIM($I21),1)="B",LEFT(TRIM($I21),1)="C",LEFT(TRIM($I21),1)="D",LEFT(TRIM($I21),1)="E"))),IF(COUNTIF($Q21:$AG21,"?*")&gt;0,", ","")&amp;"respuesta A-E","")</f>
        <v/>
      </c>
      <c r="AI21">
        <f>IF(AND(OR($A21="Ítems agrupados por caso clínico o problema",$A21="Opción de Emparejamiento Ampliado"),COUNTIF($D21:$H21,"?*")&gt;0),IF(COUNTIF($Q21:$AH21,"?*")&gt;0,", ","")&amp;"sin incisos","")</f>
        <v/>
      </c>
      <c r="AJ21">
        <f>IF(AND($A21="Emparejamiento Ampliado",COUNTIF($D21:$H21,"?*")&lt;2),IF(COUNTIF($Q21:$AI21,"?*")&gt;0,", ","")&amp;"minimo 2 claves","")</f>
        <v/>
      </c>
      <c r="AK21">
        <f>IF(AND($A21="Opción de Emparejamiento Ampliado",NOT(OR(LEFT(TRIM($I21),1)="A",LEFT(TRIM($I21),1)="B",LEFT(TRIM($I21),1)="C",LEFT(TRIM($I21),1)="D",LEFT(TRIM($I21),1)="E"))),IF(COUNTIF($Q21:$AJ21,"?*")&gt;0,", ","")&amp;"respuesta A-E","")</f>
        <v/>
      </c>
      <c r="AL21">
        <f>IF(TRIM($K21)="",IF(COUNTIF($M21:$M21,"?*")&gt;0,", ","")&amp;"parcial","")</f>
        <v/>
      </c>
      <c r="AM21">
        <f>IF(AND(TRIM($K21)&lt;&gt;"",TRIM($K21)&lt;&gt;VALIDACIONES!$G$1),IF(COUNTIF($M21:$N21,"?*")&gt;0,", ","")&amp;"parcial distinto a "&amp;VALIDACIONES!$G$1,"")</f>
        <v/>
      </c>
      <c r="AN21">
        <f>IF(AND(OR($A21="Ítems agrupados por caso clínico o problema",$A21="Subítem de caso o problema",$A21="Emparejamiento Ampliado",$A21="Opción de Emparejamiento Ampliado"),TRIM($B21)=""),IF(COUNTIF($M21:$O21,"?*")&gt;0,", ","")&amp;"grupo","")</f>
        <v/>
      </c>
    </row>
    <row r="22" ht="24" customHeight="1">
      <c r="A22" s="344" t="n"/>
      <c r="B22" s="344" t="n"/>
      <c r="C22" s="344" t="n"/>
      <c r="D22" s="344">
        <f>IF($A22="Verdadero o Falso Simple","Verdadero",IF($A22="Respuesta A/B/Ambas/Ninguna","A. Si la primera es verdadera",IF($A22="Verdadero o Falso Complejas","1. ","")))</f>
        <v/>
      </c>
      <c r="E22" s="344">
        <f>IF($A22="Verdadero o Falso Simple","Falso",IF($A22="Respuesta A/B/Ambas/Ninguna","B. Si la segunda es verdadera",IF($A22="Verdadero o Falso Complejas","2. ","")))</f>
        <v/>
      </c>
      <c r="F22" s="344">
        <f>IF($A22="Respuesta A/B/Ambas/Ninguna","C. Si ambas son verdaderas",IF($A22="Verdadero o Falso Complejas","3. ",""))</f>
        <v/>
      </c>
      <c r="G22" s="344">
        <f>IF($A22="Respuesta A/B/Ambas/Ninguna","D. Si ninguna es verdadera",IF($A22="Verdadero o Falso Complejas","4. ",""))</f>
        <v/>
      </c>
      <c r="H22" s="344">
        <f>IF($A22="Verdadero o Falso Simple","",IF($A22="Respuesta A/B/Ambas/Ninguna","",IF($A22="Verdadero o Falso Complejas","","")))</f>
        <v/>
      </c>
      <c r="I22" s="344" t="n"/>
      <c r="J22" s="344" t="n">
        <v>2</v>
      </c>
      <c r="K22" s="344" t="inlineStr">
        <is>
          <t>2P</t>
        </is>
      </c>
      <c r="L22" s="345">
        <f>IF(TRIM($A22)="","",IF(OR($A22="Selección de la mejor respuesta",$A22="SELECCION_MEJOR_RESPUESTA",$A22="Subítem de caso o problema",$A22="SUBITEM_CASO"),IF(TRIM($C22)="","Completar enunciado",IF(SUMPRODUCT(--(LEN(TRIM($D22:$H22&amp;""))&gt;0))&lt;5,"Completar opciones A-E",IF(AND(TRIM($I22)&lt;&gt;"",OR(LEFT(TRIM($I22),1)="A",LEFT(TRIM($I22),1)="B",LEFT(TRIM($I22),1)="C",LEFT(TRIM($I22),1)="D",LEFT(TRIM($I22),1)="E")),"OK","Completar respuesta correcta A-E"))),IF(TRIM($A22)="","",IF(COUNTIF($Q22:$AJ22,"?*")=0,"OK","Falta revisar: "&amp;$Q22&amp;$R22&amp;$S22&amp;$T22&amp;$U22&amp;$V22&amp;$W22&amp;$X22&amp;$Y22&amp;$Z22&amp;$AA22&amp;$AB22&amp;$AC22&amp;$AD22&amp;$AE22&amp;$AF22&amp;$AG22&amp;$AH22&amp;$AI22&amp;$AJ22))))</f>
        <v/>
      </c>
      <c r="M22" s="341" t="n"/>
      <c r="Q22">
        <f>IF(TRIM($C22)="","enunciado","")</f>
        <v/>
      </c>
      <c r="R22">
        <f>IF(TRIM($K22)="",IF(COUNTIF($Q22:$Q22,"?*")&gt;0,", ","")&amp;"parcial","")</f>
        <v/>
      </c>
      <c r="S22">
        <f>IF(AND(TRIM($K22)&lt;&gt;"",TRIM($K22)&lt;&gt;VALIDACIONES!$G$1),IF(COUNTIF($Q22:$R22,"?*")&gt;0,", ","")&amp;"parcial distinto a "&amp;VALIDACIONES!$G$1,"")</f>
        <v/>
      </c>
      <c r="T22">
        <f>IF(AND(OR($A22="Ítems agrupados por caso clínico o problema",$A22="Subítem de caso o problema",$A22="Emparejamiento Ampliado",$A22="Opción de Emparejamiento Ampliado"),TRIM($B22)=""),IF(COUNTIF($Q22:$S22,"?*")&gt;0,", ","")&amp;"grupo","")</f>
        <v/>
      </c>
      <c r="U22">
        <f>IF(AND(OR($A22="Verdadero o Falso Simple",$A22="Respuesta A/B/Ambas/Ninguna",$A22="Verdadero o Falso Complejas",$A22="Selección de la mejor respuesta",$A22="Subítem de caso o problema",$A22="Opción de Emparejamiento Ampliado"),TRIM($I22)=""),IF(COUNTIF($Q22:$T22,"?*")&gt;0,", ","")&amp;"respuesta_correcta","")</f>
        <v/>
      </c>
      <c r="V22">
        <f>IF(AND(OR($A22="Verdadero o Falso Simple",$A22="Respuesta A/B/Ambas/Ninguna",$A22="Verdadero o Falso Complejas",$A22="Selección de la mejor respuesta",$A22="Subítem de caso o problema",$A22="Opción de Emparejamiento Ampliado"),TRIM($J22)=""),IF(COUNTIF($Q22:$U22,"?*")&gt;0,", ","")&amp;"dificultad","")</f>
        <v/>
      </c>
      <c r="W22">
        <f>IF(AND(OR($A22="Ítems agrupados por caso clínico o problema",$A22="Emparejamiento Ampliado"),TRIM($I22)&lt;&gt;""),IF(COUNTIF($Q22:$V22,"?*")&gt;0,", ","")&amp;"respuesta debe ir vacia","")</f>
        <v/>
      </c>
      <c r="X22">
        <f>IF(AND(OR($A22="Ítems agrupados por caso clínico o problema",$A22="Emparejamiento Ampliado"),TRIM($J22)&lt;&gt;""),IF(COUNTIF($Q22:$W22,"?*")&gt;0,", ","")&amp;"dificultad debe ir vacia","")</f>
        <v/>
      </c>
      <c r="Y22">
        <f>IF(AND($A22="Verdadero o Falso Simple",OR(COUNTIF($D22:$E22,"?*")&lt;2,COUNTIF($F22:$H22,"?*")&gt;0)),IF(COUNTIF($Q22:$X22,"?*")&gt;0,", ","")&amp;"incisos A-B","")</f>
        <v/>
      </c>
      <c r="Z22">
        <f>IF(AND($A22="Verdadero o Falso Simple",TRIM($I22)&lt;&gt;"",NOT(OR(LEFT(TRIM($I22),1)="A",LEFT(TRIM($I22),1)="B"))),IF(COUNTIF($Q22:$Y22,"?*")&gt;0,", ","")&amp;"respuesta A-B","")</f>
        <v/>
      </c>
      <c r="AA22">
        <f>IF(AND($A22="Respuesta A/B/Ambas/Ninguna",COUNTIF($D22:$G22,"?*")&lt;4),IF(COUNTIF($Q22:$Z22,"?*")&gt;0,", ","")&amp;"opciones A-D","")</f>
        <v/>
      </c>
      <c r="AB22">
        <f>IF(AND($A22="Respuesta A/B/Ambas/Ninguna",COUNTIF($H22:$H22,"?*")&gt;0),IF(COUNTIF($Q22:$AA22,"?*")&gt;0,", ","")&amp;"opcion E deshabilitada","")</f>
        <v/>
      </c>
      <c r="AC22">
        <f>IF(AND($A22="Respuesta A/B/Ambas/Ninguna",TRIM($I22)&lt;&gt;"",NOT(OR(LEFT(TRIM($I22),1)="A",LEFT(TRIM($I22),1)="B",LEFT(TRIM($I22),1)="C",LEFT(TRIM($I22),1)="D"))),IF(COUNTIF($Q22:$AB22,"?*")&gt;0,", ","")&amp;"respuesta A-D","")</f>
        <v/>
      </c>
      <c r="AD22">
        <f>IF(AND($A22="Verdadero o Falso Complejas",OR(LEN(TRIM(SUBSTITUTE($D22,"1.","")))=0,LEN(TRIM(SUBSTITUTE($E22,"2.","")))=0,LEN(TRIM(SUBSTITUTE($F22,"3.","")))=0,LEN(TRIM(SUBSTITUTE($G22,"4.","")))=0)),IF(COUNTIF($Q22:$AC22,"?*")&gt;0,", ","")&amp;"incisos 1-4","")</f>
        <v/>
      </c>
      <c r="AE22">
        <f>IF(AND($A22="Verdadero o Falso Complejas",COUNTIF($H22:$H22,"?*")&gt;0),IF(COUNTIF($Q22:$AD22,"?*")&gt;0,", ","")&amp;"opcion E deshabilitada","")</f>
        <v/>
      </c>
      <c r="AF22">
        <f>IF(AND($A22="Verdadero o Falso Complejas",TRIM($I22)&lt;&gt;"",NOT(OR(LEFT(TRIM($I22),1)="A",LEFT(TRIM($I22),1)="B",LEFT(TRIM($I22),1)="C",LEFT(TRIM($I22),1)="D",LEFT(TRIM($I22),1)="E"))),IF(COUNTIF($Q22:$AE22,"?*")&gt;0,", ","")&amp;"respuesta A-E","")</f>
        <v/>
      </c>
      <c r="AG22">
        <f>IF(AND(OR($A22="Selección de la mejor respuesta",$A22="Subítem de caso o problema"),COUNTA($D22:$H22)&lt;5),IF(COUNTIF($Q22:$AF22,"?*")&gt;0,", ","")&amp;"incisos A-E","")</f>
        <v/>
      </c>
      <c r="AH22">
        <f>IF(AND(OR($A22="Selección de la mejor respuesta",$A22="Subítem de caso o problema"),TRIM($I22)&lt;&gt;"",NOT(OR(LEFT(TRIM($I22),1)="A",LEFT(TRIM($I22),1)="B",LEFT(TRIM($I22),1)="C",LEFT(TRIM($I22),1)="D",LEFT(TRIM($I22),1)="E"))),IF(COUNTIF($Q22:$AG22,"?*")&gt;0,", ","")&amp;"respuesta A-E","")</f>
        <v/>
      </c>
      <c r="AI22">
        <f>IF(AND(OR($A22="Ítems agrupados por caso clínico o problema",$A22="Opción de Emparejamiento Ampliado"),COUNTIF($D22:$H22,"?*")&gt;0),IF(COUNTIF($Q22:$AH22,"?*")&gt;0,", ","")&amp;"sin incisos","")</f>
        <v/>
      </c>
      <c r="AJ22">
        <f>IF(AND($A22="Emparejamiento Ampliado",COUNTIF($D22:$H22,"?*")&lt;2),IF(COUNTIF($Q22:$AI22,"?*")&gt;0,", ","")&amp;"minimo 2 claves","")</f>
        <v/>
      </c>
      <c r="AK22">
        <f>IF(AND($A22="Opción de Emparejamiento Ampliado",NOT(OR(LEFT(TRIM($I22),1)="A",LEFT(TRIM($I22),1)="B",LEFT(TRIM($I22),1)="C",LEFT(TRIM($I22),1)="D",LEFT(TRIM($I22),1)="E"))),IF(COUNTIF($Q22:$AJ22,"?*")&gt;0,", ","")&amp;"respuesta A-E","")</f>
        <v/>
      </c>
      <c r="AL22">
        <f>IF(TRIM($K22)="",IF(COUNTIF($M22:$M22,"?*")&gt;0,", ","")&amp;"parcial","")</f>
        <v/>
      </c>
      <c r="AM22">
        <f>IF(AND(TRIM($K22)&lt;&gt;"",TRIM($K22)&lt;&gt;VALIDACIONES!$G$1),IF(COUNTIF($M22:$N22,"?*")&gt;0,", ","")&amp;"parcial distinto a "&amp;VALIDACIONES!$G$1,"")</f>
        <v/>
      </c>
      <c r="AN22">
        <f>IF(AND(OR($A22="Ítems agrupados por caso clínico o problema",$A22="Subítem de caso o problema",$A22="Emparejamiento Ampliado",$A22="Opción de Emparejamiento Ampliado"),TRIM($B22)=""),IF(COUNTIF($M22:$O22,"?*")&gt;0,", ","")&amp;"grupo","")</f>
        <v/>
      </c>
    </row>
    <row r="23" ht="24" customHeight="1">
      <c r="A23" s="344" t="n"/>
      <c r="B23" s="344" t="n"/>
      <c r="C23" s="344" t="n"/>
      <c r="D23" s="344">
        <f>IF($A23="Verdadero o Falso Simple","Verdadero",IF($A23="Respuesta A/B/Ambas/Ninguna","A. Si la primera es verdadera",IF($A23="Verdadero o Falso Complejas","1. ","")))</f>
        <v/>
      </c>
      <c r="E23" s="344">
        <f>IF($A23="Verdadero o Falso Simple","Falso",IF($A23="Respuesta A/B/Ambas/Ninguna","B. Si la segunda es verdadera",IF($A23="Verdadero o Falso Complejas","2. ","")))</f>
        <v/>
      </c>
      <c r="F23" s="344">
        <f>IF($A23="Respuesta A/B/Ambas/Ninguna","C. Si ambas son verdaderas",IF($A23="Verdadero o Falso Complejas","3. ",""))</f>
        <v/>
      </c>
      <c r="G23" s="344">
        <f>IF($A23="Respuesta A/B/Ambas/Ninguna","D. Si ninguna es verdadera",IF($A23="Verdadero o Falso Complejas","4. ",""))</f>
        <v/>
      </c>
      <c r="H23" s="344">
        <f>IF($A23="Verdadero o Falso Simple","",IF($A23="Respuesta A/B/Ambas/Ninguna","",IF($A23="Verdadero o Falso Complejas","","")))</f>
        <v/>
      </c>
      <c r="I23" s="344" t="n"/>
      <c r="J23" s="344" t="n">
        <v>2</v>
      </c>
      <c r="K23" s="344" t="inlineStr">
        <is>
          <t>2P</t>
        </is>
      </c>
      <c r="L23" s="345">
        <f>IF(TRIM($A23)="","",IF(OR($A23="Selección de la mejor respuesta",$A23="SELECCION_MEJOR_RESPUESTA",$A23="Subítem de caso o problema",$A23="SUBITEM_CASO"),IF(TRIM($C23)="","Completar enunciado",IF(SUMPRODUCT(--(LEN(TRIM($D23:$H23&amp;""))&gt;0))&lt;5,"Completar opciones A-E",IF(AND(TRIM($I23)&lt;&gt;"",OR(LEFT(TRIM($I23),1)="A",LEFT(TRIM($I23),1)="B",LEFT(TRIM($I23),1)="C",LEFT(TRIM($I23),1)="D",LEFT(TRIM($I23),1)="E")),"OK","Completar respuesta correcta A-E"))),IF(TRIM($A23)="","",IF(COUNTIF($Q23:$AJ23,"?*")=0,"OK","Falta revisar: "&amp;$Q23&amp;$R23&amp;$S23&amp;$T23&amp;$U23&amp;$V23&amp;$W23&amp;$X23&amp;$Y23&amp;$Z23&amp;$AA23&amp;$AB23&amp;$AC23&amp;$AD23&amp;$AE23&amp;$AF23&amp;$AG23&amp;$AH23&amp;$AI23&amp;$AJ23))))</f>
        <v/>
      </c>
      <c r="M23" s="341" t="n"/>
      <c r="Q23">
        <f>IF(TRIM($C23)="","enunciado","")</f>
        <v/>
      </c>
      <c r="R23">
        <f>IF(TRIM($K23)="",IF(COUNTIF($Q23:$Q23,"?*")&gt;0,", ","")&amp;"parcial","")</f>
        <v/>
      </c>
      <c r="S23">
        <f>IF(AND(TRIM($K23)&lt;&gt;"",TRIM($K23)&lt;&gt;VALIDACIONES!$G$1),IF(COUNTIF($Q23:$R23,"?*")&gt;0,", ","")&amp;"parcial distinto a "&amp;VALIDACIONES!$G$1,"")</f>
        <v/>
      </c>
      <c r="T23">
        <f>IF(AND(OR($A23="Ítems agrupados por caso clínico o problema",$A23="Subítem de caso o problema",$A23="Emparejamiento Ampliado",$A23="Opción de Emparejamiento Ampliado"),TRIM($B23)=""),IF(COUNTIF($Q23:$S23,"?*")&gt;0,", ","")&amp;"grupo","")</f>
        <v/>
      </c>
      <c r="U23">
        <f>IF(AND(OR($A23="Verdadero o Falso Simple",$A23="Respuesta A/B/Ambas/Ninguna",$A23="Verdadero o Falso Complejas",$A23="Selección de la mejor respuesta",$A23="Subítem de caso o problema",$A23="Opción de Emparejamiento Ampliado"),TRIM($I23)=""),IF(COUNTIF($Q23:$T23,"?*")&gt;0,", ","")&amp;"respuesta_correcta","")</f>
        <v/>
      </c>
      <c r="V23">
        <f>IF(AND(OR($A23="Verdadero o Falso Simple",$A23="Respuesta A/B/Ambas/Ninguna",$A23="Verdadero o Falso Complejas",$A23="Selección de la mejor respuesta",$A23="Subítem de caso o problema",$A23="Opción de Emparejamiento Ampliado"),TRIM($J23)=""),IF(COUNTIF($Q23:$U23,"?*")&gt;0,", ","")&amp;"dificultad","")</f>
        <v/>
      </c>
      <c r="W23">
        <f>IF(AND(OR($A23="Ítems agrupados por caso clínico o problema",$A23="Emparejamiento Ampliado"),TRIM($I23)&lt;&gt;""),IF(COUNTIF($Q23:$V23,"?*")&gt;0,", ","")&amp;"respuesta debe ir vacia","")</f>
        <v/>
      </c>
      <c r="X23">
        <f>IF(AND(OR($A23="Ítems agrupados por caso clínico o problema",$A23="Emparejamiento Ampliado"),TRIM($J23)&lt;&gt;""),IF(COUNTIF($Q23:$W23,"?*")&gt;0,", ","")&amp;"dificultad debe ir vacia","")</f>
        <v/>
      </c>
      <c r="Y23">
        <f>IF(AND($A23="Verdadero o Falso Simple",OR(COUNTIF($D23:$E23,"?*")&lt;2,COUNTIF($F23:$H23,"?*")&gt;0)),IF(COUNTIF($Q23:$X23,"?*")&gt;0,", ","")&amp;"incisos A-B","")</f>
        <v/>
      </c>
      <c r="Z23">
        <f>IF(AND($A23="Verdadero o Falso Simple",TRIM($I23)&lt;&gt;"",NOT(OR(LEFT(TRIM($I23),1)="A",LEFT(TRIM($I23),1)="B"))),IF(COUNTIF($Q23:$Y23,"?*")&gt;0,", ","")&amp;"respuesta A-B","")</f>
        <v/>
      </c>
      <c r="AA23">
        <f>IF(AND($A23="Respuesta A/B/Ambas/Ninguna",COUNTIF($D23:$G23,"?*")&lt;4),IF(COUNTIF($Q23:$Z23,"?*")&gt;0,", ","")&amp;"opciones A-D","")</f>
        <v/>
      </c>
      <c r="AB23">
        <f>IF(AND($A23="Respuesta A/B/Ambas/Ninguna",COUNTIF($H23:$H23,"?*")&gt;0),IF(COUNTIF($Q23:$AA23,"?*")&gt;0,", ","")&amp;"opcion E deshabilitada","")</f>
        <v/>
      </c>
      <c r="AC23">
        <f>IF(AND($A23="Respuesta A/B/Ambas/Ninguna",TRIM($I23)&lt;&gt;"",NOT(OR(LEFT(TRIM($I23),1)="A",LEFT(TRIM($I23),1)="B",LEFT(TRIM($I23),1)="C",LEFT(TRIM($I23),1)="D"))),IF(COUNTIF($Q23:$AB23,"?*")&gt;0,", ","")&amp;"respuesta A-D","")</f>
        <v/>
      </c>
      <c r="AD23">
        <f>IF(AND($A23="Verdadero o Falso Complejas",OR(LEN(TRIM(SUBSTITUTE($D23,"1.","")))=0,LEN(TRIM(SUBSTITUTE($E23,"2.","")))=0,LEN(TRIM(SUBSTITUTE($F23,"3.","")))=0,LEN(TRIM(SUBSTITUTE($G23,"4.","")))=0)),IF(COUNTIF($Q23:$AC23,"?*")&gt;0,", ","")&amp;"incisos 1-4","")</f>
        <v/>
      </c>
      <c r="AE23">
        <f>IF(AND($A23="Verdadero o Falso Complejas",COUNTIF($H23:$H23,"?*")&gt;0),IF(COUNTIF($Q23:$AD23,"?*")&gt;0,", ","")&amp;"opcion E deshabilitada","")</f>
        <v/>
      </c>
      <c r="AF23">
        <f>IF(AND($A23="Verdadero o Falso Complejas",TRIM($I23)&lt;&gt;"",NOT(OR(LEFT(TRIM($I23),1)="A",LEFT(TRIM($I23),1)="B",LEFT(TRIM($I23),1)="C",LEFT(TRIM($I23),1)="D",LEFT(TRIM($I23),1)="E"))),IF(COUNTIF($Q23:$AE23,"?*")&gt;0,", ","")&amp;"respuesta A-E","")</f>
        <v/>
      </c>
      <c r="AG23">
        <f>IF(AND(OR($A23="Selección de la mejor respuesta",$A23="Subítem de caso o problema"),COUNTA($D23:$H23)&lt;5),IF(COUNTIF($Q23:$AF23,"?*")&gt;0,", ","")&amp;"incisos A-E","")</f>
        <v/>
      </c>
      <c r="AH23">
        <f>IF(AND(OR($A23="Selección de la mejor respuesta",$A23="Subítem de caso o problema"),TRIM($I23)&lt;&gt;"",NOT(OR(LEFT(TRIM($I23),1)="A",LEFT(TRIM($I23),1)="B",LEFT(TRIM($I23),1)="C",LEFT(TRIM($I23),1)="D",LEFT(TRIM($I23),1)="E"))),IF(COUNTIF($Q23:$AG23,"?*")&gt;0,", ","")&amp;"respuesta A-E","")</f>
        <v/>
      </c>
      <c r="AI23">
        <f>IF(AND(OR($A23="Ítems agrupados por caso clínico o problema",$A23="Opción de Emparejamiento Ampliado"),COUNTIF($D23:$H23,"?*")&gt;0),IF(COUNTIF($Q23:$AH23,"?*")&gt;0,", ","")&amp;"sin incisos","")</f>
        <v/>
      </c>
      <c r="AJ23">
        <f>IF(AND($A23="Emparejamiento Ampliado",COUNTIF($D23:$H23,"?*")&lt;2),IF(COUNTIF($Q23:$AI23,"?*")&gt;0,", ","")&amp;"minimo 2 claves","")</f>
        <v/>
      </c>
      <c r="AK23">
        <f>IF(AND($A23="Opción de Emparejamiento Ampliado",NOT(OR(LEFT(TRIM($I23),1)="A",LEFT(TRIM($I23),1)="B",LEFT(TRIM($I23),1)="C",LEFT(TRIM($I23),1)="D",LEFT(TRIM($I23),1)="E"))),IF(COUNTIF($Q23:$AJ23,"?*")&gt;0,", ","")&amp;"respuesta A-E","")</f>
        <v/>
      </c>
      <c r="AL23">
        <f>IF(TRIM($K23)="",IF(COUNTIF($M23:$M23,"?*")&gt;0,", ","")&amp;"parcial","")</f>
        <v/>
      </c>
      <c r="AM23">
        <f>IF(AND(TRIM($K23)&lt;&gt;"",TRIM($K23)&lt;&gt;VALIDACIONES!$G$1),IF(COUNTIF($M23:$N23,"?*")&gt;0,", ","")&amp;"parcial distinto a "&amp;VALIDACIONES!$G$1,"")</f>
        <v/>
      </c>
      <c r="AN23">
        <f>IF(AND(OR($A23="Ítems agrupados por caso clínico o problema",$A23="Subítem de caso o problema",$A23="Emparejamiento Ampliado",$A23="Opción de Emparejamiento Ampliado"),TRIM($B23)=""),IF(COUNTIF($M23:$O23,"?*")&gt;0,", ","")&amp;"grupo","")</f>
        <v/>
      </c>
    </row>
    <row r="24" ht="24" customHeight="1">
      <c r="A24" s="344" t="n"/>
      <c r="B24" s="344" t="n"/>
      <c r="C24" s="344" t="n"/>
      <c r="D24" s="344">
        <f>IF($A24="Verdadero o Falso Simple","Verdadero",IF($A24="Respuesta A/B/Ambas/Ninguna","A. Si la primera es verdadera",IF($A24="Verdadero o Falso Complejas","1. ","")))</f>
        <v/>
      </c>
      <c r="E24" s="344">
        <f>IF($A24="Verdadero o Falso Simple","Falso",IF($A24="Respuesta A/B/Ambas/Ninguna","B. Si la segunda es verdadera",IF($A24="Verdadero o Falso Complejas","2. ","")))</f>
        <v/>
      </c>
      <c r="F24" s="344">
        <f>IF($A24="Respuesta A/B/Ambas/Ninguna","C. Si ambas son verdaderas",IF($A24="Verdadero o Falso Complejas","3. ",""))</f>
        <v/>
      </c>
      <c r="G24" s="344">
        <f>IF($A24="Respuesta A/B/Ambas/Ninguna","D. Si ninguna es verdadera",IF($A24="Verdadero o Falso Complejas","4. ",""))</f>
        <v/>
      </c>
      <c r="H24" s="344">
        <f>IF($A24="Verdadero o Falso Simple","",IF($A24="Respuesta A/B/Ambas/Ninguna","",IF($A24="Verdadero o Falso Complejas","","")))</f>
        <v/>
      </c>
      <c r="I24" s="344" t="n"/>
      <c r="J24" s="344" t="n">
        <v>2</v>
      </c>
      <c r="K24" s="344" t="inlineStr">
        <is>
          <t>2P</t>
        </is>
      </c>
      <c r="L24" s="345">
        <f>IF(TRIM($A24)="","",IF(OR($A24="Selección de la mejor respuesta",$A24="SELECCION_MEJOR_RESPUESTA",$A24="Subítem de caso o problema",$A24="SUBITEM_CASO"),IF(TRIM($C24)="","Completar enunciado",IF(SUMPRODUCT(--(LEN(TRIM($D24:$H24&amp;""))&gt;0))&lt;5,"Completar opciones A-E",IF(AND(TRIM($I24)&lt;&gt;"",OR(LEFT(TRIM($I24),1)="A",LEFT(TRIM($I24),1)="B",LEFT(TRIM($I24),1)="C",LEFT(TRIM($I24),1)="D",LEFT(TRIM($I24),1)="E")),"OK","Completar respuesta correcta A-E"))),IF(TRIM($A24)="","",IF(COUNTIF($Q24:$AJ24,"?*")=0,"OK","Falta revisar: "&amp;$Q24&amp;$R24&amp;$S24&amp;$T24&amp;$U24&amp;$V24&amp;$W24&amp;$X24&amp;$Y24&amp;$Z24&amp;$AA24&amp;$AB24&amp;$AC24&amp;$AD24&amp;$AE24&amp;$AF24&amp;$AG24&amp;$AH24&amp;$AI24&amp;$AJ24))))</f>
        <v/>
      </c>
      <c r="M24" s="341" t="n"/>
      <c r="Q24">
        <f>IF(TRIM($C24)="","enunciado","")</f>
        <v/>
      </c>
      <c r="R24">
        <f>IF(TRIM($K24)="",IF(COUNTIF($Q24:$Q24,"?*")&gt;0,", ","")&amp;"parcial","")</f>
        <v/>
      </c>
      <c r="S24">
        <f>IF(AND(TRIM($K24)&lt;&gt;"",TRIM($K24)&lt;&gt;VALIDACIONES!$G$1),IF(COUNTIF($Q24:$R24,"?*")&gt;0,", ","")&amp;"parcial distinto a "&amp;VALIDACIONES!$G$1,"")</f>
        <v/>
      </c>
      <c r="T24">
        <f>IF(AND(OR($A24="Ítems agrupados por caso clínico o problema",$A24="Subítem de caso o problema",$A24="Emparejamiento Ampliado",$A24="Opción de Emparejamiento Ampliado"),TRIM($B24)=""),IF(COUNTIF($Q24:$S24,"?*")&gt;0,", ","")&amp;"grupo","")</f>
        <v/>
      </c>
      <c r="U24">
        <f>IF(AND(OR($A24="Verdadero o Falso Simple",$A24="Respuesta A/B/Ambas/Ninguna",$A24="Verdadero o Falso Complejas",$A24="Selección de la mejor respuesta",$A24="Subítem de caso o problema",$A24="Opción de Emparejamiento Ampliado"),TRIM($I24)=""),IF(COUNTIF($Q24:$T24,"?*")&gt;0,", ","")&amp;"respuesta_correcta","")</f>
        <v/>
      </c>
      <c r="V24">
        <f>IF(AND(OR($A24="Verdadero o Falso Simple",$A24="Respuesta A/B/Ambas/Ninguna",$A24="Verdadero o Falso Complejas",$A24="Selección de la mejor respuesta",$A24="Subítem de caso o problema",$A24="Opción de Emparejamiento Ampliado"),TRIM($J24)=""),IF(COUNTIF($Q24:$U24,"?*")&gt;0,", ","")&amp;"dificultad","")</f>
        <v/>
      </c>
      <c r="W24">
        <f>IF(AND(OR($A24="Ítems agrupados por caso clínico o problema",$A24="Emparejamiento Ampliado"),TRIM($I24)&lt;&gt;""),IF(COUNTIF($Q24:$V24,"?*")&gt;0,", ","")&amp;"respuesta debe ir vacia","")</f>
        <v/>
      </c>
      <c r="X24">
        <f>IF(AND(OR($A24="Ítems agrupados por caso clínico o problema",$A24="Emparejamiento Ampliado"),TRIM($J24)&lt;&gt;""),IF(COUNTIF($Q24:$W24,"?*")&gt;0,", ","")&amp;"dificultad debe ir vacia","")</f>
        <v/>
      </c>
      <c r="Y24">
        <f>IF(AND($A24="Verdadero o Falso Simple",OR(COUNTIF($D24:$E24,"?*")&lt;2,COUNTIF($F24:$H24,"?*")&gt;0)),IF(COUNTIF($Q24:$X24,"?*")&gt;0,", ","")&amp;"incisos A-B","")</f>
        <v/>
      </c>
      <c r="Z24">
        <f>IF(AND($A24="Verdadero o Falso Simple",TRIM($I24)&lt;&gt;"",NOT(OR(LEFT(TRIM($I24),1)="A",LEFT(TRIM($I24),1)="B"))),IF(COUNTIF($Q24:$Y24,"?*")&gt;0,", ","")&amp;"respuesta A-B","")</f>
        <v/>
      </c>
      <c r="AA24">
        <f>IF(AND($A24="Respuesta A/B/Ambas/Ninguna",COUNTIF($D24:$G24,"?*")&lt;4),IF(COUNTIF($Q24:$Z24,"?*")&gt;0,", ","")&amp;"opciones A-D","")</f>
        <v/>
      </c>
      <c r="AB24">
        <f>IF(AND($A24="Respuesta A/B/Ambas/Ninguna",COUNTIF($H24:$H24,"?*")&gt;0),IF(COUNTIF($Q24:$AA24,"?*")&gt;0,", ","")&amp;"opcion E deshabilitada","")</f>
        <v/>
      </c>
      <c r="AC24">
        <f>IF(AND($A24="Respuesta A/B/Ambas/Ninguna",TRIM($I24)&lt;&gt;"",NOT(OR(LEFT(TRIM($I24),1)="A",LEFT(TRIM($I24),1)="B",LEFT(TRIM($I24),1)="C",LEFT(TRIM($I24),1)="D"))),IF(COUNTIF($Q24:$AB24,"?*")&gt;0,", ","")&amp;"respuesta A-D","")</f>
        <v/>
      </c>
      <c r="AD24">
        <f>IF(AND($A24="Verdadero o Falso Complejas",OR(LEN(TRIM(SUBSTITUTE($D24,"1.","")))=0,LEN(TRIM(SUBSTITUTE($E24,"2.","")))=0,LEN(TRIM(SUBSTITUTE($F24,"3.","")))=0,LEN(TRIM(SUBSTITUTE($G24,"4.","")))=0)),IF(COUNTIF($Q24:$AC24,"?*")&gt;0,", ","")&amp;"incisos 1-4","")</f>
        <v/>
      </c>
      <c r="AE24">
        <f>IF(AND($A24="Verdadero o Falso Complejas",COUNTIF($H24:$H24,"?*")&gt;0),IF(COUNTIF($Q24:$AD24,"?*")&gt;0,", ","")&amp;"opcion E deshabilitada","")</f>
        <v/>
      </c>
      <c r="AF24">
        <f>IF(AND($A24="Verdadero o Falso Complejas",TRIM($I24)&lt;&gt;"",NOT(OR(LEFT(TRIM($I24),1)="A",LEFT(TRIM($I24),1)="B",LEFT(TRIM($I24),1)="C",LEFT(TRIM($I24),1)="D",LEFT(TRIM($I24),1)="E"))),IF(COUNTIF($Q24:$AE24,"?*")&gt;0,", ","")&amp;"respuesta A-E","")</f>
        <v/>
      </c>
      <c r="AG24">
        <f>IF(AND(OR($A24="Selección de la mejor respuesta",$A24="Subítem de caso o problema"),COUNTA($D24:$H24)&lt;5),IF(COUNTIF($Q24:$AF24,"?*")&gt;0,", ","")&amp;"incisos A-E","")</f>
        <v/>
      </c>
      <c r="AH24">
        <f>IF(AND(OR($A24="Selección de la mejor respuesta",$A24="Subítem de caso o problema"),TRIM($I24)&lt;&gt;"",NOT(OR(LEFT(TRIM($I24),1)="A",LEFT(TRIM($I24),1)="B",LEFT(TRIM($I24),1)="C",LEFT(TRIM($I24),1)="D",LEFT(TRIM($I24),1)="E"))),IF(COUNTIF($Q24:$AG24,"?*")&gt;0,", ","")&amp;"respuesta A-E","")</f>
        <v/>
      </c>
      <c r="AI24">
        <f>IF(AND(OR($A24="Ítems agrupados por caso clínico o problema",$A24="Opción de Emparejamiento Ampliado"),COUNTIF($D24:$H24,"?*")&gt;0),IF(COUNTIF($Q24:$AH24,"?*")&gt;0,", ","")&amp;"sin incisos","")</f>
        <v/>
      </c>
      <c r="AJ24">
        <f>IF(AND($A24="Emparejamiento Ampliado",COUNTIF($D24:$H24,"?*")&lt;2),IF(COUNTIF($Q24:$AI24,"?*")&gt;0,", ","")&amp;"minimo 2 claves","")</f>
        <v/>
      </c>
      <c r="AK24">
        <f>IF(AND($A24="Opción de Emparejamiento Ampliado",NOT(OR(LEFT(TRIM($I24),1)="A",LEFT(TRIM($I24),1)="B",LEFT(TRIM($I24),1)="C",LEFT(TRIM($I24),1)="D",LEFT(TRIM($I24),1)="E"))),IF(COUNTIF($Q24:$AJ24,"?*")&gt;0,", ","")&amp;"respuesta A-E","")</f>
        <v/>
      </c>
      <c r="AL24">
        <f>IF(TRIM($K24)="",IF(COUNTIF($M24:$M24,"?*")&gt;0,", ","")&amp;"parcial","")</f>
        <v/>
      </c>
      <c r="AM24">
        <f>IF(AND(TRIM($K24)&lt;&gt;"",TRIM($K24)&lt;&gt;VALIDACIONES!$G$1),IF(COUNTIF($M24:$N24,"?*")&gt;0,", ","")&amp;"parcial distinto a "&amp;VALIDACIONES!$G$1,"")</f>
        <v/>
      </c>
      <c r="AN24">
        <f>IF(AND(OR($A24="Ítems agrupados por caso clínico o problema",$A24="Subítem de caso o problema",$A24="Emparejamiento Ampliado",$A24="Opción de Emparejamiento Ampliado"),TRIM($B24)=""),IF(COUNTIF($M24:$O24,"?*")&gt;0,", ","")&amp;"grupo","")</f>
        <v/>
      </c>
    </row>
    <row r="25" ht="24" customHeight="1">
      <c r="A25" s="344" t="n"/>
      <c r="B25" s="344" t="n"/>
      <c r="C25" s="344" t="n"/>
      <c r="D25" s="344">
        <f>IF($A25="Verdadero o Falso Simple","Verdadero",IF($A25="Respuesta A/B/Ambas/Ninguna","A. Si la primera es verdadera",IF($A25="Verdadero o Falso Complejas","1. ","")))</f>
        <v/>
      </c>
      <c r="E25" s="344">
        <f>IF($A25="Verdadero o Falso Simple","Falso",IF($A25="Respuesta A/B/Ambas/Ninguna","B. Si la segunda es verdadera",IF($A25="Verdadero o Falso Complejas","2. ","")))</f>
        <v/>
      </c>
      <c r="F25" s="344">
        <f>IF($A25="Respuesta A/B/Ambas/Ninguna","C. Si ambas son verdaderas",IF($A25="Verdadero o Falso Complejas","3. ",""))</f>
        <v/>
      </c>
      <c r="G25" s="344">
        <f>IF($A25="Respuesta A/B/Ambas/Ninguna","D. Si ninguna es verdadera",IF($A25="Verdadero o Falso Complejas","4. ",""))</f>
        <v/>
      </c>
      <c r="H25" s="344">
        <f>IF($A25="Verdadero o Falso Simple","",IF($A25="Respuesta A/B/Ambas/Ninguna","",IF($A25="Verdadero o Falso Complejas","","")))</f>
        <v/>
      </c>
      <c r="I25" s="344" t="n"/>
      <c r="J25" s="344" t="n">
        <v>2</v>
      </c>
      <c r="K25" s="344" t="inlineStr">
        <is>
          <t>2P</t>
        </is>
      </c>
      <c r="L25" s="345">
        <f>IF(TRIM($A25)="","",IF(OR($A25="Selección de la mejor respuesta",$A25="SELECCION_MEJOR_RESPUESTA",$A25="Subítem de caso o problema",$A25="SUBITEM_CASO"),IF(TRIM($C25)="","Completar enunciado",IF(SUMPRODUCT(--(LEN(TRIM($D25:$H25&amp;""))&gt;0))&lt;5,"Completar opciones A-E",IF(AND(TRIM($I25)&lt;&gt;"",OR(LEFT(TRIM($I25),1)="A",LEFT(TRIM($I25),1)="B",LEFT(TRIM($I25),1)="C",LEFT(TRIM($I25),1)="D",LEFT(TRIM($I25),1)="E")),"OK","Completar respuesta correcta A-E"))),IF(TRIM($A25)="","",IF(COUNTIF($Q25:$AJ25,"?*")=0,"OK","Falta revisar: "&amp;$Q25&amp;$R25&amp;$S25&amp;$T25&amp;$U25&amp;$V25&amp;$W25&amp;$X25&amp;$Y25&amp;$Z25&amp;$AA25&amp;$AB25&amp;$AC25&amp;$AD25&amp;$AE25&amp;$AF25&amp;$AG25&amp;$AH25&amp;$AI25&amp;$AJ25))))</f>
        <v/>
      </c>
      <c r="M25" s="341" t="n"/>
      <c r="Q25">
        <f>IF(TRIM($C25)="","enunciado","")</f>
        <v/>
      </c>
      <c r="R25">
        <f>IF(TRIM($K25)="",IF(COUNTIF($Q25:$Q25,"?*")&gt;0,", ","")&amp;"parcial","")</f>
        <v/>
      </c>
      <c r="S25">
        <f>IF(AND(TRIM($K25)&lt;&gt;"",TRIM($K25)&lt;&gt;VALIDACIONES!$G$1),IF(COUNTIF($Q25:$R25,"?*")&gt;0,", ","")&amp;"parcial distinto a "&amp;VALIDACIONES!$G$1,"")</f>
        <v/>
      </c>
      <c r="T25">
        <f>IF(AND(OR($A25="Ítems agrupados por caso clínico o problema",$A25="Subítem de caso o problema",$A25="Emparejamiento Ampliado",$A25="Opción de Emparejamiento Ampliado"),TRIM($B25)=""),IF(COUNTIF($Q25:$S25,"?*")&gt;0,", ","")&amp;"grupo","")</f>
        <v/>
      </c>
      <c r="U25">
        <f>IF(AND(OR($A25="Verdadero o Falso Simple",$A25="Respuesta A/B/Ambas/Ninguna",$A25="Verdadero o Falso Complejas",$A25="Selección de la mejor respuesta",$A25="Subítem de caso o problema",$A25="Opción de Emparejamiento Ampliado"),TRIM($I25)=""),IF(COUNTIF($Q25:$T25,"?*")&gt;0,", ","")&amp;"respuesta_correcta","")</f>
        <v/>
      </c>
      <c r="V25">
        <f>IF(AND(OR($A25="Verdadero o Falso Simple",$A25="Respuesta A/B/Ambas/Ninguna",$A25="Verdadero o Falso Complejas",$A25="Selección de la mejor respuesta",$A25="Subítem de caso o problema",$A25="Opción de Emparejamiento Ampliado"),TRIM($J25)=""),IF(COUNTIF($Q25:$U25,"?*")&gt;0,", ","")&amp;"dificultad","")</f>
        <v/>
      </c>
      <c r="W25">
        <f>IF(AND(OR($A25="Ítems agrupados por caso clínico o problema",$A25="Emparejamiento Ampliado"),TRIM($I25)&lt;&gt;""),IF(COUNTIF($Q25:$V25,"?*")&gt;0,", ","")&amp;"respuesta debe ir vacia","")</f>
        <v/>
      </c>
      <c r="X25">
        <f>IF(AND(OR($A25="Ítems agrupados por caso clínico o problema",$A25="Emparejamiento Ampliado"),TRIM($J25)&lt;&gt;""),IF(COUNTIF($Q25:$W25,"?*")&gt;0,", ","")&amp;"dificultad debe ir vacia","")</f>
        <v/>
      </c>
      <c r="Y25">
        <f>IF(AND($A25="Verdadero o Falso Simple",OR(COUNTIF($D25:$E25,"?*")&lt;2,COUNTIF($F25:$H25,"?*")&gt;0)),IF(COUNTIF($Q25:$X25,"?*")&gt;0,", ","")&amp;"incisos A-B","")</f>
        <v/>
      </c>
      <c r="Z25">
        <f>IF(AND($A25="Verdadero o Falso Simple",TRIM($I25)&lt;&gt;"",NOT(OR(LEFT(TRIM($I25),1)="A",LEFT(TRIM($I25),1)="B"))),IF(COUNTIF($Q25:$Y25,"?*")&gt;0,", ","")&amp;"respuesta A-B","")</f>
        <v/>
      </c>
      <c r="AA25">
        <f>IF(AND($A25="Respuesta A/B/Ambas/Ninguna",COUNTIF($D25:$G25,"?*")&lt;4),IF(COUNTIF($Q25:$Z25,"?*")&gt;0,", ","")&amp;"opciones A-D","")</f>
        <v/>
      </c>
      <c r="AB25">
        <f>IF(AND($A25="Respuesta A/B/Ambas/Ninguna",COUNTIF($H25:$H25,"?*")&gt;0),IF(COUNTIF($Q25:$AA25,"?*")&gt;0,", ","")&amp;"opcion E deshabilitada","")</f>
        <v/>
      </c>
      <c r="AC25">
        <f>IF(AND($A25="Respuesta A/B/Ambas/Ninguna",TRIM($I25)&lt;&gt;"",NOT(OR(LEFT(TRIM($I25),1)="A",LEFT(TRIM($I25),1)="B",LEFT(TRIM($I25),1)="C",LEFT(TRIM($I25),1)="D"))),IF(COUNTIF($Q25:$AB25,"?*")&gt;0,", ","")&amp;"respuesta A-D","")</f>
        <v/>
      </c>
      <c r="AD25">
        <f>IF(AND($A25="Verdadero o Falso Complejas",OR(LEN(TRIM(SUBSTITUTE($D25,"1.","")))=0,LEN(TRIM(SUBSTITUTE($E25,"2.","")))=0,LEN(TRIM(SUBSTITUTE($F25,"3.","")))=0,LEN(TRIM(SUBSTITUTE($G25,"4.","")))=0)),IF(COUNTIF($Q25:$AC25,"?*")&gt;0,", ","")&amp;"incisos 1-4","")</f>
        <v/>
      </c>
      <c r="AE25">
        <f>IF(AND($A25="Verdadero o Falso Complejas",COUNTIF($H25:$H25,"?*")&gt;0),IF(COUNTIF($Q25:$AD25,"?*")&gt;0,", ","")&amp;"opcion E deshabilitada","")</f>
        <v/>
      </c>
      <c r="AF25">
        <f>IF(AND($A25="Verdadero o Falso Complejas",TRIM($I25)&lt;&gt;"",NOT(OR(LEFT(TRIM($I25),1)="A",LEFT(TRIM($I25),1)="B",LEFT(TRIM($I25),1)="C",LEFT(TRIM($I25),1)="D",LEFT(TRIM($I25),1)="E"))),IF(COUNTIF($Q25:$AE25,"?*")&gt;0,", ","")&amp;"respuesta A-E","")</f>
        <v/>
      </c>
      <c r="AG25">
        <f>IF(AND(OR($A25="Selección de la mejor respuesta",$A25="Subítem de caso o problema"),COUNTA($D25:$H25)&lt;5),IF(COUNTIF($Q25:$AF25,"?*")&gt;0,", ","")&amp;"incisos A-E","")</f>
        <v/>
      </c>
      <c r="AH25">
        <f>IF(AND(OR($A25="Selección de la mejor respuesta",$A25="Subítem de caso o problema"),TRIM($I25)&lt;&gt;"",NOT(OR(LEFT(TRIM($I25),1)="A",LEFT(TRIM($I25),1)="B",LEFT(TRIM($I25),1)="C",LEFT(TRIM($I25),1)="D",LEFT(TRIM($I25),1)="E"))),IF(COUNTIF($Q25:$AG25,"?*")&gt;0,", ","")&amp;"respuesta A-E","")</f>
        <v/>
      </c>
      <c r="AI25">
        <f>IF(AND(OR($A25="Ítems agrupados por caso clínico o problema",$A25="Opción de Emparejamiento Ampliado"),COUNTIF($D25:$H25,"?*")&gt;0),IF(COUNTIF($Q25:$AH25,"?*")&gt;0,", ","")&amp;"sin incisos","")</f>
        <v/>
      </c>
      <c r="AJ25">
        <f>IF(AND($A25="Emparejamiento Ampliado",COUNTIF($D25:$H25,"?*")&lt;2),IF(COUNTIF($Q25:$AI25,"?*")&gt;0,", ","")&amp;"minimo 2 claves","")</f>
        <v/>
      </c>
      <c r="AK25">
        <f>IF(AND($A25="Opción de Emparejamiento Ampliado",NOT(OR(LEFT(TRIM($I25),1)="A",LEFT(TRIM($I25),1)="B",LEFT(TRIM($I25),1)="C",LEFT(TRIM($I25),1)="D",LEFT(TRIM($I25),1)="E"))),IF(COUNTIF($Q25:$AJ25,"?*")&gt;0,", ","")&amp;"respuesta A-E","")</f>
        <v/>
      </c>
      <c r="AL25">
        <f>IF(TRIM($K25)="",IF(COUNTIF($M25:$M25,"?*")&gt;0,", ","")&amp;"parcial","")</f>
        <v/>
      </c>
      <c r="AM25">
        <f>IF(AND(TRIM($K25)&lt;&gt;"",TRIM($K25)&lt;&gt;VALIDACIONES!$G$1),IF(COUNTIF($M25:$N25,"?*")&gt;0,", ","")&amp;"parcial distinto a "&amp;VALIDACIONES!$G$1,"")</f>
        <v/>
      </c>
      <c r="AN25">
        <f>IF(AND(OR($A25="Ítems agrupados por caso clínico o problema",$A25="Subítem de caso o problema",$A25="Emparejamiento Ampliado",$A25="Opción de Emparejamiento Ampliado"),TRIM($B25)=""),IF(COUNTIF($M25:$O25,"?*")&gt;0,", ","")&amp;"grupo","")</f>
        <v/>
      </c>
    </row>
    <row r="26" ht="24" customHeight="1">
      <c r="A26" s="344" t="n"/>
      <c r="B26" s="344" t="n"/>
      <c r="C26" s="344" t="n"/>
      <c r="D26" s="344">
        <f>IF($A26="Verdadero o Falso Simple","Verdadero",IF($A26="Respuesta A/B/Ambas/Ninguna","A. Si la primera es verdadera",IF($A26="Verdadero o Falso Complejas","1. ","")))</f>
        <v/>
      </c>
      <c r="E26" s="344">
        <f>IF($A26="Verdadero o Falso Simple","Falso",IF($A26="Respuesta A/B/Ambas/Ninguna","B. Si la segunda es verdadera",IF($A26="Verdadero o Falso Complejas","2. ","")))</f>
        <v/>
      </c>
      <c r="F26" s="344">
        <f>IF($A26="Respuesta A/B/Ambas/Ninguna","C. Si ambas son verdaderas",IF($A26="Verdadero o Falso Complejas","3. ",""))</f>
        <v/>
      </c>
      <c r="G26" s="344">
        <f>IF($A26="Respuesta A/B/Ambas/Ninguna","D. Si ninguna es verdadera",IF($A26="Verdadero o Falso Complejas","4. ",""))</f>
        <v/>
      </c>
      <c r="H26" s="344">
        <f>IF($A26="Verdadero o Falso Simple","",IF($A26="Respuesta A/B/Ambas/Ninguna","",IF($A26="Verdadero o Falso Complejas","","")))</f>
        <v/>
      </c>
      <c r="I26" s="344" t="n"/>
      <c r="J26" s="344" t="n">
        <v>2</v>
      </c>
      <c r="K26" s="344" t="inlineStr">
        <is>
          <t>2P</t>
        </is>
      </c>
      <c r="L26" s="345">
        <f>IF(TRIM($A26)="","",IF(OR($A26="Selección de la mejor respuesta",$A26="SELECCION_MEJOR_RESPUESTA",$A26="Subítem de caso o problema",$A26="SUBITEM_CASO"),IF(TRIM($C26)="","Completar enunciado",IF(SUMPRODUCT(--(LEN(TRIM($D26:$H26&amp;""))&gt;0))&lt;5,"Completar opciones A-E",IF(AND(TRIM($I26)&lt;&gt;"",OR(LEFT(TRIM($I26),1)="A",LEFT(TRIM($I26),1)="B",LEFT(TRIM($I26),1)="C",LEFT(TRIM($I26),1)="D",LEFT(TRIM($I26),1)="E")),"OK","Completar respuesta correcta A-E"))),IF(TRIM($A26)="","",IF(COUNTIF($Q26:$AJ26,"?*")=0,"OK","Falta revisar: "&amp;$Q26&amp;$R26&amp;$S26&amp;$T26&amp;$U26&amp;$V26&amp;$W26&amp;$X26&amp;$Y26&amp;$Z26&amp;$AA26&amp;$AB26&amp;$AC26&amp;$AD26&amp;$AE26&amp;$AF26&amp;$AG26&amp;$AH26&amp;$AI26&amp;$AJ26))))</f>
        <v/>
      </c>
      <c r="M26" s="341" t="n"/>
      <c r="Q26">
        <f>IF(TRIM($C26)="","enunciado","")</f>
        <v/>
      </c>
      <c r="R26">
        <f>IF(TRIM($K26)="",IF(COUNTIF($Q26:$Q26,"?*")&gt;0,", ","")&amp;"parcial","")</f>
        <v/>
      </c>
      <c r="S26">
        <f>IF(AND(TRIM($K26)&lt;&gt;"",TRIM($K26)&lt;&gt;VALIDACIONES!$G$1),IF(COUNTIF($Q26:$R26,"?*")&gt;0,", ","")&amp;"parcial distinto a "&amp;VALIDACIONES!$G$1,"")</f>
        <v/>
      </c>
      <c r="T26">
        <f>IF(AND(OR($A26="Ítems agrupados por caso clínico o problema",$A26="Subítem de caso o problema",$A26="Emparejamiento Ampliado",$A26="Opción de Emparejamiento Ampliado"),TRIM($B26)=""),IF(COUNTIF($Q26:$S26,"?*")&gt;0,", ","")&amp;"grupo","")</f>
        <v/>
      </c>
      <c r="U26">
        <f>IF(AND(OR($A26="Verdadero o Falso Simple",$A26="Respuesta A/B/Ambas/Ninguna",$A26="Verdadero o Falso Complejas",$A26="Selección de la mejor respuesta",$A26="Subítem de caso o problema",$A26="Opción de Emparejamiento Ampliado"),TRIM($I26)=""),IF(COUNTIF($Q26:$T26,"?*")&gt;0,", ","")&amp;"respuesta_correcta","")</f>
        <v/>
      </c>
      <c r="V26">
        <f>IF(AND(OR($A26="Verdadero o Falso Simple",$A26="Respuesta A/B/Ambas/Ninguna",$A26="Verdadero o Falso Complejas",$A26="Selección de la mejor respuesta",$A26="Subítem de caso o problema",$A26="Opción de Emparejamiento Ampliado"),TRIM($J26)=""),IF(COUNTIF($Q26:$U26,"?*")&gt;0,", ","")&amp;"dificultad","")</f>
        <v/>
      </c>
      <c r="W26">
        <f>IF(AND(OR($A26="Ítems agrupados por caso clínico o problema",$A26="Emparejamiento Ampliado"),TRIM($I26)&lt;&gt;""),IF(COUNTIF($Q26:$V26,"?*")&gt;0,", ","")&amp;"respuesta debe ir vacia","")</f>
        <v/>
      </c>
      <c r="X26">
        <f>IF(AND(OR($A26="Ítems agrupados por caso clínico o problema",$A26="Emparejamiento Ampliado"),TRIM($J26)&lt;&gt;""),IF(COUNTIF($Q26:$W26,"?*")&gt;0,", ","")&amp;"dificultad debe ir vacia","")</f>
        <v/>
      </c>
      <c r="Y26">
        <f>IF(AND($A26="Verdadero o Falso Simple",OR(COUNTIF($D26:$E26,"?*")&lt;2,COUNTIF($F26:$H26,"?*")&gt;0)),IF(COUNTIF($Q26:$X26,"?*")&gt;0,", ","")&amp;"incisos A-B","")</f>
        <v/>
      </c>
      <c r="Z26">
        <f>IF(AND($A26="Verdadero o Falso Simple",TRIM($I26)&lt;&gt;"",NOT(OR(LEFT(TRIM($I26),1)="A",LEFT(TRIM($I26),1)="B"))),IF(COUNTIF($Q26:$Y26,"?*")&gt;0,", ","")&amp;"respuesta A-B","")</f>
        <v/>
      </c>
      <c r="AA26">
        <f>IF(AND($A26="Respuesta A/B/Ambas/Ninguna",COUNTIF($D26:$G26,"?*")&lt;4),IF(COUNTIF($Q26:$Z26,"?*")&gt;0,", ","")&amp;"opciones A-D","")</f>
        <v/>
      </c>
      <c r="AB26">
        <f>IF(AND($A26="Respuesta A/B/Ambas/Ninguna",COUNTIF($H26:$H26,"?*")&gt;0),IF(COUNTIF($Q26:$AA26,"?*")&gt;0,", ","")&amp;"opcion E deshabilitada","")</f>
        <v/>
      </c>
      <c r="AC26">
        <f>IF(AND($A26="Respuesta A/B/Ambas/Ninguna",TRIM($I26)&lt;&gt;"",NOT(OR(LEFT(TRIM($I26),1)="A",LEFT(TRIM($I26),1)="B",LEFT(TRIM($I26),1)="C",LEFT(TRIM($I26),1)="D"))),IF(COUNTIF($Q26:$AB26,"?*")&gt;0,", ","")&amp;"respuesta A-D","")</f>
        <v/>
      </c>
      <c r="AD26">
        <f>IF(AND($A26="Verdadero o Falso Complejas",OR(LEN(TRIM(SUBSTITUTE($D26,"1.","")))=0,LEN(TRIM(SUBSTITUTE($E26,"2.","")))=0,LEN(TRIM(SUBSTITUTE($F26,"3.","")))=0,LEN(TRIM(SUBSTITUTE($G26,"4.","")))=0)),IF(COUNTIF($Q26:$AC26,"?*")&gt;0,", ","")&amp;"incisos 1-4","")</f>
        <v/>
      </c>
      <c r="AE26">
        <f>IF(AND($A26="Verdadero o Falso Complejas",COUNTIF($H26:$H26,"?*")&gt;0),IF(COUNTIF($Q26:$AD26,"?*")&gt;0,", ","")&amp;"opcion E deshabilitada","")</f>
        <v/>
      </c>
      <c r="AF26">
        <f>IF(AND($A26="Verdadero o Falso Complejas",TRIM($I26)&lt;&gt;"",NOT(OR(LEFT(TRIM($I26),1)="A",LEFT(TRIM($I26),1)="B",LEFT(TRIM($I26),1)="C",LEFT(TRIM($I26),1)="D",LEFT(TRIM($I26),1)="E"))),IF(COUNTIF($Q26:$AE26,"?*")&gt;0,", ","")&amp;"respuesta A-E","")</f>
        <v/>
      </c>
      <c r="AG26">
        <f>IF(AND(OR($A26="Selección de la mejor respuesta",$A26="Subítem de caso o problema"),COUNTA($D26:$H26)&lt;5),IF(COUNTIF($Q26:$AF26,"?*")&gt;0,", ","")&amp;"incisos A-E","")</f>
        <v/>
      </c>
      <c r="AH26">
        <f>IF(AND(OR($A26="Selección de la mejor respuesta",$A26="Subítem de caso o problema"),TRIM($I26)&lt;&gt;"",NOT(OR(LEFT(TRIM($I26),1)="A",LEFT(TRIM($I26),1)="B",LEFT(TRIM($I26),1)="C",LEFT(TRIM($I26),1)="D",LEFT(TRIM($I26),1)="E"))),IF(COUNTIF($Q26:$AG26,"?*")&gt;0,", ","")&amp;"respuesta A-E","")</f>
        <v/>
      </c>
      <c r="AI26">
        <f>IF(AND(OR($A26="Ítems agrupados por caso clínico o problema",$A26="Opción de Emparejamiento Ampliado"),COUNTIF($D26:$H26,"?*")&gt;0),IF(COUNTIF($Q26:$AH26,"?*")&gt;0,", ","")&amp;"sin incisos","")</f>
        <v/>
      </c>
      <c r="AJ26">
        <f>IF(AND($A26="Emparejamiento Ampliado",COUNTIF($D26:$H26,"?*")&lt;2),IF(COUNTIF($Q26:$AI26,"?*")&gt;0,", ","")&amp;"minimo 2 claves","")</f>
        <v/>
      </c>
      <c r="AK26">
        <f>IF(AND($A26="Opción de Emparejamiento Ampliado",NOT(OR(LEFT(TRIM($I26),1)="A",LEFT(TRIM($I26),1)="B",LEFT(TRIM($I26),1)="C",LEFT(TRIM($I26),1)="D",LEFT(TRIM($I26),1)="E"))),IF(COUNTIF($Q26:$AJ26,"?*")&gt;0,", ","")&amp;"respuesta A-E","")</f>
        <v/>
      </c>
      <c r="AL26">
        <f>IF(TRIM($K26)="",IF(COUNTIF($M26:$M26,"?*")&gt;0,", ","")&amp;"parcial","")</f>
        <v/>
      </c>
      <c r="AM26">
        <f>IF(AND(TRIM($K26)&lt;&gt;"",TRIM($K26)&lt;&gt;VALIDACIONES!$G$1),IF(COUNTIF($M26:$N26,"?*")&gt;0,", ","")&amp;"parcial distinto a "&amp;VALIDACIONES!$G$1,"")</f>
        <v/>
      </c>
      <c r="AN26">
        <f>IF(AND(OR($A26="Ítems agrupados por caso clínico o problema",$A26="Subítem de caso o problema",$A26="Emparejamiento Ampliado",$A26="Opción de Emparejamiento Ampliado"),TRIM($B26)=""),IF(COUNTIF($M26:$O26,"?*")&gt;0,", ","")&amp;"grupo","")</f>
        <v/>
      </c>
    </row>
    <row r="27" ht="24" customHeight="1">
      <c r="A27" s="344" t="n"/>
      <c r="B27" s="344" t="n"/>
      <c r="C27" s="344" t="n"/>
      <c r="D27" s="344">
        <f>IF($A27="Verdadero o Falso Simple","Verdadero",IF($A27="Respuesta A/B/Ambas/Ninguna","A. Si la primera es verdadera",IF($A27="Verdadero o Falso Complejas","1. ","")))</f>
        <v/>
      </c>
      <c r="E27" s="344">
        <f>IF($A27="Verdadero o Falso Simple","Falso",IF($A27="Respuesta A/B/Ambas/Ninguna","B. Si la segunda es verdadera",IF($A27="Verdadero o Falso Complejas","2. ","")))</f>
        <v/>
      </c>
      <c r="F27" s="344">
        <f>IF($A27="Respuesta A/B/Ambas/Ninguna","C. Si ambas son verdaderas",IF($A27="Verdadero o Falso Complejas","3. ",""))</f>
        <v/>
      </c>
      <c r="G27" s="344">
        <f>IF($A27="Respuesta A/B/Ambas/Ninguna","D. Si ninguna es verdadera",IF($A27="Verdadero o Falso Complejas","4. ",""))</f>
        <v/>
      </c>
      <c r="H27" s="344">
        <f>IF($A27="Verdadero o Falso Simple","",IF($A27="Respuesta A/B/Ambas/Ninguna","",IF($A27="Verdadero o Falso Complejas","","")))</f>
        <v/>
      </c>
      <c r="I27" s="344" t="n"/>
      <c r="J27" s="344" t="n">
        <v>2</v>
      </c>
      <c r="K27" s="344" t="inlineStr">
        <is>
          <t>2P</t>
        </is>
      </c>
      <c r="L27" s="345">
        <f>IF(TRIM($A27)="","",IF(OR($A27="Selección de la mejor respuesta",$A27="SELECCION_MEJOR_RESPUESTA",$A27="Subítem de caso o problema",$A27="SUBITEM_CASO"),IF(TRIM($C27)="","Completar enunciado",IF(SUMPRODUCT(--(LEN(TRIM($D27:$H27&amp;""))&gt;0))&lt;5,"Completar opciones A-E",IF(AND(TRIM($I27)&lt;&gt;"",OR(LEFT(TRIM($I27),1)="A",LEFT(TRIM($I27),1)="B",LEFT(TRIM($I27),1)="C",LEFT(TRIM($I27),1)="D",LEFT(TRIM($I27),1)="E")),"OK","Completar respuesta correcta A-E"))),IF(TRIM($A27)="","",IF(COUNTIF($Q27:$AJ27,"?*")=0,"OK","Falta revisar: "&amp;$Q27&amp;$R27&amp;$S27&amp;$T27&amp;$U27&amp;$V27&amp;$W27&amp;$X27&amp;$Y27&amp;$Z27&amp;$AA27&amp;$AB27&amp;$AC27&amp;$AD27&amp;$AE27&amp;$AF27&amp;$AG27&amp;$AH27&amp;$AI27&amp;$AJ27))))</f>
        <v/>
      </c>
      <c r="M27" s="341" t="n"/>
      <c r="Q27">
        <f>IF(TRIM($C27)="","enunciado","")</f>
        <v/>
      </c>
      <c r="R27">
        <f>IF(TRIM($K27)="",IF(COUNTIF($Q27:$Q27,"?*")&gt;0,", ","")&amp;"parcial","")</f>
        <v/>
      </c>
      <c r="S27">
        <f>IF(AND(TRIM($K27)&lt;&gt;"",TRIM($K27)&lt;&gt;VALIDACIONES!$G$1),IF(COUNTIF($Q27:$R27,"?*")&gt;0,", ","")&amp;"parcial distinto a "&amp;VALIDACIONES!$G$1,"")</f>
        <v/>
      </c>
      <c r="T27">
        <f>IF(AND(OR($A27="Ítems agrupados por caso clínico o problema",$A27="Subítem de caso o problema",$A27="Emparejamiento Ampliado",$A27="Opción de Emparejamiento Ampliado"),TRIM($B27)=""),IF(COUNTIF($Q27:$S27,"?*")&gt;0,", ","")&amp;"grupo","")</f>
        <v/>
      </c>
      <c r="U27">
        <f>IF(AND(OR($A27="Verdadero o Falso Simple",$A27="Respuesta A/B/Ambas/Ninguna",$A27="Verdadero o Falso Complejas",$A27="Selección de la mejor respuesta",$A27="Subítem de caso o problema",$A27="Opción de Emparejamiento Ampliado"),TRIM($I27)=""),IF(COUNTIF($Q27:$T27,"?*")&gt;0,", ","")&amp;"respuesta_correcta","")</f>
        <v/>
      </c>
      <c r="V27">
        <f>IF(AND(OR($A27="Verdadero o Falso Simple",$A27="Respuesta A/B/Ambas/Ninguna",$A27="Verdadero o Falso Complejas",$A27="Selección de la mejor respuesta",$A27="Subítem de caso o problema",$A27="Opción de Emparejamiento Ampliado"),TRIM($J27)=""),IF(COUNTIF($Q27:$U27,"?*")&gt;0,", ","")&amp;"dificultad","")</f>
        <v/>
      </c>
      <c r="W27">
        <f>IF(AND(OR($A27="Ítems agrupados por caso clínico o problema",$A27="Emparejamiento Ampliado"),TRIM($I27)&lt;&gt;""),IF(COUNTIF($Q27:$V27,"?*")&gt;0,", ","")&amp;"respuesta debe ir vacia","")</f>
        <v/>
      </c>
      <c r="X27">
        <f>IF(AND(OR($A27="Ítems agrupados por caso clínico o problema",$A27="Emparejamiento Ampliado"),TRIM($J27)&lt;&gt;""),IF(COUNTIF($Q27:$W27,"?*")&gt;0,", ","")&amp;"dificultad debe ir vacia","")</f>
        <v/>
      </c>
      <c r="Y27">
        <f>IF(AND($A27="Verdadero o Falso Simple",OR(COUNTIF($D27:$E27,"?*")&lt;2,COUNTIF($F27:$H27,"?*")&gt;0)),IF(COUNTIF($Q27:$X27,"?*")&gt;0,", ","")&amp;"incisos A-B","")</f>
        <v/>
      </c>
      <c r="Z27">
        <f>IF(AND($A27="Verdadero o Falso Simple",TRIM($I27)&lt;&gt;"",NOT(OR(LEFT(TRIM($I27),1)="A",LEFT(TRIM($I27),1)="B"))),IF(COUNTIF($Q27:$Y27,"?*")&gt;0,", ","")&amp;"respuesta A-B","")</f>
        <v/>
      </c>
      <c r="AA27">
        <f>IF(AND($A27="Respuesta A/B/Ambas/Ninguna",COUNTIF($D27:$G27,"?*")&lt;4),IF(COUNTIF($Q27:$Z27,"?*")&gt;0,", ","")&amp;"opciones A-D","")</f>
        <v/>
      </c>
      <c r="AB27">
        <f>IF(AND($A27="Respuesta A/B/Ambas/Ninguna",COUNTIF($H27:$H27,"?*")&gt;0),IF(COUNTIF($Q27:$AA27,"?*")&gt;0,", ","")&amp;"opcion E deshabilitada","")</f>
        <v/>
      </c>
      <c r="AC27">
        <f>IF(AND($A27="Respuesta A/B/Ambas/Ninguna",TRIM($I27)&lt;&gt;"",NOT(OR(LEFT(TRIM($I27),1)="A",LEFT(TRIM($I27),1)="B",LEFT(TRIM($I27),1)="C",LEFT(TRIM($I27),1)="D"))),IF(COUNTIF($Q27:$AB27,"?*")&gt;0,", ","")&amp;"respuesta A-D","")</f>
        <v/>
      </c>
      <c r="AD27">
        <f>IF(AND($A27="Verdadero o Falso Complejas",OR(LEN(TRIM(SUBSTITUTE($D27,"1.","")))=0,LEN(TRIM(SUBSTITUTE($E27,"2.","")))=0,LEN(TRIM(SUBSTITUTE($F27,"3.","")))=0,LEN(TRIM(SUBSTITUTE($G27,"4.","")))=0)),IF(COUNTIF($Q27:$AC27,"?*")&gt;0,", ","")&amp;"incisos 1-4","")</f>
        <v/>
      </c>
      <c r="AE27">
        <f>IF(AND($A27="Verdadero o Falso Complejas",COUNTIF($H27:$H27,"?*")&gt;0),IF(COUNTIF($Q27:$AD27,"?*")&gt;0,", ","")&amp;"opcion E deshabilitada","")</f>
        <v/>
      </c>
      <c r="AF27">
        <f>IF(AND($A27="Verdadero o Falso Complejas",TRIM($I27)&lt;&gt;"",NOT(OR(LEFT(TRIM($I27),1)="A",LEFT(TRIM($I27),1)="B",LEFT(TRIM($I27),1)="C",LEFT(TRIM($I27),1)="D",LEFT(TRIM($I27),1)="E"))),IF(COUNTIF($Q27:$AE27,"?*")&gt;0,", ","")&amp;"respuesta A-E","")</f>
        <v/>
      </c>
      <c r="AG27">
        <f>IF(AND(OR($A27="Selección de la mejor respuesta",$A27="Subítem de caso o problema"),COUNTA($D27:$H27)&lt;5),IF(COUNTIF($Q27:$AF27,"?*")&gt;0,", ","")&amp;"incisos A-E","")</f>
        <v/>
      </c>
      <c r="AH27">
        <f>IF(AND(OR($A27="Selección de la mejor respuesta",$A27="Subítem de caso o problema"),TRIM($I27)&lt;&gt;"",NOT(OR(LEFT(TRIM($I27),1)="A",LEFT(TRIM($I27),1)="B",LEFT(TRIM($I27),1)="C",LEFT(TRIM($I27),1)="D",LEFT(TRIM($I27),1)="E"))),IF(COUNTIF($Q27:$AG27,"?*")&gt;0,", ","")&amp;"respuesta A-E","")</f>
        <v/>
      </c>
      <c r="AI27">
        <f>IF(AND(OR($A27="Ítems agrupados por caso clínico o problema",$A27="Opción de Emparejamiento Ampliado"),COUNTIF($D27:$H27,"?*")&gt;0),IF(COUNTIF($Q27:$AH27,"?*")&gt;0,", ","")&amp;"sin incisos","")</f>
        <v/>
      </c>
      <c r="AJ27">
        <f>IF(AND($A27="Emparejamiento Ampliado",COUNTIF($D27:$H27,"?*")&lt;2),IF(COUNTIF($Q27:$AI27,"?*")&gt;0,", ","")&amp;"minimo 2 claves","")</f>
        <v/>
      </c>
      <c r="AK27">
        <f>IF(AND($A27="Opción de Emparejamiento Ampliado",NOT(OR(LEFT(TRIM($I27),1)="A",LEFT(TRIM($I27),1)="B",LEFT(TRIM($I27),1)="C",LEFT(TRIM($I27),1)="D",LEFT(TRIM($I27),1)="E"))),IF(COUNTIF($Q27:$AJ27,"?*")&gt;0,", ","")&amp;"respuesta A-E","")</f>
        <v/>
      </c>
      <c r="AL27">
        <f>IF(TRIM($K27)="",IF(COUNTIF($M27:$M27,"?*")&gt;0,", ","")&amp;"parcial","")</f>
        <v/>
      </c>
      <c r="AM27">
        <f>IF(AND(TRIM($K27)&lt;&gt;"",TRIM($K27)&lt;&gt;VALIDACIONES!$G$1),IF(COUNTIF($M27:$N27,"?*")&gt;0,", ","")&amp;"parcial distinto a "&amp;VALIDACIONES!$G$1,"")</f>
        <v/>
      </c>
      <c r="AN27">
        <f>IF(AND(OR($A27="Ítems agrupados por caso clínico o problema",$A27="Subítem de caso o problema",$A27="Emparejamiento Ampliado",$A27="Opción de Emparejamiento Ampliado"),TRIM($B27)=""),IF(COUNTIF($M27:$O27,"?*")&gt;0,", ","")&amp;"grupo","")</f>
        <v/>
      </c>
    </row>
    <row r="28" ht="24" customHeight="1">
      <c r="A28" s="344" t="n"/>
      <c r="B28" s="344" t="n"/>
      <c r="C28" s="344" t="n"/>
      <c r="D28" s="344">
        <f>IF($A28="Verdadero o Falso Simple","Verdadero",IF($A28="Respuesta A/B/Ambas/Ninguna","A. Si la primera es verdadera",IF($A28="Verdadero o Falso Complejas","1. ","")))</f>
        <v/>
      </c>
      <c r="E28" s="344">
        <f>IF($A28="Verdadero o Falso Simple","Falso",IF($A28="Respuesta A/B/Ambas/Ninguna","B. Si la segunda es verdadera",IF($A28="Verdadero o Falso Complejas","2. ","")))</f>
        <v/>
      </c>
      <c r="F28" s="344">
        <f>IF($A28="Respuesta A/B/Ambas/Ninguna","C. Si ambas son verdaderas",IF($A28="Verdadero o Falso Complejas","3. ",""))</f>
        <v/>
      </c>
      <c r="G28" s="344">
        <f>IF($A28="Respuesta A/B/Ambas/Ninguna","D. Si ninguna es verdadera",IF($A28="Verdadero o Falso Complejas","4. ",""))</f>
        <v/>
      </c>
      <c r="H28" s="344">
        <f>IF($A28="Verdadero o Falso Simple","",IF($A28="Respuesta A/B/Ambas/Ninguna","",IF($A28="Verdadero o Falso Complejas","","")))</f>
        <v/>
      </c>
      <c r="I28" s="344" t="n"/>
      <c r="J28" s="344" t="n">
        <v>2</v>
      </c>
      <c r="K28" s="344" t="inlineStr">
        <is>
          <t>2P</t>
        </is>
      </c>
      <c r="L28" s="345">
        <f>IF(TRIM($A28)="","",IF(OR($A28="Selección de la mejor respuesta",$A28="SELECCION_MEJOR_RESPUESTA",$A28="Subítem de caso o problema",$A28="SUBITEM_CASO"),IF(TRIM($C28)="","Completar enunciado",IF(SUMPRODUCT(--(LEN(TRIM($D28:$H28&amp;""))&gt;0))&lt;5,"Completar opciones A-E",IF(AND(TRIM($I28)&lt;&gt;"",OR(LEFT(TRIM($I28),1)="A",LEFT(TRIM($I28),1)="B",LEFT(TRIM($I28),1)="C",LEFT(TRIM($I28),1)="D",LEFT(TRIM($I28),1)="E")),"OK","Completar respuesta correcta A-E"))),IF(TRIM($A28)="","",IF(COUNTIF($Q28:$AJ28,"?*")=0,"OK","Falta revisar: "&amp;$Q28&amp;$R28&amp;$S28&amp;$T28&amp;$U28&amp;$V28&amp;$W28&amp;$X28&amp;$Y28&amp;$Z28&amp;$AA28&amp;$AB28&amp;$AC28&amp;$AD28&amp;$AE28&amp;$AF28&amp;$AG28&amp;$AH28&amp;$AI28&amp;$AJ28))))</f>
        <v/>
      </c>
      <c r="M28" s="341" t="n"/>
      <c r="Q28">
        <f>IF(TRIM($C28)="","enunciado","")</f>
        <v/>
      </c>
      <c r="R28">
        <f>IF(TRIM($K28)="",IF(COUNTIF($Q28:$Q28,"?*")&gt;0,", ","")&amp;"parcial","")</f>
        <v/>
      </c>
      <c r="S28">
        <f>IF(AND(TRIM($K28)&lt;&gt;"",TRIM($K28)&lt;&gt;VALIDACIONES!$G$1),IF(COUNTIF($Q28:$R28,"?*")&gt;0,", ","")&amp;"parcial distinto a "&amp;VALIDACIONES!$G$1,"")</f>
        <v/>
      </c>
      <c r="T28">
        <f>IF(AND(OR($A28="Ítems agrupados por caso clínico o problema",$A28="Subítem de caso o problema",$A28="Emparejamiento Ampliado",$A28="Opción de Emparejamiento Ampliado"),TRIM($B28)=""),IF(COUNTIF($Q28:$S28,"?*")&gt;0,", ","")&amp;"grupo","")</f>
        <v/>
      </c>
      <c r="U28">
        <f>IF(AND(OR($A28="Verdadero o Falso Simple",$A28="Respuesta A/B/Ambas/Ninguna",$A28="Verdadero o Falso Complejas",$A28="Selección de la mejor respuesta",$A28="Subítem de caso o problema",$A28="Opción de Emparejamiento Ampliado"),TRIM($I28)=""),IF(COUNTIF($Q28:$T28,"?*")&gt;0,", ","")&amp;"respuesta_correcta","")</f>
        <v/>
      </c>
      <c r="V28">
        <f>IF(AND(OR($A28="Verdadero o Falso Simple",$A28="Respuesta A/B/Ambas/Ninguna",$A28="Verdadero o Falso Complejas",$A28="Selección de la mejor respuesta",$A28="Subítem de caso o problema",$A28="Opción de Emparejamiento Ampliado"),TRIM($J28)=""),IF(COUNTIF($Q28:$U28,"?*")&gt;0,", ","")&amp;"dificultad","")</f>
        <v/>
      </c>
      <c r="W28">
        <f>IF(AND(OR($A28="Ítems agrupados por caso clínico o problema",$A28="Emparejamiento Ampliado"),TRIM($I28)&lt;&gt;""),IF(COUNTIF($Q28:$V28,"?*")&gt;0,", ","")&amp;"respuesta debe ir vacia","")</f>
        <v/>
      </c>
      <c r="X28">
        <f>IF(AND(OR($A28="Ítems agrupados por caso clínico o problema",$A28="Emparejamiento Ampliado"),TRIM($J28)&lt;&gt;""),IF(COUNTIF($Q28:$W28,"?*")&gt;0,", ","")&amp;"dificultad debe ir vacia","")</f>
        <v/>
      </c>
      <c r="Y28">
        <f>IF(AND($A28="Verdadero o Falso Simple",OR(COUNTIF($D28:$E28,"?*")&lt;2,COUNTIF($F28:$H28,"?*")&gt;0)),IF(COUNTIF($Q28:$X28,"?*")&gt;0,", ","")&amp;"incisos A-B","")</f>
        <v/>
      </c>
      <c r="Z28">
        <f>IF(AND($A28="Verdadero o Falso Simple",TRIM($I28)&lt;&gt;"",NOT(OR(LEFT(TRIM($I28),1)="A",LEFT(TRIM($I28),1)="B"))),IF(COUNTIF($Q28:$Y28,"?*")&gt;0,", ","")&amp;"respuesta A-B","")</f>
        <v/>
      </c>
      <c r="AA28">
        <f>IF(AND($A28="Respuesta A/B/Ambas/Ninguna",COUNTIF($D28:$G28,"?*")&lt;4),IF(COUNTIF($Q28:$Z28,"?*")&gt;0,", ","")&amp;"opciones A-D","")</f>
        <v/>
      </c>
      <c r="AB28">
        <f>IF(AND($A28="Respuesta A/B/Ambas/Ninguna",COUNTIF($H28:$H28,"?*")&gt;0),IF(COUNTIF($Q28:$AA28,"?*")&gt;0,", ","")&amp;"opcion E deshabilitada","")</f>
        <v/>
      </c>
      <c r="AC28">
        <f>IF(AND($A28="Respuesta A/B/Ambas/Ninguna",TRIM($I28)&lt;&gt;"",NOT(OR(LEFT(TRIM($I28),1)="A",LEFT(TRIM($I28),1)="B",LEFT(TRIM($I28),1)="C",LEFT(TRIM($I28),1)="D"))),IF(COUNTIF($Q28:$AB28,"?*")&gt;0,", ","")&amp;"respuesta A-D","")</f>
        <v/>
      </c>
      <c r="AD28">
        <f>IF(AND($A28="Verdadero o Falso Complejas",OR(LEN(TRIM(SUBSTITUTE($D28,"1.","")))=0,LEN(TRIM(SUBSTITUTE($E28,"2.","")))=0,LEN(TRIM(SUBSTITUTE($F28,"3.","")))=0,LEN(TRIM(SUBSTITUTE($G28,"4.","")))=0)),IF(COUNTIF($Q28:$AC28,"?*")&gt;0,", ","")&amp;"incisos 1-4","")</f>
        <v/>
      </c>
      <c r="AE28">
        <f>IF(AND($A28="Verdadero o Falso Complejas",COUNTIF($H28:$H28,"?*")&gt;0),IF(COUNTIF($Q28:$AD28,"?*")&gt;0,", ","")&amp;"opcion E deshabilitada","")</f>
        <v/>
      </c>
      <c r="AF28">
        <f>IF(AND($A28="Verdadero o Falso Complejas",TRIM($I28)&lt;&gt;"",NOT(OR(LEFT(TRIM($I28),1)="A",LEFT(TRIM($I28),1)="B",LEFT(TRIM($I28),1)="C",LEFT(TRIM($I28),1)="D",LEFT(TRIM($I28),1)="E"))),IF(COUNTIF($Q28:$AE28,"?*")&gt;0,", ","")&amp;"respuesta A-E","")</f>
        <v/>
      </c>
      <c r="AG28">
        <f>IF(AND(OR($A28="Selección de la mejor respuesta",$A28="Subítem de caso o problema"),COUNTA($D28:$H28)&lt;5),IF(COUNTIF($Q28:$AF28,"?*")&gt;0,", ","")&amp;"incisos A-E","")</f>
        <v/>
      </c>
      <c r="AH28">
        <f>IF(AND(OR($A28="Selección de la mejor respuesta",$A28="Subítem de caso o problema"),TRIM($I28)&lt;&gt;"",NOT(OR(LEFT(TRIM($I28),1)="A",LEFT(TRIM($I28),1)="B",LEFT(TRIM($I28),1)="C",LEFT(TRIM($I28),1)="D",LEFT(TRIM($I28),1)="E"))),IF(COUNTIF($Q28:$AG28,"?*")&gt;0,", ","")&amp;"respuesta A-E","")</f>
        <v/>
      </c>
      <c r="AI28">
        <f>IF(AND(OR($A28="Ítems agrupados por caso clínico o problema",$A28="Opción de Emparejamiento Ampliado"),COUNTIF($D28:$H28,"?*")&gt;0),IF(COUNTIF($Q28:$AH28,"?*")&gt;0,", ","")&amp;"sin incisos","")</f>
        <v/>
      </c>
      <c r="AJ28">
        <f>IF(AND($A28="Emparejamiento Ampliado",COUNTIF($D28:$H28,"?*")&lt;2),IF(COUNTIF($Q28:$AI28,"?*")&gt;0,", ","")&amp;"minimo 2 claves","")</f>
        <v/>
      </c>
      <c r="AK28">
        <f>IF(AND($A28="Opción de Emparejamiento Ampliado",NOT(OR(LEFT(TRIM($I28),1)="A",LEFT(TRIM($I28),1)="B",LEFT(TRIM($I28),1)="C",LEFT(TRIM($I28),1)="D",LEFT(TRIM($I28),1)="E"))),IF(COUNTIF($Q28:$AJ28,"?*")&gt;0,", ","")&amp;"respuesta A-E","")</f>
        <v/>
      </c>
      <c r="AL28">
        <f>IF(TRIM($K28)="",IF(COUNTIF($M28:$M28,"?*")&gt;0,", ","")&amp;"parcial","")</f>
        <v/>
      </c>
      <c r="AM28">
        <f>IF(AND(TRIM($K28)&lt;&gt;"",TRIM($K28)&lt;&gt;VALIDACIONES!$G$1),IF(COUNTIF($M28:$N28,"?*")&gt;0,", ","")&amp;"parcial distinto a "&amp;VALIDACIONES!$G$1,"")</f>
        <v/>
      </c>
      <c r="AN28">
        <f>IF(AND(OR($A28="Ítems agrupados por caso clínico o problema",$A28="Subítem de caso o problema",$A28="Emparejamiento Ampliado",$A28="Opción de Emparejamiento Ampliado"),TRIM($B28)=""),IF(COUNTIF($M28:$O28,"?*")&gt;0,", ","")&amp;"grupo","")</f>
        <v/>
      </c>
    </row>
    <row r="29" ht="24" customHeight="1">
      <c r="A29" s="344" t="n"/>
      <c r="B29" s="344" t="n"/>
      <c r="C29" s="344" t="n"/>
      <c r="D29" s="344">
        <f>IF($A29="Verdadero o Falso Simple","Verdadero",IF($A29="Respuesta A/B/Ambas/Ninguna","A. Si la primera es verdadera",IF($A29="Verdadero o Falso Complejas","1. ","")))</f>
        <v/>
      </c>
      <c r="E29" s="344">
        <f>IF($A29="Verdadero o Falso Simple","Falso",IF($A29="Respuesta A/B/Ambas/Ninguna","B. Si la segunda es verdadera",IF($A29="Verdadero o Falso Complejas","2. ","")))</f>
        <v/>
      </c>
      <c r="F29" s="344">
        <f>IF($A29="Respuesta A/B/Ambas/Ninguna","C. Si ambas son verdaderas",IF($A29="Verdadero o Falso Complejas","3. ",""))</f>
        <v/>
      </c>
      <c r="G29" s="344">
        <f>IF($A29="Respuesta A/B/Ambas/Ninguna","D. Si ninguna es verdadera",IF($A29="Verdadero o Falso Complejas","4. ",""))</f>
        <v/>
      </c>
      <c r="H29" s="344">
        <f>IF($A29="Verdadero o Falso Simple","",IF($A29="Respuesta A/B/Ambas/Ninguna","",IF($A29="Verdadero o Falso Complejas","","")))</f>
        <v/>
      </c>
      <c r="I29" s="344" t="n"/>
      <c r="J29" s="344" t="n">
        <v>2</v>
      </c>
      <c r="K29" s="344" t="inlineStr">
        <is>
          <t>2P</t>
        </is>
      </c>
      <c r="L29" s="345">
        <f>IF(TRIM($A29)="","",IF(OR($A29="Selección de la mejor respuesta",$A29="SELECCION_MEJOR_RESPUESTA",$A29="Subítem de caso o problema",$A29="SUBITEM_CASO"),IF(TRIM($C29)="","Completar enunciado",IF(SUMPRODUCT(--(LEN(TRIM($D29:$H29&amp;""))&gt;0))&lt;5,"Completar opciones A-E",IF(AND(TRIM($I29)&lt;&gt;"",OR(LEFT(TRIM($I29),1)="A",LEFT(TRIM($I29),1)="B",LEFT(TRIM($I29),1)="C",LEFT(TRIM($I29),1)="D",LEFT(TRIM($I29),1)="E")),"OK","Completar respuesta correcta A-E"))),IF(TRIM($A29)="","",IF(COUNTIF($Q29:$AJ29,"?*")=0,"OK","Falta revisar: "&amp;$Q29&amp;$R29&amp;$S29&amp;$T29&amp;$U29&amp;$V29&amp;$W29&amp;$X29&amp;$Y29&amp;$Z29&amp;$AA29&amp;$AB29&amp;$AC29&amp;$AD29&amp;$AE29&amp;$AF29&amp;$AG29&amp;$AH29&amp;$AI29&amp;$AJ29))))</f>
        <v/>
      </c>
      <c r="M29" s="341" t="n"/>
      <c r="Q29">
        <f>IF(TRIM($C29)="","enunciado","")</f>
        <v/>
      </c>
      <c r="R29">
        <f>IF(TRIM($K29)="",IF(COUNTIF($Q29:$Q29,"?*")&gt;0,", ","")&amp;"parcial","")</f>
        <v/>
      </c>
      <c r="S29">
        <f>IF(AND(TRIM($K29)&lt;&gt;"",TRIM($K29)&lt;&gt;VALIDACIONES!$G$1),IF(COUNTIF($Q29:$R29,"?*")&gt;0,", ","")&amp;"parcial distinto a "&amp;VALIDACIONES!$G$1,"")</f>
        <v/>
      </c>
      <c r="T29">
        <f>IF(AND(OR($A29="Ítems agrupados por caso clínico o problema",$A29="Subítem de caso o problema",$A29="Emparejamiento Ampliado",$A29="Opción de Emparejamiento Ampliado"),TRIM($B29)=""),IF(COUNTIF($Q29:$S29,"?*")&gt;0,", ","")&amp;"grupo","")</f>
        <v/>
      </c>
      <c r="U29">
        <f>IF(AND(OR($A29="Verdadero o Falso Simple",$A29="Respuesta A/B/Ambas/Ninguna",$A29="Verdadero o Falso Complejas",$A29="Selección de la mejor respuesta",$A29="Subítem de caso o problema",$A29="Opción de Emparejamiento Ampliado"),TRIM($I29)=""),IF(COUNTIF($Q29:$T29,"?*")&gt;0,", ","")&amp;"respuesta_correcta","")</f>
        <v/>
      </c>
      <c r="V29">
        <f>IF(AND(OR($A29="Verdadero o Falso Simple",$A29="Respuesta A/B/Ambas/Ninguna",$A29="Verdadero o Falso Complejas",$A29="Selección de la mejor respuesta",$A29="Subítem de caso o problema",$A29="Opción de Emparejamiento Ampliado"),TRIM($J29)=""),IF(COUNTIF($Q29:$U29,"?*")&gt;0,", ","")&amp;"dificultad","")</f>
        <v/>
      </c>
      <c r="W29">
        <f>IF(AND(OR($A29="Ítems agrupados por caso clínico o problema",$A29="Emparejamiento Ampliado"),TRIM($I29)&lt;&gt;""),IF(COUNTIF($Q29:$V29,"?*")&gt;0,", ","")&amp;"respuesta debe ir vacia","")</f>
        <v/>
      </c>
      <c r="X29">
        <f>IF(AND(OR($A29="Ítems agrupados por caso clínico o problema",$A29="Emparejamiento Ampliado"),TRIM($J29)&lt;&gt;""),IF(COUNTIF($Q29:$W29,"?*")&gt;0,", ","")&amp;"dificultad debe ir vacia","")</f>
        <v/>
      </c>
      <c r="Y29">
        <f>IF(AND($A29="Verdadero o Falso Simple",OR(COUNTIF($D29:$E29,"?*")&lt;2,COUNTIF($F29:$H29,"?*")&gt;0)),IF(COUNTIF($Q29:$X29,"?*")&gt;0,", ","")&amp;"incisos A-B","")</f>
        <v/>
      </c>
      <c r="Z29">
        <f>IF(AND($A29="Verdadero o Falso Simple",TRIM($I29)&lt;&gt;"",NOT(OR(LEFT(TRIM($I29),1)="A",LEFT(TRIM($I29),1)="B"))),IF(COUNTIF($Q29:$Y29,"?*")&gt;0,", ","")&amp;"respuesta A-B","")</f>
        <v/>
      </c>
      <c r="AA29">
        <f>IF(AND($A29="Respuesta A/B/Ambas/Ninguna",COUNTIF($D29:$G29,"?*")&lt;4),IF(COUNTIF($Q29:$Z29,"?*")&gt;0,", ","")&amp;"opciones A-D","")</f>
        <v/>
      </c>
      <c r="AB29">
        <f>IF(AND($A29="Respuesta A/B/Ambas/Ninguna",COUNTIF($H29:$H29,"?*")&gt;0),IF(COUNTIF($Q29:$AA29,"?*")&gt;0,", ","")&amp;"opcion E deshabilitada","")</f>
        <v/>
      </c>
      <c r="AC29">
        <f>IF(AND($A29="Respuesta A/B/Ambas/Ninguna",TRIM($I29)&lt;&gt;"",NOT(OR(LEFT(TRIM($I29),1)="A",LEFT(TRIM($I29),1)="B",LEFT(TRIM($I29),1)="C",LEFT(TRIM($I29),1)="D"))),IF(COUNTIF($Q29:$AB29,"?*")&gt;0,", ","")&amp;"respuesta A-D","")</f>
        <v/>
      </c>
      <c r="AD29">
        <f>IF(AND($A29="Verdadero o Falso Complejas",OR(LEN(TRIM(SUBSTITUTE($D29,"1.","")))=0,LEN(TRIM(SUBSTITUTE($E29,"2.","")))=0,LEN(TRIM(SUBSTITUTE($F29,"3.","")))=0,LEN(TRIM(SUBSTITUTE($G29,"4.","")))=0)),IF(COUNTIF($Q29:$AC29,"?*")&gt;0,", ","")&amp;"incisos 1-4","")</f>
        <v/>
      </c>
      <c r="AE29">
        <f>IF(AND($A29="Verdadero o Falso Complejas",COUNTIF($H29:$H29,"?*")&gt;0),IF(COUNTIF($Q29:$AD29,"?*")&gt;0,", ","")&amp;"opcion E deshabilitada","")</f>
        <v/>
      </c>
      <c r="AF29">
        <f>IF(AND($A29="Verdadero o Falso Complejas",TRIM($I29)&lt;&gt;"",NOT(OR(LEFT(TRIM($I29),1)="A",LEFT(TRIM($I29),1)="B",LEFT(TRIM($I29),1)="C",LEFT(TRIM($I29),1)="D",LEFT(TRIM($I29),1)="E"))),IF(COUNTIF($Q29:$AE29,"?*")&gt;0,", ","")&amp;"respuesta A-E","")</f>
        <v/>
      </c>
      <c r="AG29">
        <f>IF(AND(OR($A29="Selección de la mejor respuesta",$A29="Subítem de caso o problema"),COUNTA($D29:$H29)&lt;5),IF(COUNTIF($Q29:$AF29,"?*")&gt;0,", ","")&amp;"incisos A-E","")</f>
        <v/>
      </c>
      <c r="AH29">
        <f>IF(AND(OR($A29="Selección de la mejor respuesta",$A29="Subítem de caso o problema"),TRIM($I29)&lt;&gt;"",NOT(OR(LEFT(TRIM($I29),1)="A",LEFT(TRIM($I29),1)="B",LEFT(TRIM($I29),1)="C",LEFT(TRIM($I29),1)="D",LEFT(TRIM($I29),1)="E"))),IF(COUNTIF($Q29:$AG29,"?*")&gt;0,", ","")&amp;"respuesta A-E","")</f>
        <v/>
      </c>
      <c r="AI29">
        <f>IF(AND(OR($A29="Ítems agrupados por caso clínico o problema",$A29="Opción de Emparejamiento Ampliado"),COUNTIF($D29:$H29,"?*")&gt;0),IF(COUNTIF($Q29:$AH29,"?*")&gt;0,", ","")&amp;"sin incisos","")</f>
        <v/>
      </c>
      <c r="AJ29">
        <f>IF(AND($A29="Emparejamiento Ampliado",COUNTIF($D29:$H29,"?*")&lt;2),IF(COUNTIF($Q29:$AI29,"?*")&gt;0,", ","")&amp;"minimo 2 claves","")</f>
        <v/>
      </c>
      <c r="AK29">
        <f>IF(AND($A29="Opción de Emparejamiento Ampliado",NOT(OR(LEFT(TRIM($I29),1)="A",LEFT(TRIM($I29),1)="B",LEFT(TRIM($I29),1)="C",LEFT(TRIM($I29),1)="D",LEFT(TRIM($I29),1)="E"))),IF(COUNTIF($Q29:$AJ29,"?*")&gt;0,", ","")&amp;"respuesta A-E","")</f>
        <v/>
      </c>
      <c r="AL29">
        <f>IF(TRIM($K29)="",IF(COUNTIF($M29:$M29,"?*")&gt;0,", ","")&amp;"parcial","")</f>
        <v/>
      </c>
      <c r="AM29">
        <f>IF(AND(TRIM($K29)&lt;&gt;"",TRIM($K29)&lt;&gt;VALIDACIONES!$G$1),IF(COUNTIF($M29:$N29,"?*")&gt;0,", ","")&amp;"parcial distinto a "&amp;VALIDACIONES!$G$1,"")</f>
        <v/>
      </c>
      <c r="AN29">
        <f>IF(AND(OR($A29="Ítems agrupados por caso clínico o problema",$A29="Subítem de caso o problema",$A29="Emparejamiento Ampliado",$A29="Opción de Emparejamiento Ampliado"),TRIM($B29)=""),IF(COUNTIF($M29:$O29,"?*")&gt;0,", ","")&amp;"grupo","")</f>
        <v/>
      </c>
    </row>
    <row r="30" ht="24" customHeight="1">
      <c r="A30" s="344" t="n"/>
      <c r="B30" s="344" t="n"/>
      <c r="C30" s="344" t="n"/>
      <c r="D30" s="344">
        <f>IF($A30="Verdadero o Falso Simple","Verdadero",IF($A30="Respuesta A/B/Ambas/Ninguna","A. Si la primera es verdadera",IF($A30="Verdadero o Falso Complejas","1. ","")))</f>
        <v/>
      </c>
      <c r="E30" s="344">
        <f>IF($A30="Verdadero o Falso Simple","Falso",IF($A30="Respuesta A/B/Ambas/Ninguna","B. Si la segunda es verdadera",IF($A30="Verdadero o Falso Complejas","2. ","")))</f>
        <v/>
      </c>
      <c r="F30" s="344">
        <f>IF($A30="Respuesta A/B/Ambas/Ninguna","C. Si ambas son verdaderas",IF($A30="Verdadero o Falso Complejas","3. ",""))</f>
        <v/>
      </c>
      <c r="G30" s="344">
        <f>IF($A30="Respuesta A/B/Ambas/Ninguna","D. Si ninguna es verdadera",IF($A30="Verdadero o Falso Complejas","4. ",""))</f>
        <v/>
      </c>
      <c r="H30" s="344">
        <f>IF($A30="Verdadero o Falso Simple","",IF($A30="Respuesta A/B/Ambas/Ninguna","",IF($A30="Verdadero o Falso Complejas","","")))</f>
        <v/>
      </c>
      <c r="I30" s="344" t="n"/>
      <c r="J30" s="344" t="n">
        <v>2</v>
      </c>
      <c r="K30" s="344" t="inlineStr">
        <is>
          <t>2P</t>
        </is>
      </c>
      <c r="L30" s="345">
        <f>IF(TRIM($A30)="","",IF(OR($A30="Selección de la mejor respuesta",$A30="SELECCION_MEJOR_RESPUESTA",$A30="Subítem de caso o problema",$A30="SUBITEM_CASO"),IF(TRIM($C30)="","Completar enunciado",IF(SUMPRODUCT(--(LEN(TRIM($D30:$H30&amp;""))&gt;0))&lt;5,"Completar opciones A-E",IF(AND(TRIM($I30)&lt;&gt;"",OR(LEFT(TRIM($I30),1)="A",LEFT(TRIM($I30),1)="B",LEFT(TRIM($I30),1)="C",LEFT(TRIM($I30),1)="D",LEFT(TRIM($I30),1)="E")),"OK","Completar respuesta correcta A-E"))),IF(TRIM($A30)="","",IF(COUNTIF($Q30:$AJ30,"?*")=0,"OK","Falta revisar: "&amp;$Q30&amp;$R30&amp;$S30&amp;$T30&amp;$U30&amp;$V30&amp;$W30&amp;$X30&amp;$Y30&amp;$Z30&amp;$AA30&amp;$AB30&amp;$AC30&amp;$AD30&amp;$AE30&amp;$AF30&amp;$AG30&amp;$AH30&amp;$AI30&amp;$AJ30))))</f>
        <v/>
      </c>
      <c r="M30" s="341" t="n"/>
      <c r="Q30">
        <f>IF(TRIM($C30)="","enunciado","")</f>
        <v/>
      </c>
      <c r="R30">
        <f>IF(TRIM($K30)="",IF(COUNTIF($Q30:$Q30,"?*")&gt;0,", ","")&amp;"parcial","")</f>
        <v/>
      </c>
      <c r="S30">
        <f>IF(AND(TRIM($K30)&lt;&gt;"",TRIM($K30)&lt;&gt;VALIDACIONES!$G$1),IF(COUNTIF($Q30:$R30,"?*")&gt;0,", ","")&amp;"parcial distinto a "&amp;VALIDACIONES!$G$1,"")</f>
        <v/>
      </c>
      <c r="T30">
        <f>IF(AND(OR($A30="Ítems agrupados por caso clínico o problema",$A30="Subítem de caso o problema",$A30="Emparejamiento Ampliado",$A30="Opción de Emparejamiento Ampliado"),TRIM($B30)=""),IF(COUNTIF($Q30:$S30,"?*")&gt;0,", ","")&amp;"grupo","")</f>
        <v/>
      </c>
      <c r="U30">
        <f>IF(AND(OR($A30="Verdadero o Falso Simple",$A30="Respuesta A/B/Ambas/Ninguna",$A30="Verdadero o Falso Complejas",$A30="Selección de la mejor respuesta",$A30="Subítem de caso o problema",$A30="Opción de Emparejamiento Ampliado"),TRIM($I30)=""),IF(COUNTIF($Q30:$T30,"?*")&gt;0,", ","")&amp;"respuesta_correcta","")</f>
        <v/>
      </c>
      <c r="V30">
        <f>IF(AND(OR($A30="Verdadero o Falso Simple",$A30="Respuesta A/B/Ambas/Ninguna",$A30="Verdadero o Falso Complejas",$A30="Selección de la mejor respuesta",$A30="Subítem de caso o problema",$A30="Opción de Emparejamiento Ampliado"),TRIM($J30)=""),IF(COUNTIF($Q30:$U30,"?*")&gt;0,", ","")&amp;"dificultad","")</f>
        <v/>
      </c>
      <c r="W30">
        <f>IF(AND(OR($A30="Ítems agrupados por caso clínico o problema",$A30="Emparejamiento Ampliado"),TRIM($I30)&lt;&gt;""),IF(COUNTIF($Q30:$V30,"?*")&gt;0,", ","")&amp;"respuesta debe ir vacia","")</f>
        <v/>
      </c>
      <c r="X30">
        <f>IF(AND(OR($A30="Ítems agrupados por caso clínico o problema",$A30="Emparejamiento Ampliado"),TRIM($J30)&lt;&gt;""),IF(COUNTIF($Q30:$W30,"?*")&gt;0,", ","")&amp;"dificultad debe ir vacia","")</f>
        <v/>
      </c>
      <c r="Y30">
        <f>IF(AND($A30="Verdadero o Falso Simple",OR(COUNTIF($D30:$E30,"?*")&lt;2,COUNTIF($F30:$H30,"?*")&gt;0)),IF(COUNTIF($Q30:$X30,"?*")&gt;0,", ","")&amp;"incisos A-B","")</f>
        <v/>
      </c>
      <c r="Z30">
        <f>IF(AND($A30="Verdadero o Falso Simple",TRIM($I30)&lt;&gt;"",NOT(OR(LEFT(TRIM($I30),1)="A",LEFT(TRIM($I30),1)="B"))),IF(COUNTIF($Q30:$Y30,"?*")&gt;0,", ","")&amp;"respuesta A-B","")</f>
        <v/>
      </c>
      <c r="AA30">
        <f>IF(AND($A30="Respuesta A/B/Ambas/Ninguna",COUNTIF($D30:$G30,"?*")&lt;4),IF(COUNTIF($Q30:$Z30,"?*")&gt;0,", ","")&amp;"opciones A-D","")</f>
        <v/>
      </c>
      <c r="AB30">
        <f>IF(AND($A30="Respuesta A/B/Ambas/Ninguna",COUNTIF($H30:$H30,"?*")&gt;0),IF(COUNTIF($Q30:$AA30,"?*")&gt;0,", ","")&amp;"opcion E deshabilitada","")</f>
        <v/>
      </c>
      <c r="AC30">
        <f>IF(AND($A30="Respuesta A/B/Ambas/Ninguna",TRIM($I30)&lt;&gt;"",NOT(OR(LEFT(TRIM($I30),1)="A",LEFT(TRIM($I30),1)="B",LEFT(TRIM($I30),1)="C",LEFT(TRIM($I30),1)="D"))),IF(COUNTIF($Q30:$AB30,"?*")&gt;0,", ","")&amp;"respuesta A-D","")</f>
        <v/>
      </c>
      <c r="AD30">
        <f>IF(AND($A30="Verdadero o Falso Complejas",OR(LEN(TRIM(SUBSTITUTE($D30,"1.","")))=0,LEN(TRIM(SUBSTITUTE($E30,"2.","")))=0,LEN(TRIM(SUBSTITUTE($F30,"3.","")))=0,LEN(TRIM(SUBSTITUTE($G30,"4.","")))=0)),IF(COUNTIF($Q30:$AC30,"?*")&gt;0,", ","")&amp;"incisos 1-4","")</f>
        <v/>
      </c>
      <c r="AE30">
        <f>IF(AND($A30="Verdadero o Falso Complejas",COUNTIF($H30:$H30,"?*")&gt;0),IF(COUNTIF($Q30:$AD30,"?*")&gt;0,", ","")&amp;"opcion E deshabilitada","")</f>
        <v/>
      </c>
      <c r="AF30">
        <f>IF(AND($A30="Verdadero o Falso Complejas",TRIM($I30)&lt;&gt;"",NOT(OR(LEFT(TRIM($I30),1)="A",LEFT(TRIM($I30),1)="B",LEFT(TRIM($I30),1)="C",LEFT(TRIM($I30),1)="D",LEFT(TRIM($I30),1)="E"))),IF(COUNTIF($Q30:$AE30,"?*")&gt;0,", ","")&amp;"respuesta A-E","")</f>
        <v/>
      </c>
      <c r="AG30">
        <f>IF(AND(OR($A30="Selección de la mejor respuesta",$A30="Subítem de caso o problema"),COUNTA($D30:$H30)&lt;5),IF(COUNTIF($Q30:$AF30,"?*")&gt;0,", ","")&amp;"incisos A-E","")</f>
        <v/>
      </c>
      <c r="AH30">
        <f>IF(AND(OR($A30="Selección de la mejor respuesta",$A30="Subítem de caso o problema"),TRIM($I30)&lt;&gt;"",NOT(OR(LEFT(TRIM($I30),1)="A",LEFT(TRIM($I30),1)="B",LEFT(TRIM($I30),1)="C",LEFT(TRIM($I30),1)="D",LEFT(TRIM($I30),1)="E"))),IF(COUNTIF($Q30:$AG30,"?*")&gt;0,", ","")&amp;"respuesta A-E","")</f>
        <v/>
      </c>
      <c r="AI30">
        <f>IF(AND(OR($A30="Ítems agrupados por caso clínico o problema",$A30="Opción de Emparejamiento Ampliado"),COUNTIF($D30:$H30,"?*")&gt;0),IF(COUNTIF($Q30:$AH30,"?*")&gt;0,", ","")&amp;"sin incisos","")</f>
        <v/>
      </c>
      <c r="AJ30">
        <f>IF(AND($A30="Emparejamiento Ampliado",COUNTIF($D30:$H30,"?*")&lt;2),IF(COUNTIF($Q30:$AI30,"?*")&gt;0,", ","")&amp;"minimo 2 claves","")</f>
        <v/>
      </c>
      <c r="AK30">
        <f>IF(AND($A30="Opción de Emparejamiento Ampliado",NOT(OR(LEFT(TRIM($I30),1)="A",LEFT(TRIM($I30),1)="B",LEFT(TRIM($I30),1)="C",LEFT(TRIM($I30),1)="D",LEFT(TRIM($I30),1)="E"))),IF(COUNTIF($Q30:$AJ30,"?*")&gt;0,", ","")&amp;"respuesta A-E","")</f>
        <v/>
      </c>
      <c r="AL30">
        <f>IF(TRIM($K30)="",IF(COUNTIF($M30:$M30,"?*")&gt;0,", ","")&amp;"parcial","")</f>
        <v/>
      </c>
      <c r="AM30">
        <f>IF(AND(TRIM($K30)&lt;&gt;"",TRIM($K30)&lt;&gt;VALIDACIONES!$G$1),IF(COUNTIF($M30:$N30,"?*")&gt;0,", ","")&amp;"parcial distinto a "&amp;VALIDACIONES!$G$1,"")</f>
        <v/>
      </c>
      <c r="AN30">
        <f>IF(AND(OR($A30="Ítems agrupados por caso clínico o problema",$A30="Subítem de caso o problema",$A30="Emparejamiento Ampliado",$A30="Opción de Emparejamiento Ampliado"),TRIM($B30)=""),IF(COUNTIF($M30:$O30,"?*")&gt;0,", ","")&amp;"grupo","")</f>
        <v/>
      </c>
    </row>
    <row r="31" ht="24" customHeight="1">
      <c r="A31" s="344" t="n"/>
      <c r="B31" s="344" t="n"/>
      <c r="C31" s="344" t="n"/>
      <c r="D31" s="344">
        <f>IF($A31="Verdadero o Falso Simple","Verdadero",IF($A31="Respuesta A/B/Ambas/Ninguna","A. Si la primera es verdadera",IF($A31="Verdadero o Falso Complejas","1. ","")))</f>
        <v/>
      </c>
      <c r="E31" s="344">
        <f>IF($A31="Verdadero o Falso Simple","Falso",IF($A31="Respuesta A/B/Ambas/Ninguna","B. Si la segunda es verdadera",IF($A31="Verdadero o Falso Complejas","2. ","")))</f>
        <v/>
      </c>
      <c r="F31" s="344">
        <f>IF($A31="Respuesta A/B/Ambas/Ninguna","C. Si ambas son verdaderas",IF($A31="Verdadero o Falso Complejas","3. ",""))</f>
        <v/>
      </c>
      <c r="G31" s="344">
        <f>IF($A31="Respuesta A/B/Ambas/Ninguna","D. Si ninguna es verdadera",IF($A31="Verdadero o Falso Complejas","4. ",""))</f>
        <v/>
      </c>
      <c r="H31" s="344">
        <f>IF($A31="Verdadero o Falso Simple","",IF($A31="Respuesta A/B/Ambas/Ninguna","",IF($A31="Verdadero o Falso Complejas","","")))</f>
        <v/>
      </c>
      <c r="I31" s="344" t="n"/>
      <c r="J31" s="344" t="n">
        <v>2</v>
      </c>
      <c r="K31" s="344" t="inlineStr">
        <is>
          <t>2P</t>
        </is>
      </c>
      <c r="L31" s="345">
        <f>IF(TRIM($A31)="","",IF(OR($A31="Selección de la mejor respuesta",$A31="SELECCION_MEJOR_RESPUESTA",$A31="Subítem de caso o problema",$A31="SUBITEM_CASO"),IF(TRIM($C31)="","Completar enunciado",IF(SUMPRODUCT(--(LEN(TRIM($D31:$H31&amp;""))&gt;0))&lt;5,"Completar opciones A-E",IF(AND(TRIM($I31)&lt;&gt;"",OR(LEFT(TRIM($I31),1)="A",LEFT(TRIM($I31),1)="B",LEFT(TRIM($I31),1)="C",LEFT(TRIM($I31),1)="D",LEFT(TRIM($I31),1)="E")),"OK","Completar respuesta correcta A-E"))),IF(TRIM($A31)="","",IF(COUNTIF($Q31:$AJ31,"?*")=0,"OK","Falta revisar: "&amp;$Q31&amp;$R31&amp;$S31&amp;$T31&amp;$U31&amp;$V31&amp;$W31&amp;$X31&amp;$Y31&amp;$Z31&amp;$AA31&amp;$AB31&amp;$AC31&amp;$AD31&amp;$AE31&amp;$AF31&amp;$AG31&amp;$AH31&amp;$AI31&amp;$AJ31))))</f>
        <v/>
      </c>
      <c r="M31" s="341" t="n"/>
      <c r="Q31">
        <f>IF(TRIM($C31)="","enunciado","")</f>
        <v/>
      </c>
      <c r="R31">
        <f>IF(TRIM($K31)="",IF(COUNTIF($Q31:$Q31,"?*")&gt;0,", ","")&amp;"parcial","")</f>
        <v/>
      </c>
      <c r="S31">
        <f>IF(AND(TRIM($K31)&lt;&gt;"",TRIM($K31)&lt;&gt;VALIDACIONES!$G$1),IF(COUNTIF($Q31:$R31,"?*")&gt;0,", ","")&amp;"parcial distinto a "&amp;VALIDACIONES!$G$1,"")</f>
        <v/>
      </c>
      <c r="T31">
        <f>IF(AND(OR($A31="Ítems agrupados por caso clínico o problema",$A31="Subítem de caso o problema",$A31="Emparejamiento Ampliado",$A31="Opción de Emparejamiento Ampliado"),TRIM($B31)=""),IF(COUNTIF($Q31:$S31,"?*")&gt;0,", ","")&amp;"grupo","")</f>
        <v/>
      </c>
      <c r="U31">
        <f>IF(AND(OR($A31="Verdadero o Falso Simple",$A31="Respuesta A/B/Ambas/Ninguna",$A31="Verdadero o Falso Complejas",$A31="Selección de la mejor respuesta",$A31="Subítem de caso o problema",$A31="Opción de Emparejamiento Ampliado"),TRIM($I31)=""),IF(COUNTIF($Q31:$T31,"?*")&gt;0,", ","")&amp;"respuesta_correcta","")</f>
        <v/>
      </c>
      <c r="V31">
        <f>IF(AND(OR($A31="Verdadero o Falso Simple",$A31="Respuesta A/B/Ambas/Ninguna",$A31="Verdadero o Falso Complejas",$A31="Selección de la mejor respuesta",$A31="Subítem de caso o problema",$A31="Opción de Emparejamiento Ampliado"),TRIM($J31)=""),IF(COUNTIF($Q31:$U31,"?*")&gt;0,", ","")&amp;"dificultad","")</f>
        <v/>
      </c>
      <c r="W31">
        <f>IF(AND(OR($A31="Ítems agrupados por caso clínico o problema",$A31="Emparejamiento Ampliado"),TRIM($I31)&lt;&gt;""),IF(COUNTIF($Q31:$V31,"?*")&gt;0,", ","")&amp;"respuesta debe ir vacia","")</f>
        <v/>
      </c>
      <c r="X31">
        <f>IF(AND(OR($A31="Ítems agrupados por caso clínico o problema",$A31="Emparejamiento Ampliado"),TRIM($J31)&lt;&gt;""),IF(COUNTIF($Q31:$W31,"?*")&gt;0,", ","")&amp;"dificultad debe ir vacia","")</f>
        <v/>
      </c>
      <c r="Y31">
        <f>IF(AND($A31="Verdadero o Falso Simple",OR(COUNTIF($D31:$E31,"?*")&lt;2,COUNTIF($F31:$H31,"?*")&gt;0)),IF(COUNTIF($Q31:$X31,"?*")&gt;0,", ","")&amp;"incisos A-B","")</f>
        <v/>
      </c>
      <c r="Z31">
        <f>IF(AND($A31="Verdadero o Falso Simple",TRIM($I31)&lt;&gt;"",NOT(OR(LEFT(TRIM($I31),1)="A",LEFT(TRIM($I31),1)="B"))),IF(COUNTIF($Q31:$Y31,"?*")&gt;0,", ","")&amp;"respuesta A-B","")</f>
        <v/>
      </c>
      <c r="AA31">
        <f>IF(AND($A31="Respuesta A/B/Ambas/Ninguna",COUNTIF($D31:$G31,"?*")&lt;4),IF(COUNTIF($Q31:$Z31,"?*")&gt;0,", ","")&amp;"opciones A-D","")</f>
        <v/>
      </c>
      <c r="AB31">
        <f>IF(AND($A31="Respuesta A/B/Ambas/Ninguna",COUNTIF($H31:$H31,"?*")&gt;0),IF(COUNTIF($Q31:$AA31,"?*")&gt;0,", ","")&amp;"opcion E deshabilitada","")</f>
        <v/>
      </c>
      <c r="AC31">
        <f>IF(AND($A31="Respuesta A/B/Ambas/Ninguna",TRIM($I31)&lt;&gt;"",NOT(OR(LEFT(TRIM($I31),1)="A",LEFT(TRIM($I31),1)="B",LEFT(TRIM($I31),1)="C",LEFT(TRIM($I31),1)="D"))),IF(COUNTIF($Q31:$AB31,"?*")&gt;0,", ","")&amp;"respuesta A-D","")</f>
        <v/>
      </c>
      <c r="AD31">
        <f>IF(AND($A31="Verdadero o Falso Complejas",OR(LEN(TRIM(SUBSTITUTE($D31,"1.","")))=0,LEN(TRIM(SUBSTITUTE($E31,"2.","")))=0,LEN(TRIM(SUBSTITUTE($F31,"3.","")))=0,LEN(TRIM(SUBSTITUTE($G31,"4.","")))=0)),IF(COUNTIF($Q31:$AC31,"?*")&gt;0,", ","")&amp;"incisos 1-4","")</f>
        <v/>
      </c>
      <c r="AE31">
        <f>IF(AND($A31="Verdadero o Falso Complejas",COUNTIF($H31:$H31,"?*")&gt;0),IF(COUNTIF($Q31:$AD31,"?*")&gt;0,", ","")&amp;"opcion E deshabilitada","")</f>
        <v/>
      </c>
      <c r="AF31">
        <f>IF(AND($A31="Verdadero o Falso Complejas",TRIM($I31)&lt;&gt;"",NOT(OR(LEFT(TRIM($I31),1)="A",LEFT(TRIM($I31),1)="B",LEFT(TRIM($I31),1)="C",LEFT(TRIM($I31),1)="D",LEFT(TRIM($I31),1)="E"))),IF(COUNTIF($Q31:$AE31,"?*")&gt;0,", ","")&amp;"respuesta A-E","")</f>
        <v/>
      </c>
      <c r="AG31">
        <f>IF(AND(OR($A31="Selección de la mejor respuesta",$A31="Subítem de caso o problema"),COUNTA($D31:$H31)&lt;5),IF(COUNTIF($Q31:$AF31,"?*")&gt;0,", ","")&amp;"incisos A-E","")</f>
        <v/>
      </c>
      <c r="AH31">
        <f>IF(AND(OR($A31="Selección de la mejor respuesta",$A31="Subítem de caso o problema"),TRIM($I31)&lt;&gt;"",NOT(OR(LEFT(TRIM($I31),1)="A",LEFT(TRIM($I31),1)="B",LEFT(TRIM($I31),1)="C",LEFT(TRIM($I31),1)="D",LEFT(TRIM($I31),1)="E"))),IF(COUNTIF($Q31:$AG31,"?*")&gt;0,", ","")&amp;"respuesta A-E","")</f>
        <v/>
      </c>
      <c r="AI31">
        <f>IF(AND(OR($A31="Ítems agrupados por caso clínico o problema",$A31="Opción de Emparejamiento Ampliado"),COUNTIF($D31:$H31,"?*")&gt;0),IF(COUNTIF($Q31:$AH31,"?*")&gt;0,", ","")&amp;"sin incisos","")</f>
        <v/>
      </c>
      <c r="AJ31">
        <f>IF(AND($A31="Emparejamiento Ampliado",COUNTIF($D31:$H31,"?*")&lt;2),IF(COUNTIF($Q31:$AI31,"?*")&gt;0,", ","")&amp;"minimo 2 claves","")</f>
        <v/>
      </c>
      <c r="AK31">
        <f>IF(AND($A31="Opción de Emparejamiento Ampliado",NOT(OR(LEFT(TRIM($I31),1)="A",LEFT(TRIM($I31),1)="B",LEFT(TRIM($I31),1)="C",LEFT(TRIM($I31),1)="D",LEFT(TRIM($I31),1)="E"))),IF(COUNTIF($Q31:$AJ31,"?*")&gt;0,", ","")&amp;"respuesta A-E","")</f>
        <v/>
      </c>
      <c r="AL31">
        <f>IF(TRIM($K31)="",IF(COUNTIF($M31:$M31,"?*")&gt;0,", ","")&amp;"parcial","")</f>
        <v/>
      </c>
      <c r="AM31">
        <f>IF(AND(TRIM($K31)&lt;&gt;"",TRIM($K31)&lt;&gt;VALIDACIONES!$G$1),IF(COUNTIF($M31:$N31,"?*")&gt;0,", ","")&amp;"parcial distinto a "&amp;VALIDACIONES!$G$1,"")</f>
        <v/>
      </c>
      <c r="AN31">
        <f>IF(AND(OR($A31="Ítems agrupados por caso clínico o problema",$A31="Subítem de caso o problema",$A31="Emparejamiento Ampliado",$A31="Opción de Emparejamiento Ampliado"),TRIM($B31)=""),IF(COUNTIF($M31:$O31,"?*")&gt;0,", ","")&amp;"grupo","")</f>
        <v/>
      </c>
    </row>
    <row r="32" ht="24" customHeight="1">
      <c r="A32" s="344" t="n"/>
      <c r="B32" s="344" t="n"/>
      <c r="C32" s="344" t="n"/>
      <c r="D32" s="344">
        <f>IF($A32="Verdadero o Falso Simple","Verdadero",IF($A32="Respuesta A/B/Ambas/Ninguna","A. Si la primera es verdadera",IF($A32="Verdadero o Falso Complejas","1. ","")))</f>
        <v/>
      </c>
      <c r="E32" s="344">
        <f>IF($A32="Verdadero o Falso Simple","Falso",IF($A32="Respuesta A/B/Ambas/Ninguna","B. Si la segunda es verdadera",IF($A32="Verdadero o Falso Complejas","2. ","")))</f>
        <v/>
      </c>
      <c r="F32" s="344">
        <f>IF($A32="Respuesta A/B/Ambas/Ninguna","C. Si ambas son verdaderas",IF($A32="Verdadero o Falso Complejas","3. ",""))</f>
        <v/>
      </c>
      <c r="G32" s="344">
        <f>IF($A32="Respuesta A/B/Ambas/Ninguna","D. Si ninguna es verdadera",IF($A32="Verdadero o Falso Complejas","4. ",""))</f>
        <v/>
      </c>
      <c r="H32" s="344">
        <f>IF($A32="Verdadero o Falso Simple","",IF($A32="Respuesta A/B/Ambas/Ninguna","",IF($A32="Verdadero o Falso Complejas","","")))</f>
        <v/>
      </c>
      <c r="I32" s="344" t="n"/>
      <c r="J32" s="344" t="n">
        <v>2</v>
      </c>
      <c r="K32" s="344" t="inlineStr">
        <is>
          <t>2P</t>
        </is>
      </c>
      <c r="L32" s="345">
        <f>IF(TRIM($A32)="","",IF(OR($A32="Selección de la mejor respuesta",$A32="SELECCION_MEJOR_RESPUESTA",$A32="Subítem de caso o problema",$A32="SUBITEM_CASO"),IF(TRIM($C32)="","Completar enunciado",IF(SUMPRODUCT(--(LEN(TRIM($D32:$H32&amp;""))&gt;0))&lt;5,"Completar opciones A-E",IF(AND(TRIM($I32)&lt;&gt;"",OR(LEFT(TRIM($I32),1)="A",LEFT(TRIM($I32),1)="B",LEFT(TRIM($I32),1)="C",LEFT(TRIM($I32),1)="D",LEFT(TRIM($I32),1)="E")),"OK","Completar respuesta correcta A-E"))),IF(TRIM($A32)="","",IF(COUNTIF($Q32:$AJ32,"?*")=0,"OK","Falta revisar: "&amp;$Q32&amp;$R32&amp;$S32&amp;$T32&amp;$U32&amp;$V32&amp;$W32&amp;$X32&amp;$Y32&amp;$Z32&amp;$AA32&amp;$AB32&amp;$AC32&amp;$AD32&amp;$AE32&amp;$AF32&amp;$AG32&amp;$AH32&amp;$AI32&amp;$AJ32))))</f>
        <v/>
      </c>
      <c r="M32" s="341" t="n"/>
      <c r="Q32">
        <f>IF(TRIM($C32)="","enunciado","")</f>
        <v/>
      </c>
      <c r="R32">
        <f>IF(TRIM($K32)="",IF(COUNTIF($Q32:$Q32,"?*")&gt;0,", ","")&amp;"parcial","")</f>
        <v/>
      </c>
      <c r="S32">
        <f>IF(AND(TRIM($K32)&lt;&gt;"",TRIM($K32)&lt;&gt;VALIDACIONES!$G$1),IF(COUNTIF($Q32:$R32,"?*")&gt;0,", ","")&amp;"parcial distinto a "&amp;VALIDACIONES!$G$1,"")</f>
        <v/>
      </c>
      <c r="T32">
        <f>IF(AND(OR($A32="Ítems agrupados por caso clínico o problema",$A32="Subítem de caso o problema",$A32="Emparejamiento Ampliado",$A32="Opción de Emparejamiento Ampliado"),TRIM($B32)=""),IF(COUNTIF($Q32:$S32,"?*")&gt;0,", ","")&amp;"grupo","")</f>
        <v/>
      </c>
      <c r="U32">
        <f>IF(AND(OR($A32="Verdadero o Falso Simple",$A32="Respuesta A/B/Ambas/Ninguna",$A32="Verdadero o Falso Complejas",$A32="Selección de la mejor respuesta",$A32="Subítem de caso o problema",$A32="Opción de Emparejamiento Ampliado"),TRIM($I32)=""),IF(COUNTIF($Q32:$T32,"?*")&gt;0,", ","")&amp;"respuesta_correcta","")</f>
        <v/>
      </c>
      <c r="V32">
        <f>IF(AND(OR($A32="Verdadero o Falso Simple",$A32="Respuesta A/B/Ambas/Ninguna",$A32="Verdadero o Falso Complejas",$A32="Selección de la mejor respuesta",$A32="Subítem de caso o problema",$A32="Opción de Emparejamiento Ampliado"),TRIM($J32)=""),IF(COUNTIF($Q32:$U32,"?*")&gt;0,", ","")&amp;"dificultad","")</f>
        <v/>
      </c>
      <c r="W32">
        <f>IF(AND(OR($A32="Ítems agrupados por caso clínico o problema",$A32="Emparejamiento Ampliado"),TRIM($I32)&lt;&gt;""),IF(COUNTIF($Q32:$V32,"?*")&gt;0,", ","")&amp;"respuesta debe ir vacia","")</f>
        <v/>
      </c>
      <c r="X32">
        <f>IF(AND(OR($A32="Ítems agrupados por caso clínico o problema",$A32="Emparejamiento Ampliado"),TRIM($J32)&lt;&gt;""),IF(COUNTIF($Q32:$W32,"?*")&gt;0,", ","")&amp;"dificultad debe ir vacia","")</f>
        <v/>
      </c>
      <c r="Y32">
        <f>IF(AND($A32="Verdadero o Falso Simple",OR(COUNTIF($D32:$E32,"?*")&lt;2,COUNTIF($F32:$H32,"?*")&gt;0)),IF(COUNTIF($Q32:$X32,"?*")&gt;0,", ","")&amp;"incisos A-B","")</f>
        <v/>
      </c>
      <c r="Z32">
        <f>IF(AND($A32="Verdadero o Falso Simple",TRIM($I32)&lt;&gt;"",NOT(OR(LEFT(TRIM($I32),1)="A",LEFT(TRIM($I32),1)="B"))),IF(COUNTIF($Q32:$Y32,"?*")&gt;0,", ","")&amp;"respuesta A-B","")</f>
        <v/>
      </c>
      <c r="AA32">
        <f>IF(AND($A32="Respuesta A/B/Ambas/Ninguna",COUNTIF($D32:$G32,"?*")&lt;4),IF(COUNTIF($Q32:$Z32,"?*")&gt;0,", ","")&amp;"opciones A-D","")</f>
        <v/>
      </c>
      <c r="AB32">
        <f>IF(AND($A32="Respuesta A/B/Ambas/Ninguna",COUNTIF($H32:$H32,"?*")&gt;0),IF(COUNTIF($Q32:$AA32,"?*")&gt;0,", ","")&amp;"opcion E deshabilitada","")</f>
        <v/>
      </c>
      <c r="AC32">
        <f>IF(AND($A32="Respuesta A/B/Ambas/Ninguna",TRIM($I32)&lt;&gt;"",NOT(OR(LEFT(TRIM($I32),1)="A",LEFT(TRIM($I32),1)="B",LEFT(TRIM($I32),1)="C",LEFT(TRIM($I32),1)="D"))),IF(COUNTIF($Q32:$AB32,"?*")&gt;0,", ","")&amp;"respuesta A-D","")</f>
        <v/>
      </c>
      <c r="AD32">
        <f>IF(AND($A32="Verdadero o Falso Complejas",OR(LEN(TRIM(SUBSTITUTE($D32,"1.","")))=0,LEN(TRIM(SUBSTITUTE($E32,"2.","")))=0,LEN(TRIM(SUBSTITUTE($F32,"3.","")))=0,LEN(TRIM(SUBSTITUTE($G32,"4.","")))=0)),IF(COUNTIF($Q32:$AC32,"?*")&gt;0,", ","")&amp;"incisos 1-4","")</f>
        <v/>
      </c>
      <c r="AE32">
        <f>IF(AND($A32="Verdadero o Falso Complejas",COUNTIF($H32:$H32,"?*")&gt;0),IF(COUNTIF($Q32:$AD32,"?*")&gt;0,", ","")&amp;"opcion E deshabilitada","")</f>
        <v/>
      </c>
      <c r="AF32">
        <f>IF(AND($A32="Verdadero o Falso Complejas",TRIM($I32)&lt;&gt;"",NOT(OR(LEFT(TRIM($I32),1)="A",LEFT(TRIM($I32),1)="B",LEFT(TRIM($I32),1)="C",LEFT(TRIM($I32),1)="D",LEFT(TRIM($I32),1)="E"))),IF(COUNTIF($Q32:$AE32,"?*")&gt;0,", ","")&amp;"respuesta A-E","")</f>
        <v/>
      </c>
      <c r="AG32">
        <f>IF(AND(OR($A32="Selección de la mejor respuesta",$A32="Subítem de caso o problema"),COUNTA($D32:$H32)&lt;5),IF(COUNTIF($Q32:$AF32,"?*")&gt;0,", ","")&amp;"incisos A-E","")</f>
        <v/>
      </c>
      <c r="AH32">
        <f>IF(AND(OR($A32="Selección de la mejor respuesta",$A32="Subítem de caso o problema"),TRIM($I32)&lt;&gt;"",NOT(OR(LEFT(TRIM($I32),1)="A",LEFT(TRIM($I32),1)="B",LEFT(TRIM($I32),1)="C",LEFT(TRIM($I32),1)="D",LEFT(TRIM($I32),1)="E"))),IF(COUNTIF($Q32:$AG32,"?*")&gt;0,", ","")&amp;"respuesta A-E","")</f>
        <v/>
      </c>
      <c r="AI32">
        <f>IF(AND(OR($A32="Ítems agrupados por caso clínico o problema",$A32="Opción de Emparejamiento Ampliado"),COUNTIF($D32:$H32,"?*")&gt;0),IF(COUNTIF($Q32:$AH32,"?*")&gt;0,", ","")&amp;"sin incisos","")</f>
        <v/>
      </c>
      <c r="AJ32">
        <f>IF(AND($A32="Emparejamiento Ampliado",COUNTIF($D32:$H32,"?*")&lt;2),IF(COUNTIF($Q32:$AI32,"?*")&gt;0,", ","")&amp;"minimo 2 claves","")</f>
        <v/>
      </c>
      <c r="AK32">
        <f>IF(AND($A32="Opción de Emparejamiento Ampliado",NOT(OR(LEFT(TRIM($I32),1)="A",LEFT(TRIM($I32),1)="B",LEFT(TRIM($I32),1)="C",LEFT(TRIM($I32),1)="D",LEFT(TRIM($I32),1)="E"))),IF(COUNTIF($Q32:$AJ32,"?*")&gt;0,", ","")&amp;"respuesta A-E","")</f>
        <v/>
      </c>
      <c r="AL32">
        <f>IF(TRIM($K32)="",IF(COUNTIF($M32:$M32,"?*")&gt;0,", ","")&amp;"parcial","")</f>
        <v/>
      </c>
      <c r="AM32">
        <f>IF(AND(TRIM($K32)&lt;&gt;"",TRIM($K32)&lt;&gt;VALIDACIONES!$G$1),IF(COUNTIF($M32:$N32,"?*")&gt;0,", ","")&amp;"parcial distinto a "&amp;VALIDACIONES!$G$1,"")</f>
        <v/>
      </c>
      <c r="AN32">
        <f>IF(AND(OR($A32="Ítems agrupados por caso clínico o problema",$A32="Subítem de caso o problema",$A32="Emparejamiento Ampliado",$A32="Opción de Emparejamiento Ampliado"),TRIM($B32)=""),IF(COUNTIF($M32:$O32,"?*")&gt;0,", ","")&amp;"grupo","")</f>
        <v/>
      </c>
    </row>
    <row r="33" ht="24" customHeight="1">
      <c r="A33" s="344" t="n"/>
      <c r="B33" s="344" t="n"/>
      <c r="C33" s="344" t="n"/>
      <c r="D33" s="344">
        <f>IF($A33="Verdadero o Falso Simple","Verdadero",IF($A33="Respuesta A/B/Ambas/Ninguna","A. Si la primera es verdadera",IF($A33="Verdadero o Falso Complejas","1. ","")))</f>
        <v/>
      </c>
      <c r="E33" s="344">
        <f>IF($A33="Verdadero o Falso Simple","Falso",IF($A33="Respuesta A/B/Ambas/Ninguna","B. Si la segunda es verdadera",IF($A33="Verdadero o Falso Complejas","2. ","")))</f>
        <v/>
      </c>
      <c r="F33" s="344">
        <f>IF($A33="Respuesta A/B/Ambas/Ninguna","C. Si ambas son verdaderas",IF($A33="Verdadero o Falso Complejas","3. ",""))</f>
        <v/>
      </c>
      <c r="G33" s="344">
        <f>IF($A33="Respuesta A/B/Ambas/Ninguna","D. Si ninguna es verdadera",IF($A33="Verdadero o Falso Complejas","4. ",""))</f>
        <v/>
      </c>
      <c r="H33" s="344">
        <f>IF($A33="Verdadero o Falso Simple","",IF($A33="Respuesta A/B/Ambas/Ninguna","",IF($A33="Verdadero o Falso Complejas","","")))</f>
        <v/>
      </c>
      <c r="I33" s="344" t="n"/>
      <c r="J33" s="344" t="n">
        <v>2</v>
      </c>
      <c r="K33" s="344" t="inlineStr">
        <is>
          <t>2P</t>
        </is>
      </c>
      <c r="L33" s="345">
        <f>IF(TRIM($A33)="","",IF(OR($A33="Selección de la mejor respuesta",$A33="SELECCION_MEJOR_RESPUESTA",$A33="Subítem de caso o problema",$A33="SUBITEM_CASO"),IF(TRIM($C33)="","Completar enunciado",IF(SUMPRODUCT(--(LEN(TRIM($D33:$H33&amp;""))&gt;0))&lt;5,"Completar opciones A-E",IF(AND(TRIM($I33)&lt;&gt;"",OR(LEFT(TRIM($I33),1)="A",LEFT(TRIM($I33),1)="B",LEFT(TRIM($I33),1)="C",LEFT(TRIM($I33),1)="D",LEFT(TRIM($I33),1)="E")),"OK","Completar respuesta correcta A-E"))),IF(TRIM($A33)="","",IF(COUNTIF($Q33:$AJ33,"?*")=0,"OK","Falta revisar: "&amp;$Q33&amp;$R33&amp;$S33&amp;$T33&amp;$U33&amp;$V33&amp;$W33&amp;$X33&amp;$Y33&amp;$Z33&amp;$AA33&amp;$AB33&amp;$AC33&amp;$AD33&amp;$AE33&amp;$AF33&amp;$AG33&amp;$AH33&amp;$AI33&amp;$AJ33))))</f>
        <v/>
      </c>
      <c r="M33" s="341" t="n"/>
      <c r="Q33">
        <f>IF(TRIM($C33)="","enunciado","")</f>
        <v/>
      </c>
      <c r="R33">
        <f>IF(TRIM($K33)="",IF(COUNTIF($Q33:$Q33,"?*")&gt;0,", ","")&amp;"parcial","")</f>
        <v/>
      </c>
      <c r="S33">
        <f>IF(AND(TRIM($K33)&lt;&gt;"",TRIM($K33)&lt;&gt;VALIDACIONES!$G$1),IF(COUNTIF($Q33:$R33,"?*")&gt;0,", ","")&amp;"parcial distinto a "&amp;VALIDACIONES!$G$1,"")</f>
        <v/>
      </c>
      <c r="T33">
        <f>IF(AND(OR($A33="Ítems agrupados por caso clínico o problema",$A33="Subítem de caso o problema",$A33="Emparejamiento Ampliado",$A33="Opción de Emparejamiento Ampliado"),TRIM($B33)=""),IF(COUNTIF($Q33:$S33,"?*")&gt;0,", ","")&amp;"grupo","")</f>
        <v/>
      </c>
      <c r="U33">
        <f>IF(AND(OR($A33="Verdadero o Falso Simple",$A33="Respuesta A/B/Ambas/Ninguna",$A33="Verdadero o Falso Complejas",$A33="Selección de la mejor respuesta",$A33="Subítem de caso o problema",$A33="Opción de Emparejamiento Ampliado"),TRIM($I33)=""),IF(COUNTIF($Q33:$T33,"?*")&gt;0,", ","")&amp;"respuesta_correcta","")</f>
        <v/>
      </c>
      <c r="V33">
        <f>IF(AND(OR($A33="Verdadero o Falso Simple",$A33="Respuesta A/B/Ambas/Ninguna",$A33="Verdadero o Falso Complejas",$A33="Selección de la mejor respuesta",$A33="Subítem de caso o problema",$A33="Opción de Emparejamiento Ampliado"),TRIM($J33)=""),IF(COUNTIF($Q33:$U33,"?*")&gt;0,", ","")&amp;"dificultad","")</f>
        <v/>
      </c>
      <c r="W33">
        <f>IF(AND(OR($A33="Ítems agrupados por caso clínico o problema",$A33="Emparejamiento Ampliado"),TRIM($I33)&lt;&gt;""),IF(COUNTIF($Q33:$V33,"?*")&gt;0,", ","")&amp;"respuesta debe ir vacia","")</f>
        <v/>
      </c>
      <c r="X33">
        <f>IF(AND(OR($A33="Ítems agrupados por caso clínico o problema",$A33="Emparejamiento Ampliado"),TRIM($J33)&lt;&gt;""),IF(COUNTIF($Q33:$W33,"?*")&gt;0,", ","")&amp;"dificultad debe ir vacia","")</f>
        <v/>
      </c>
      <c r="Y33">
        <f>IF(AND($A33="Verdadero o Falso Simple",OR(COUNTIF($D33:$E33,"?*")&lt;2,COUNTIF($F33:$H33,"?*")&gt;0)),IF(COUNTIF($Q33:$X33,"?*")&gt;0,", ","")&amp;"incisos A-B","")</f>
        <v/>
      </c>
      <c r="Z33">
        <f>IF(AND($A33="Verdadero o Falso Simple",TRIM($I33)&lt;&gt;"",NOT(OR(LEFT(TRIM($I33),1)="A",LEFT(TRIM($I33),1)="B"))),IF(COUNTIF($Q33:$Y33,"?*")&gt;0,", ","")&amp;"respuesta A-B","")</f>
        <v/>
      </c>
      <c r="AA33">
        <f>IF(AND($A33="Respuesta A/B/Ambas/Ninguna",COUNTIF($D33:$G33,"?*")&lt;4),IF(COUNTIF($Q33:$Z33,"?*")&gt;0,", ","")&amp;"opciones A-D","")</f>
        <v/>
      </c>
      <c r="AB33">
        <f>IF(AND($A33="Respuesta A/B/Ambas/Ninguna",COUNTIF($H33:$H33,"?*")&gt;0),IF(COUNTIF($Q33:$AA33,"?*")&gt;0,", ","")&amp;"opcion E deshabilitada","")</f>
        <v/>
      </c>
      <c r="AC33">
        <f>IF(AND($A33="Respuesta A/B/Ambas/Ninguna",TRIM($I33)&lt;&gt;"",NOT(OR(LEFT(TRIM($I33),1)="A",LEFT(TRIM($I33),1)="B",LEFT(TRIM($I33),1)="C",LEFT(TRIM($I33),1)="D"))),IF(COUNTIF($Q33:$AB33,"?*")&gt;0,", ","")&amp;"respuesta A-D","")</f>
        <v/>
      </c>
      <c r="AD33">
        <f>IF(AND($A33="Verdadero o Falso Complejas",OR(LEN(TRIM(SUBSTITUTE($D33,"1.","")))=0,LEN(TRIM(SUBSTITUTE($E33,"2.","")))=0,LEN(TRIM(SUBSTITUTE($F33,"3.","")))=0,LEN(TRIM(SUBSTITUTE($G33,"4.","")))=0)),IF(COUNTIF($Q33:$AC33,"?*")&gt;0,", ","")&amp;"incisos 1-4","")</f>
        <v/>
      </c>
      <c r="AE33">
        <f>IF(AND($A33="Verdadero o Falso Complejas",COUNTIF($H33:$H33,"?*")&gt;0),IF(COUNTIF($Q33:$AD33,"?*")&gt;0,", ","")&amp;"opcion E deshabilitada","")</f>
        <v/>
      </c>
      <c r="AF33">
        <f>IF(AND($A33="Verdadero o Falso Complejas",TRIM($I33)&lt;&gt;"",NOT(OR(LEFT(TRIM($I33),1)="A",LEFT(TRIM($I33),1)="B",LEFT(TRIM($I33),1)="C",LEFT(TRIM($I33),1)="D",LEFT(TRIM($I33),1)="E"))),IF(COUNTIF($Q33:$AE33,"?*")&gt;0,", ","")&amp;"respuesta A-E","")</f>
        <v/>
      </c>
      <c r="AG33">
        <f>IF(AND(OR($A33="Selección de la mejor respuesta",$A33="Subítem de caso o problema"),COUNTA($D33:$H33)&lt;5),IF(COUNTIF($Q33:$AF33,"?*")&gt;0,", ","")&amp;"incisos A-E","")</f>
        <v/>
      </c>
      <c r="AH33">
        <f>IF(AND(OR($A33="Selección de la mejor respuesta",$A33="Subítem de caso o problema"),TRIM($I33)&lt;&gt;"",NOT(OR(LEFT(TRIM($I33),1)="A",LEFT(TRIM($I33),1)="B",LEFT(TRIM($I33),1)="C",LEFT(TRIM($I33),1)="D",LEFT(TRIM($I33),1)="E"))),IF(COUNTIF($Q33:$AG33,"?*")&gt;0,", ","")&amp;"respuesta A-E","")</f>
        <v/>
      </c>
      <c r="AI33">
        <f>IF(AND(OR($A33="Ítems agrupados por caso clínico o problema",$A33="Opción de Emparejamiento Ampliado"),COUNTIF($D33:$H33,"?*")&gt;0),IF(COUNTIF($Q33:$AH33,"?*")&gt;0,", ","")&amp;"sin incisos","")</f>
        <v/>
      </c>
      <c r="AJ33">
        <f>IF(AND($A33="Emparejamiento Ampliado",COUNTIF($D33:$H33,"?*")&lt;2),IF(COUNTIF($Q33:$AI33,"?*")&gt;0,", ","")&amp;"minimo 2 claves","")</f>
        <v/>
      </c>
      <c r="AK33">
        <f>IF(AND($A33="Opción de Emparejamiento Ampliado",NOT(OR(LEFT(TRIM($I33),1)="A",LEFT(TRIM($I33),1)="B",LEFT(TRIM($I33),1)="C",LEFT(TRIM($I33),1)="D",LEFT(TRIM($I33),1)="E"))),IF(COUNTIF($Q33:$AJ33,"?*")&gt;0,", ","")&amp;"respuesta A-E","")</f>
        <v/>
      </c>
      <c r="AL33">
        <f>IF(TRIM($K33)="",IF(COUNTIF($M33:$M33,"?*")&gt;0,", ","")&amp;"parcial","")</f>
        <v/>
      </c>
      <c r="AM33">
        <f>IF(AND(TRIM($K33)&lt;&gt;"",TRIM($K33)&lt;&gt;VALIDACIONES!$G$1),IF(COUNTIF($M33:$N33,"?*")&gt;0,", ","")&amp;"parcial distinto a "&amp;VALIDACIONES!$G$1,"")</f>
        <v/>
      </c>
      <c r="AN33">
        <f>IF(AND(OR($A33="Ítems agrupados por caso clínico o problema",$A33="Subítem de caso o problema",$A33="Emparejamiento Ampliado",$A33="Opción de Emparejamiento Ampliado"),TRIM($B33)=""),IF(COUNTIF($M33:$O33,"?*")&gt;0,", ","")&amp;"grupo","")</f>
        <v/>
      </c>
    </row>
    <row r="34" ht="24" customHeight="1">
      <c r="A34" s="344" t="n"/>
      <c r="B34" s="344" t="n"/>
      <c r="C34" s="344" t="n"/>
      <c r="D34" s="344">
        <f>IF($A34="Verdadero o Falso Simple","Verdadero",IF($A34="Respuesta A/B/Ambas/Ninguna","A. Si la primera es verdadera",IF($A34="Verdadero o Falso Complejas","1. ","")))</f>
        <v/>
      </c>
      <c r="E34" s="344">
        <f>IF($A34="Verdadero o Falso Simple","Falso",IF($A34="Respuesta A/B/Ambas/Ninguna","B. Si la segunda es verdadera",IF($A34="Verdadero o Falso Complejas","2. ","")))</f>
        <v/>
      </c>
      <c r="F34" s="344">
        <f>IF($A34="Respuesta A/B/Ambas/Ninguna","C. Si ambas son verdaderas",IF($A34="Verdadero o Falso Complejas","3. ",""))</f>
        <v/>
      </c>
      <c r="G34" s="344">
        <f>IF($A34="Respuesta A/B/Ambas/Ninguna","D. Si ninguna es verdadera",IF($A34="Verdadero o Falso Complejas","4. ",""))</f>
        <v/>
      </c>
      <c r="H34" s="344">
        <f>IF($A34="Verdadero o Falso Simple","",IF($A34="Respuesta A/B/Ambas/Ninguna","",IF($A34="Verdadero o Falso Complejas","","")))</f>
        <v/>
      </c>
      <c r="I34" s="344" t="n"/>
      <c r="J34" s="344" t="n">
        <v>2</v>
      </c>
      <c r="K34" s="344" t="inlineStr">
        <is>
          <t>2P</t>
        </is>
      </c>
      <c r="L34" s="345">
        <f>IF(TRIM($A34)="","",IF(OR($A34="Selección de la mejor respuesta",$A34="SELECCION_MEJOR_RESPUESTA",$A34="Subítem de caso o problema",$A34="SUBITEM_CASO"),IF(TRIM($C34)="","Completar enunciado",IF(SUMPRODUCT(--(LEN(TRIM($D34:$H34&amp;""))&gt;0))&lt;5,"Completar opciones A-E",IF(AND(TRIM($I34)&lt;&gt;"",OR(LEFT(TRIM($I34),1)="A",LEFT(TRIM($I34),1)="B",LEFT(TRIM($I34),1)="C",LEFT(TRIM($I34),1)="D",LEFT(TRIM($I34),1)="E")),"OK","Completar respuesta correcta A-E"))),IF(TRIM($A34)="","",IF(COUNTIF($Q34:$AJ34,"?*")=0,"OK","Falta revisar: "&amp;$Q34&amp;$R34&amp;$S34&amp;$T34&amp;$U34&amp;$V34&amp;$W34&amp;$X34&amp;$Y34&amp;$Z34&amp;$AA34&amp;$AB34&amp;$AC34&amp;$AD34&amp;$AE34&amp;$AF34&amp;$AG34&amp;$AH34&amp;$AI34&amp;$AJ34))))</f>
        <v/>
      </c>
      <c r="M34" s="341" t="n"/>
      <c r="Q34">
        <f>IF(TRIM($C34)="","enunciado","")</f>
        <v/>
      </c>
      <c r="R34">
        <f>IF(TRIM($K34)="",IF(COUNTIF($Q34:$Q34,"?*")&gt;0,", ","")&amp;"parcial","")</f>
        <v/>
      </c>
      <c r="S34">
        <f>IF(AND(TRIM($K34)&lt;&gt;"",TRIM($K34)&lt;&gt;VALIDACIONES!$G$1),IF(COUNTIF($Q34:$R34,"?*")&gt;0,", ","")&amp;"parcial distinto a "&amp;VALIDACIONES!$G$1,"")</f>
        <v/>
      </c>
      <c r="T34">
        <f>IF(AND(OR($A34="Ítems agrupados por caso clínico o problema",$A34="Subítem de caso o problema",$A34="Emparejamiento Ampliado",$A34="Opción de Emparejamiento Ampliado"),TRIM($B34)=""),IF(COUNTIF($Q34:$S34,"?*")&gt;0,", ","")&amp;"grupo","")</f>
        <v/>
      </c>
      <c r="U34">
        <f>IF(AND(OR($A34="Verdadero o Falso Simple",$A34="Respuesta A/B/Ambas/Ninguna",$A34="Verdadero o Falso Complejas",$A34="Selección de la mejor respuesta",$A34="Subítem de caso o problema",$A34="Opción de Emparejamiento Ampliado"),TRIM($I34)=""),IF(COUNTIF($Q34:$T34,"?*")&gt;0,", ","")&amp;"respuesta_correcta","")</f>
        <v/>
      </c>
      <c r="V34">
        <f>IF(AND(OR($A34="Verdadero o Falso Simple",$A34="Respuesta A/B/Ambas/Ninguna",$A34="Verdadero o Falso Complejas",$A34="Selección de la mejor respuesta",$A34="Subítem de caso o problema",$A34="Opción de Emparejamiento Ampliado"),TRIM($J34)=""),IF(COUNTIF($Q34:$U34,"?*")&gt;0,", ","")&amp;"dificultad","")</f>
        <v/>
      </c>
      <c r="W34">
        <f>IF(AND(OR($A34="Ítems agrupados por caso clínico o problema",$A34="Emparejamiento Ampliado"),TRIM($I34)&lt;&gt;""),IF(COUNTIF($Q34:$V34,"?*")&gt;0,", ","")&amp;"respuesta debe ir vacia","")</f>
        <v/>
      </c>
      <c r="X34">
        <f>IF(AND(OR($A34="Ítems agrupados por caso clínico o problema",$A34="Emparejamiento Ampliado"),TRIM($J34)&lt;&gt;""),IF(COUNTIF($Q34:$W34,"?*")&gt;0,", ","")&amp;"dificultad debe ir vacia","")</f>
        <v/>
      </c>
      <c r="Y34">
        <f>IF(AND($A34="Verdadero o Falso Simple",OR(COUNTIF($D34:$E34,"?*")&lt;2,COUNTIF($F34:$H34,"?*")&gt;0)),IF(COUNTIF($Q34:$X34,"?*")&gt;0,", ","")&amp;"incisos A-B","")</f>
        <v/>
      </c>
      <c r="Z34">
        <f>IF(AND($A34="Verdadero o Falso Simple",TRIM($I34)&lt;&gt;"",NOT(OR(LEFT(TRIM($I34),1)="A",LEFT(TRIM($I34),1)="B"))),IF(COUNTIF($Q34:$Y34,"?*")&gt;0,", ","")&amp;"respuesta A-B","")</f>
        <v/>
      </c>
      <c r="AA34">
        <f>IF(AND($A34="Respuesta A/B/Ambas/Ninguna",COUNTIF($D34:$G34,"?*")&lt;4),IF(COUNTIF($Q34:$Z34,"?*")&gt;0,", ","")&amp;"opciones A-D","")</f>
        <v/>
      </c>
      <c r="AB34">
        <f>IF(AND($A34="Respuesta A/B/Ambas/Ninguna",COUNTIF($H34:$H34,"?*")&gt;0),IF(COUNTIF($Q34:$AA34,"?*")&gt;0,", ","")&amp;"opcion E deshabilitada","")</f>
        <v/>
      </c>
      <c r="AC34">
        <f>IF(AND($A34="Respuesta A/B/Ambas/Ninguna",TRIM($I34)&lt;&gt;"",NOT(OR(LEFT(TRIM($I34),1)="A",LEFT(TRIM($I34),1)="B",LEFT(TRIM($I34),1)="C",LEFT(TRIM($I34),1)="D"))),IF(COUNTIF($Q34:$AB34,"?*")&gt;0,", ","")&amp;"respuesta A-D","")</f>
        <v/>
      </c>
      <c r="AD34">
        <f>IF(AND($A34="Verdadero o Falso Complejas",OR(LEN(TRIM(SUBSTITUTE($D34,"1.","")))=0,LEN(TRIM(SUBSTITUTE($E34,"2.","")))=0,LEN(TRIM(SUBSTITUTE($F34,"3.","")))=0,LEN(TRIM(SUBSTITUTE($G34,"4.","")))=0)),IF(COUNTIF($Q34:$AC34,"?*")&gt;0,", ","")&amp;"incisos 1-4","")</f>
        <v/>
      </c>
      <c r="AE34">
        <f>IF(AND($A34="Verdadero o Falso Complejas",COUNTIF($H34:$H34,"?*")&gt;0),IF(COUNTIF($Q34:$AD34,"?*")&gt;0,", ","")&amp;"opcion E deshabilitada","")</f>
        <v/>
      </c>
      <c r="AF34">
        <f>IF(AND($A34="Verdadero o Falso Complejas",TRIM($I34)&lt;&gt;"",NOT(OR(LEFT(TRIM($I34),1)="A",LEFT(TRIM($I34),1)="B",LEFT(TRIM($I34),1)="C",LEFT(TRIM($I34),1)="D",LEFT(TRIM($I34),1)="E"))),IF(COUNTIF($Q34:$AE34,"?*")&gt;0,", ","")&amp;"respuesta A-E","")</f>
        <v/>
      </c>
      <c r="AG34">
        <f>IF(AND(OR($A34="Selección de la mejor respuesta",$A34="Subítem de caso o problema"),COUNTA($D34:$H34)&lt;5),IF(COUNTIF($Q34:$AF34,"?*")&gt;0,", ","")&amp;"incisos A-E","")</f>
        <v/>
      </c>
      <c r="AH34">
        <f>IF(AND(OR($A34="Selección de la mejor respuesta",$A34="Subítem de caso o problema"),TRIM($I34)&lt;&gt;"",NOT(OR(LEFT(TRIM($I34),1)="A",LEFT(TRIM($I34),1)="B",LEFT(TRIM($I34),1)="C",LEFT(TRIM($I34),1)="D",LEFT(TRIM($I34),1)="E"))),IF(COUNTIF($Q34:$AG34,"?*")&gt;0,", ","")&amp;"respuesta A-E","")</f>
        <v/>
      </c>
      <c r="AI34">
        <f>IF(AND(OR($A34="Ítems agrupados por caso clínico o problema",$A34="Opción de Emparejamiento Ampliado"),COUNTIF($D34:$H34,"?*")&gt;0),IF(COUNTIF($Q34:$AH34,"?*")&gt;0,", ","")&amp;"sin incisos","")</f>
        <v/>
      </c>
      <c r="AJ34">
        <f>IF(AND($A34="Emparejamiento Ampliado",COUNTIF($D34:$H34,"?*")&lt;2),IF(COUNTIF($Q34:$AI34,"?*")&gt;0,", ","")&amp;"minimo 2 claves","")</f>
        <v/>
      </c>
      <c r="AK34">
        <f>IF(AND($A34="Opción de Emparejamiento Ampliado",NOT(OR(LEFT(TRIM($I34),1)="A",LEFT(TRIM($I34),1)="B",LEFT(TRIM($I34),1)="C",LEFT(TRIM($I34),1)="D",LEFT(TRIM($I34),1)="E"))),IF(COUNTIF($Q34:$AJ34,"?*")&gt;0,", ","")&amp;"respuesta A-E","")</f>
        <v/>
      </c>
      <c r="AL34">
        <f>IF(TRIM($K34)="",IF(COUNTIF($M34:$M34,"?*")&gt;0,", ","")&amp;"parcial","")</f>
        <v/>
      </c>
      <c r="AM34">
        <f>IF(AND(TRIM($K34)&lt;&gt;"",TRIM($K34)&lt;&gt;VALIDACIONES!$G$1),IF(COUNTIF($M34:$N34,"?*")&gt;0,", ","")&amp;"parcial distinto a "&amp;VALIDACIONES!$G$1,"")</f>
        <v/>
      </c>
      <c r="AN34">
        <f>IF(AND(OR($A34="Ítems agrupados por caso clínico o problema",$A34="Subítem de caso o problema",$A34="Emparejamiento Ampliado",$A34="Opción de Emparejamiento Ampliado"),TRIM($B34)=""),IF(COUNTIF($M34:$O34,"?*")&gt;0,", ","")&amp;"grupo","")</f>
        <v/>
      </c>
    </row>
    <row r="35" ht="24" customHeight="1">
      <c r="A35" s="344" t="n"/>
      <c r="B35" s="344" t="n"/>
      <c r="C35" s="344" t="n"/>
      <c r="D35" s="344">
        <f>IF($A35="Verdadero o Falso Simple","Verdadero",IF($A35="Respuesta A/B/Ambas/Ninguna","A. Si la primera es verdadera",IF($A35="Verdadero o Falso Complejas","1. ","")))</f>
        <v/>
      </c>
      <c r="E35" s="344">
        <f>IF($A35="Verdadero o Falso Simple","Falso",IF($A35="Respuesta A/B/Ambas/Ninguna","B. Si la segunda es verdadera",IF($A35="Verdadero o Falso Complejas","2. ","")))</f>
        <v/>
      </c>
      <c r="F35" s="344">
        <f>IF($A35="Respuesta A/B/Ambas/Ninguna","C. Si ambas son verdaderas",IF($A35="Verdadero o Falso Complejas","3. ",""))</f>
        <v/>
      </c>
      <c r="G35" s="344">
        <f>IF($A35="Respuesta A/B/Ambas/Ninguna","D. Si ninguna es verdadera",IF($A35="Verdadero o Falso Complejas","4. ",""))</f>
        <v/>
      </c>
      <c r="H35" s="344">
        <f>IF($A35="Verdadero o Falso Simple","",IF($A35="Respuesta A/B/Ambas/Ninguna","",IF($A35="Verdadero o Falso Complejas","","")))</f>
        <v/>
      </c>
      <c r="I35" s="344" t="n"/>
      <c r="J35" s="344" t="n">
        <v>2</v>
      </c>
      <c r="K35" s="344" t="inlineStr">
        <is>
          <t>2P</t>
        </is>
      </c>
      <c r="L35" s="345">
        <f>IF(TRIM($A35)="","",IF(OR($A35="Selección de la mejor respuesta",$A35="SELECCION_MEJOR_RESPUESTA",$A35="Subítem de caso o problema",$A35="SUBITEM_CASO"),IF(TRIM($C35)="","Completar enunciado",IF(SUMPRODUCT(--(LEN(TRIM($D35:$H35&amp;""))&gt;0))&lt;5,"Completar opciones A-E",IF(AND(TRIM($I35)&lt;&gt;"",OR(LEFT(TRIM($I35),1)="A",LEFT(TRIM($I35),1)="B",LEFT(TRIM($I35),1)="C",LEFT(TRIM($I35),1)="D",LEFT(TRIM($I35),1)="E")),"OK","Completar respuesta correcta A-E"))),IF(TRIM($A35)="","",IF(COUNTIF($Q35:$AJ35,"?*")=0,"OK","Falta revisar: "&amp;$Q35&amp;$R35&amp;$S35&amp;$T35&amp;$U35&amp;$V35&amp;$W35&amp;$X35&amp;$Y35&amp;$Z35&amp;$AA35&amp;$AB35&amp;$AC35&amp;$AD35&amp;$AE35&amp;$AF35&amp;$AG35&amp;$AH35&amp;$AI35&amp;$AJ35))))</f>
        <v/>
      </c>
      <c r="M35" s="341" t="n"/>
      <c r="Q35">
        <f>IF(TRIM($C35)="","enunciado","")</f>
        <v/>
      </c>
      <c r="R35">
        <f>IF(TRIM($K35)="",IF(COUNTIF($Q35:$Q35,"?*")&gt;0,", ","")&amp;"parcial","")</f>
        <v/>
      </c>
      <c r="S35">
        <f>IF(AND(TRIM($K35)&lt;&gt;"",TRIM($K35)&lt;&gt;VALIDACIONES!$G$1),IF(COUNTIF($Q35:$R35,"?*")&gt;0,", ","")&amp;"parcial distinto a "&amp;VALIDACIONES!$G$1,"")</f>
        <v/>
      </c>
      <c r="T35">
        <f>IF(AND(OR($A35="Ítems agrupados por caso clínico o problema",$A35="Subítem de caso o problema",$A35="Emparejamiento Ampliado",$A35="Opción de Emparejamiento Ampliado"),TRIM($B35)=""),IF(COUNTIF($Q35:$S35,"?*")&gt;0,", ","")&amp;"grupo","")</f>
        <v/>
      </c>
      <c r="U35">
        <f>IF(AND(OR($A35="Verdadero o Falso Simple",$A35="Respuesta A/B/Ambas/Ninguna",$A35="Verdadero o Falso Complejas",$A35="Selección de la mejor respuesta",$A35="Subítem de caso o problema",$A35="Opción de Emparejamiento Ampliado"),TRIM($I35)=""),IF(COUNTIF($Q35:$T35,"?*")&gt;0,", ","")&amp;"respuesta_correcta","")</f>
        <v/>
      </c>
      <c r="V35">
        <f>IF(AND(OR($A35="Verdadero o Falso Simple",$A35="Respuesta A/B/Ambas/Ninguna",$A35="Verdadero o Falso Complejas",$A35="Selección de la mejor respuesta",$A35="Subítem de caso o problema",$A35="Opción de Emparejamiento Ampliado"),TRIM($J35)=""),IF(COUNTIF($Q35:$U35,"?*")&gt;0,", ","")&amp;"dificultad","")</f>
        <v/>
      </c>
      <c r="W35">
        <f>IF(AND(OR($A35="Ítems agrupados por caso clínico o problema",$A35="Emparejamiento Ampliado"),TRIM($I35)&lt;&gt;""),IF(COUNTIF($Q35:$V35,"?*")&gt;0,", ","")&amp;"respuesta debe ir vacia","")</f>
        <v/>
      </c>
      <c r="X35">
        <f>IF(AND(OR($A35="Ítems agrupados por caso clínico o problema",$A35="Emparejamiento Ampliado"),TRIM($J35)&lt;&gt;""),IF(COUNTIF($Q35:$W35,"?*")&gt;0,", ","")&amp;"dificultad debe ir vacia","")</f>
        <v/>
      </c>
      <c r="Y35">
        <f>IF(AND($A35="Verdadero o Falso Simple",OR(COUNTIF($D35:$E35,"?*")&lt;2,COUNTIF($F35:$H35,"?*")&gt;0)),IF(COUNTIF($Q35:$X35,"?*")&gt;0,", ","")&amp;"incisos A-B","")</f>
        <v/>
      </c>
      <c r="Z35">
        <f>IF(AND($A35="Verdadero o Falso Simple",TRIM($I35)&lt;&gt;"",NOT(OR(LEFT(TRIM($I35),1)="A",LEFT(TRIM($I35),1)="B"))),IF(COUNTIF($Q35:$Y35,"?*")&gt;0,", ","")&amp;"respuesta A-B","")</f>
        <v/>
      </c>
      <c r="AA35">
        <f>IF(AND($A35="Respuesta A/B/Ambas/Ninguna",COUNTIF($D35:$G35,"?*")&lt;4),IF(COUNTIF($Q35:$Z35,"?*")&gt;0,", ","")&amp;"opciones A-D","")</f>
        <v/>
      </c>
      <c r="AB35">
        <f>IF(AND($A35="Respuesta A/B/Ambas/Ninguna",COUNTIF($H35:$H35,"?*")&gt;0),IF(COUNTIF($Q35:$AA35,"?*")&gt;0,", ","")&amp;"opcion E deshabilitada","")</f>
        <v/>
      </c>
      <c r="AC35">
        <f>IF(AND($A35="Respuesta A/B/Ambas/Ninguna",TRIM($I35)&lt;&gt;"",NOT(OR(LEFT(TRIM($I35),1)="A",LEFT(TRIM($I35),1)="B",LEFT(TRIM($I35),1)="C",LEFT(TRIM($I35),1)="D"))),IF(COUNTIF($Q35:$AB35,"?*")&gt;0,", ","")&amp;"respuesta A-D","")</f>
        <v/>
      </c>
      <c r="AD35">
        <f>IF(AND($A35="Verdadero o Falso Complejas",OR(LEN(TRIM(SUBSTITUTE($D35,"1.","")))=0,LEN(TRIM(SUBSTITUTE($E35,"2.","")))=0,LEN(TRIM(SUBSTITUTE($F35,"3.","")))=0,LEN(TRIM(SUBSTITUTE($G35,"4.","")))=0)),IF(COUNTIF($Q35:$AC35,"?*")&gt;0,", ","")&amp;"incisos 1-4","")</f>
        <v/>
      </c>
      <c r="AE35">
        <f>IF(AND($A35="Verdadero o Falso Complejas",COUNTIF($H35:$H35,"?*")&gt;0),IF(COUNTIF($Q35:$AD35,"?*")&gt;0,", ","")&amp;"opcion E deshabilitada","")</f>
        <v/>
      </c>
      <c r="AF35">
        <f>IF(AND($A35="Verdadero o Falso Complejas",TRIM($I35)&lt;&gt;"",NOT(OR(LEFT(TRIM($I35),1)="A",LEFT(TRIM($I35),1)="B",LEFT(TRIM($I35),1)="C",LEFT(TRIM($I35),1)="D",LEFT(TRIM($I35),1)="E"))),IF(COUNTIF($Q35:$AE35,"?*")&gt;0,", ","")&amp;"respuesta A-E","")</f>
        <v/>
      </c>
      <c r="AG35">
        <f>IF(AND(OR($A35="Selección de la mejor respuesta",$A35="Subítem de caso o problema"),COUNTA($D35:$H35)&lt;5),IF(COUNTIF($Q35:$AF35,"?*")&gt;0,", ","")&amp;"incisos A-E","")</f>
        <v/>
      </c>
      <c r="AH35">
        <f>IF(AND(OR($A35="Selección de la mejor respuesta",$A35="Subítem de caso o problema"),TRIM($I35)&lt;&gt;"",NOT(OR(LEFT(TRIM($I35),1)="A",LEFT(TRIM($I35),1)="B",LEFT(TRIM($I35),1)="C",LEFT(TRIM($I35),1)="D",LEFT(TRIM($I35),1)="E"))),IF(COUNTIF($Q35:$AG35,"?*")&gt;0,", ","")&amp;"respuesta A-E","")</f>
        <v/>
      </c>
      <c r="AI35">
        <f>IF(AND(OR($A35="Ítems agrupados por caso clínico o problema",$A35="Opción de Emparejamiento Ampliado"),COUNTIF($D35:$H35,"?*")&gt;0),IF(COUNTIF($Q35:$AH35,"?*")&gt;0,", ","")&amp;"sin incisos","")</f>
        <v/>
      </c>
      <c r="AJ35">
        <f>IF(AND($A35="Emparejamiento Ampliado",COUNTIF($D35:$H35,"?*")&lt;2),IF(COUNTIF($Q35:$AI35,"?*")&gt;0,", ","")&amp;"minimo 2 claves","")</f>
        <v/>
      </c>
      <c r="AK35">
        <f>IF(AND($A35="Opción de Emparejamiento Ampliado",NOT(OR(LEFT(TRIM($I35),1)="A",LEFT(TRIM($I35),1)="B",LEFT(TRIM($I35),1)="C",LEFT(TRIM($I35),1)="D",LEFT(TRIM($I35),1)="E"))),IF(COUNTIF($Q35:$AJ35,"?*")&gt;0,", ","")&amp;"respuesta A-E","")</f>
        <v/>
      </c>
      <c r="AL35">
        <f>IF(TRIM($K35)="",IF(COUNTIF($M35:$M35,"?*")&gt;0,", ","")&amp;"parcial","")</f>
        <v/>
      </c>
      <c r="AM35">
        <f>IF(AND(TRIM($K35)&lt;&gt;"",TRIM($K35)&lt;&gt;VALIDACIONES!$G$1),IF(COUNTIF($M35:$N35,"?*")&gt;0,", ","")&amp;"parcial distinto a "&amp;VALIDACIONES!$G$1,"")</f>
        <v/>
      </c>
      <c r="AN35">
        <f>IF(AND(OR($A35="Ítems agrupados por caso clínico o problema",$A35="Subítem de caso o problema",$A35="Emparejamiento Ampliado",$A35="Opción de Emparejamiento Ampliado"),TRIM($B35)=""),IF(COUNTIF($M35:$O35,"?*")&gt;0,", ","")&amp;"grupo","")</f>
        <v/>
      </c>
    </row>
    <row r="36" ht="24" customHeight="1">
      <c r="A36" s="344" t="n"/>
      <c r="B36" s="344" t="n"/>
      <c r="C36" s="344" t="n"/>
      <c r="D36" s="344">
        <f>IF($A36="Verdadero o Falso Simple","Verdadero",IF($A36="Respuesta A/B/Ambas/Ninguna","A. Si la primera es verdadera",IF($A36="Verdadero o Falso Complejas","1. ","")))</f>
        <v/>
      </c>
      <c r="E36" s="344">
        <f>IF($A36="Verdadero o Falso Simple","Falso",IF($A36="Respuesta A/B/Ambas/Ninguna","B. Si la segunda es verdadera",IF($A36="Verdadero o Falso Complejas","2. ","")))</f>
        <v/>
      </c>
      <c r="F36" s="344">
        <f>IF($A36="Respuesta A/B/Ambas/Ninguna","C. Si ambas son verdaderas",IF($A36="Verdadero o Falso Complejas","3. ",""))</f>
        <v/>
      </c>
      <c r="G36" s="344">
        <f>IF($A36="Respuesta A/B/Ambas/Ninguna","D. Si ninguna es verdadera",IF($A36="Verdadero o Falso Complejas","4. ",""))</f>
        <v/>
      </c>
      <c r="H36" s="344">
        <f>IF($A36="Verdadero o Falso Simple","",IF($A36="Respuesta A/B/Ambas/Ninguna","",IF($A36="Verdadero o Falso Complejas","","")))</f>
        <v/>
      </c>
      <c r="I36" s="344" t="n"/>
      <c r="J36" s="344" t="n">
        <v>2</v>
      </c>
      <c r="K36" s="344" t="inlineStr">
        <is>
          <t>2P</t>
        </is>
      </c>
      <c r="L36" s="345">
        <f>IF(TRIM($A36)="","",IF(OR($A36="Selección de la mejor respuesta",$A36="SELECCION_MEJOR_RESPUESTA",$A36="Subítem de caso o problema",$A36="SUBITEM_CASO"),IF(TRIM($C36)="","Completar enunciado",IF(SUMPRODUCT(--(LEN(TRIM($D36:$H36&amp;""))&gt;0))&lt;5,"Completar opciones A-E",IF(AND(TRIM($I36)&lt;&gt;"",OR(LEFT(TRIM($I36),1)="A",LEFT(TRIM($I36),1)="B",LEFT(TRIM($I36),1)="C",LEFT(TRIM($I36),1)="D",LEFT(TRIM($I36),1)="E")),"OK","Completar respuesta correcta A-E"))),IF(TRIM($A36)="","",IF(COUNTIF($Q36:$AJ36,"?*")=0,"OK","Falta revisar: "&amp;$Q36&amp;$R36&amp;$S36&amp;$T36&amp;$U36&amp;$V36&amp;$W36&amp;$X36&amp;$Y36&amp;$Z36&amp;$AA36&amp;$AB36&amp;$AC36&amp;$AD36&amp;$AE36&amp;$AF36&amp;$AG36&amp;$AH36&amp;$AI36&amp;$AJ36))))</f>
        <v/>
      </c>
      <c r="M36" s="341" t="n"/>
      <c r="Q36">
        <f>IF(TRIM($C36)="","enunciado","")</f>
        <v/>
      </c>
      <c r="R36">
        <f>IF(TRIM($K36)="",IF(COUNTIF($Q36:$Q36,"?*")&gt;0,", ","")&amp;"parcial","")</f>
        <v/>
      </c>
      <c r="S36">
        <f>IF(AND(TRIM($K36)&lt;&gt;"",TRIM($K36)&lt;&gt;VALIDACIONES!$G$1),IF(COUNTIF($Q36:$R36,"?*")&gt;0,", ","")&amp;"parcial distinto a "&amp;VALIDACIONES!$G$1,"")</f>
        <v/>
      </c>
      <c r="T36">
        <f>IF(AND(OR($A36="Ítems agrupados por caso clínico o problema",$A36="Subítem de caso o problema",$A36="Emparejamiento Ampliado",$A36="Opción de Emparejamiento Ampliado"),TRIM($B36)=""),IF(COUNTIF($Q36:$S36,"?*")&gt;0,", ","")&amp;"grupo","")</f>
        <v/>
      </c>
      <c r="U36">
        <f>IF(AND(OR($A36="Verdadero o Falso Simple",$A36="Respuesta A/B/Ambas/Ninguna",$A36="Verdadero o Falso Complejas",$A36="Selección de la mejor respuesta",$A36="Subítem de caso o problema",$A36="Opción de Emparejamiento Ampliado"),TRIM($I36)=""),IF(COUNTIF($Q36:$T36,"?*")&gt;0,", ","")&amp;"respuesta_correcta","")</f>
        <v/>
      </c>
      <c r="V36">
        <f>IF(AND(OR($A36="Verdadero o Falso Simple",$A36="Respuesta A/B/Ambas/Ninguna",$A36="Verdadero o Falso Complejas",$A36="Selección de la mejor respuesta",$A36="Subítem de caso o problema",$A36="Opción de Emparejamiento Ampliado"),TRIM($J36)=""),IF(COUNTIF($Q36:$U36,"?*")&gt;0,", ","")&amp;"dificultad","")</f>
        <v/>
      </c>
      <c r="W36">
        <f>IF(AND(OR($A36="Ítems agrupados por caso clínico o problema",$A36="Emparejamiento Ampliado"),TRIM($I36)&lt;&gt;""),IF(COUNTIF($Q36:$V36,"?*")&gt;0,", ","")&amp;"respuesta debe ir vacia","")</f>
        <v/>
      </c>
      <c r="X36">
        <f>IF(AND(OR($A36="Ítems agrupados por caso clínico o problema",$A36="Emparejamiento Ampliado"),TRIM($J36)&lt;&gt;""),IF(COUNTIF($Q36:$W36,"?*")&gt;0,", ","")&amp;"dificultad debe ir vacia","")</f>
        <v/>
      </c>
      <c r="Y36">
        <f>IF(AND($A36="Verdadero o Falso Simple",OR(COUNTIF($D36:$E36,"?*")&lt;2,COUNTIF($F36:$H36,"?*")&gt;0)),IF(COUNTIF($Q36:$X36,"?*")&gt;0,", ","")&amp;"incisos A-B","")</f>
        <v/>
      </c>
      <c r="Z36">
        <f>IF(AND($A36="Verdadero o Falso Simple",TRIM($I36)&lt;&gt;"",NOT(OR(LEFT(TRIM($I36),1)="A",LEFT(TRIM($I36),1)="B"))),IF(COUNTIF($Q36:$Y36,"?*")&gt;0,", ","")&amp;"respuesta A-B","")</f>
        <v/>
      </c>
      <c r="AA36">
        <f>IF(AND($A36="Respuesta A/B/Ambas/Ninguna",COUNTIF($D36:$G36,"?*")&lt;4),IF(COUNTIF($Q36:$Z36,"?*")&gt;0,", ","")&amp;"opciones A-D","")</f>
        <v/>
      </c>
      <c r="AB36">
        <f>IF(AND($A36="Respuesta A/B/Ambas/Ninguna",COUNTIF($H36:$H36,"?*")&gt;0),IF(COUNTIF($Q36:$AA36,"?*")&gt;0,", ","")&amp;"opcion E deshabilitada","")</f>
        <v/>
      </c>
      <c r="AC36">
        <f>IF(AND($A36="Respuesta A/B/Ambas/Ninguna",TRIM($I36)&lt;&gt;"",NOT(OR(LEFT(TRIM($I36),1)="A",LEFT(TRIM($I36),1)="B",LEFT(TRIM($I36),1)="C",LEFT(TRIM($I36),1)="D"))),IF(COUNTIF($Q36:$AB36,"?*")&gt;0,", ","")&amp;"respuesta A-D","")</f>
        <v/>
      </c>
      <c r="AD36">
        <f>IF(AND($A36="Verdadero o Falso Complejas",OR(LEN(TRIM(SUBSTITUTE($D36,"1.","")))=0,LEN(TRIM(SUBSTITUTE($E36,"2.","")))=0,LEN(TRIM(SUBSTITUTE($F36,"3.","")))=0,LEN(TRIM(SUBSTITUTE($G36,"4.","")))=0)),IF(COUNTIF($Q36:$AC36,"?*")&gt;0,", ","")&amp;"incisos 1-4","")</f>
        <v/>
      </c>
      <c r="AE36">
        <f>IF(AND($A36="Verdadero o Falso Complejas",COUNTIF($H36:$H36,"?*")&gt;0),IF(COUNTIF($Q36:$AD36,"?*")&gt;0,", ","")&amp;"opcion E deshabilitada","")</f>
        <v/>
      </c>
      <c r="AF36">
        <f>IF(AND($A36="Verdadero o Falso Complejas",TRIM($I36)&lt;&gt;"",NOT(OR(LEFT(TRIM($I36),1)="A",LEFT(TRIM($I36),1)="B",LEFT(TRIM($I36),1)="C",LEFT(TRIM($I36),1)="D",LEFT(TRIM($I36),1)="E"))),IF(COUNTIF($Q36:$AE36,"?*")&gt;0,", ","")&amp;"respuesta A-E","")</f>
        <v/>
      </c>
      <c r="AG36">
        <f>IF(AND(OR($A36="Selección de la mejor respuesta",$A36="Subítem de caso o problema"),COUNTA($D36:$H36)&lt;5),IF(COUNTIF($Q36:$AF36,"?*")&gt;0,", ","")&amp;"incisos A-E","")</f>
        <v/>
      </c>
      <c r="AH36">
        <f>IF(AND(OR($A36="Selección de la mejor respuesta",$A36="Subítem de caso o problema"),TRIM($I36)&lt;&gt;"",NOT(OR(LEFT(TRIM($I36),1)="A",LEFT(TRIM($I36),1)="B",LEFT(TRIM($I36),1)="C",LEFT(TRIM($I36),1)="D",LEFT(TRIM($I36),1)="E"))),IF(COUNTIF($Q36:$AG36,"?*")&gt;0,", ","")&amp;"respuesta A-E","")</f>
        <v/>
      </c>
      <c r="AI36">
        <f>IF(AND(OR($A36="Ítems agrupados por caso clínico o problema",$A36="Opción de Emparejamiento Ampliado"),COUNTIF($D36:$H36,"?*")&gt;0),IF(COUNTIF($Q36:$AH36,"?*")&gt;0,", ","")&amp;"sin incisos","")</f>
        <v/>
      </c>
      <c r="AJ36">
        <f>IF(AND($A36="Emparejamiento Ampliado",COUNTIF($D36:$H36,"?*")&lt;2),IF(COUNTIF($Q36:$AI36,"?*")&gt;0,", ","")&amp;"minimo 2 claves","")</f>
        <v/>
      </c>
      <c r="AK36">
        <f>IF(AND($A36="Opción de Emparejamiento Ampliado",NOT(OR(LEFT(TRIM($I36),1)="A",LEFT(TRIM($I36),1)="B",LEFT(TRIM($I36),1)="C",LEFT(TRIM($I36),1)="D",LEFT(TRIM($I36),1)="E"))),IF(COUNTIF($Q36:$AJ36,"?*")&gt;0,", ","")&amp;"respuesta A-E","")</f>
        <v/>
      </c>
      <c r="AL36">
        <f>IF(TRIM($K36)="",IF(COUNTIF($M36:$M36,"?*")&gt;0,", ","")&amp;"parcial","")</f>
        <v/>
      </c>
      <c r="AM36">
        <f>IF(AND(TRIM($K36)&lt;&gt;"",TRIM($K36)&lt;&gt;VALIDACIONES!$G$1),IF(COUNTIF($M36:$N36,"?*")&gt;0,", ","")&amp;"parcial distinto a "&amp;VALIDACIONES!$G$1,"")</f>
        <v/>
      </c>
      <c r="AN36">
        <f>IF(AND(OR($A36="Ítems agrupados por caso clínico o problema",$A36="Subítem de caso o problema",$A36="Emparejamiento Ampliado",$A36="Opción de Emparejamiento Ampliado"),TRIM($B36)=""),IF(COUNTIF($M36:$O36,"?*")&gt;0,", ","")&amp;"grupo","")</f>
        <v/>
      </c>
    </row>
    <row r="37" ht="24" customHeight="1">
      <c r="A37" s="344" t="n"/>
      <c r="B37" s="344" t="n"/>
      <c r="C37" s="344" t="n"/>
      <c r="D37" s="344">
        <f>IF($A37="Verdadero o Falso Simple","Verdadero",IF($A37="Respuesta A/B/Ambas/Ninguna","A. Si la primera es verdadera",IF($A37="Verdadero o Falso Complejas","1. ","")))</f>
        <v/>
      </c>
      <c r="E37" s="344">
        <f>IF($A37="Verdadero o Falso Simple","Falso",IF($A37="Respuesta A/B/Ambas/Ninguna","B. Si la segunda es verdadera",IF($A37="Verdadero o Falso Complejas","2. ","")))</f>
        <v/>
      </c>
      <c r="F37" s="344">
        <f>IF($A37="Respuesta A/B/Ambas/Ninguna","C. Si ambas son verdaderas",IF($A37="Verdadero o Falso Complejas","3. ",""))</f>
        <v/>
      </c>
      <c r="G37" s="344">
        <f>IF($A37="Respuesta A/B/Ambas/Ninguna","D. Si ninguna es verdadera",IF($A37="Verdadero o Falso Complejas","4. ",""))</f>
        <v/>
      </c>
      <c r="H37" s="344">
        <f>IF($A37="Verdadero o Falso Simple","",IF($A37="Respuesta A/B/Ambas/Ninguna","",IF($A37="Verdadero o Falso Complejas","","")))</f>
        <v/>
      </c>
      <c r="I37" s="344" t="n"/>
      <c r="J37" s="344" t="n">
        <v>2</v>
      </c>
      <c r="K37" s="344" t="inlineStr">
        <is>
          <t>2P</t>
        </is>
      </c>
      <c r="L37" s="345">
        <f>IF(TRIM($A37)="","",IF(OR($A37="Selección de la mejor respuesta",$A37="SELECCION_MEJOR_RESPUESTA",$A37="Subítem de caso o problema",$A37="SUBITEM_CASO"),IF(TRIM($C37)="","Completar enunciado",IF(SUMPRODUCT(--(LEN(TRIM($D37:$H37&amp;""))&gt;0))&lt;5,"Completar opciones A-E",IF(AND(TRIM($I37)&lt;&gt;"",OR(LEFT(TRIM($I37),1)="A",LEFT(TRIM($I37),1)="B",LEFT(TRIM($I37),1)="C",LEFT(TRIM($I37),1)="D",LEFT(TRIM($I37),1)="E")),"OK","Completar respuesta correcta A-E"))),IF(TRIM($A37)="","",IF(COUNTIF($Q37:$AJ37,"?*")=0,"OK","Falta revisar: "&amp;$Q37&amp;$R37&amp;$S37&amp;$T37&amp;$U37&amp;$V37&amp;$W37&amp;$X37&amp;$Y37&amp;$Z37&amp;$AA37&amp;$AB37&amp;$AC37&amp;$AD37&amp;$AE37&amp;$AF37&amp;$AG37&amp;$AH37&amp;$AI37&amp;$AJ37))))</f>
        <v/>
      </c>
      <c r="M37" s="341" t="n"/>
      <c r="Q37">
        <f>IF(TRIM($C37)="","enunciado","")</f>
        <v/>
      </c>
      <c r="R37">
        <f>IF(TRIM($K37)="",IF(COUNTIF($Q37:$Q37,"?*")&gt;0,", ","")&amp;"parcial","")</f>
        <v/>
      </c>
      <c r="S37">
        <f>IF(AND(TRIM($K37)&lt;&gt;"",TRIM($K37)&lt;&gt;VALIDACIONES!$G$1),IF(COUNTIF($Q37:$R37,"?*")&gt;0,", ","")&amp;"parcial distinto a "&amp;VALIDACIONES!$G$1,"")</f>
        <v/>
      </c>
      <c r="T37">
        <f>IF(AND(OR($A37="Ítems agrupados por caso clínico o problema",$A37="Subítem de caso o problema",$A37="Emparejamiento Ampliado",$A37="Opción de Emparejamiento Ampliado"),TRIM($B37)=""),IF(COUNTIF($Q37:$S37,"?*")&gt;0,", ","")&amp;"grupo","")</f>
        <v/>
      </c>
      <c r="U37">
        <f>IF(AND(OR($A37="Verdadero o Falso Simple",$A37="Respuesta A/B/Ambas/Ninguna",$A37="Verdadero o Falso Complejas",$A37="Selección de la mejor respuesta",$A37="Subítem de caso o problema",$A37="Opción de Emparejamiento Ampliado"),TRIM($I37)=""),IF(COUNTIF($Q37:$T37,"?*")&gt;0,", ","")&amp;"respuesta_correcta","")</f>
        <v/>
      </c>
      <c r="V37">
        <f>IF(AND(OR($A37="Verdadero o Falso Simple",$A37="Respuesta A/B/Ambas/Ninguna",$A37="Verdadero o Falso Complejas",$A37="Selección de la mejor respuesta",$A37="Subítem de caso o problema",$A37="Opción de Emparejamiento Ampliado"),TRIM($J37)=""),IF(COUNTIF($Q37:$U37,"?*")&gt;0,", ","")&amp;"dificultad","")</f>
        <v/>
      </c>
      <c r="W37">
        <f>IF(AND(OR($A37="Ítems agrupados por caso clínico o problema",$A37="Emparejamiento Ampliado"),TRIM($I37)&lt;&gt;""),IF(COUNTIF($Q37:$V37,"?*")&gt;0,", ","")&amp;"respuesta debe ir vacia","")</f>
        <v/>
      </c>
      <c r="X37">
        <f>IF(AND(OR($A37="Ítems agrupados por caso clínico o problema",$A37="Emparejamiento Ampliado"),TRIM($J37)&lt;&gt;""),IF(COUNTIF($Q37:$W37,"?*")&gt;0,", ","")&amp;"dificultad debe ir vacia","")</f>
        <v/>
      </c>
      <c r="Y37">
        <f>IF(AND($A37="Verdadero o Falso Simple",OR(COUNTIF($D37:$E37,"?*")&lt;2,COUNTIF($F37:$H37,"?*")&gt;0)),IF(COUNTIF($Q37:$X37,"?*")&gt;0,", ","")&amp;"incisos A-B","")</f>
        <v/>
      </c>
      <c r="Z37">
        <f>IF(AND($A37="Verdadero o Falso Simple",TRIM($I37)&lt;&gt;"",NOT(OR(LEFT(TRIM($I37),1)="A",LEFT(TRIM($I37),1)="B"))),IF(COUNTIF($Q37:$Y37,"?*")&gt;0,", ","")&amp;"respuesta A-B","")</f>
        <v/>
      </c>
      <c r="AA37">
        <f>IF(AND($A37="Respuesta A/B/Ambas/Ninguna",COUNTIF($D37:$G37,"?*")&lt;4),IF(COUNTIF($Q37:$Z37,"?*")&gt;0,", ","")&amp;"opciones A-D","")</f>
        <v/>
      </c>
      <c r="AB37">
        <f>IF(AND($A37="Respuesta A/B/Ambas/Ninguna",COUNTIF($H37:$H37,"?*")&gt;0),IF(COUNTIF($Q37:$AA37,"?*")&gt;0,", ","")&amp;"opcion E deshabilitada","")</f>
        <v/>
      </c>
      <c r="AC37">
        <f>IF(AND($A37="Respuesta A/B/Ambas/Ninguna",TRIM($I37)&lt;&gt;"",NOT(OR(LEFT(TRIM($I37),1)="A",LEFT(TRIM($I37),1)="B",LEFT(TRIM($I37),1)="C",LEFT(TRIM($I37),1)="D"))),IF(COUNTIF($Q37:$AB37,"?*")&gt;0,", ","")&amp;"respuesta A-D","")</f>
        <v/>
      </c>
      <c r="AD37">
        <f>IF(AND($A37="Verdadero o Falso Complejas",OR(LEN(TRIM(SUBSTITUTE($D37,"1.","")))=0,LEN(TRIM(SUBSTITUTE($E37,"2.","")))=0,LEN(TRIM(SUBSTITUTE($F37,"3.","")))=0,LEN(TRIM(SUBSTITUTE($G37,"4.","")))=0)),IF(COUNTIF($Q37:$AC37,"?*")&gt;0,", ","")&amp;"incisos 1-4","")</f>
        <v/>
      </c>
      <c r="AE37">
        <f>IF(AND($A37="Verdadero o Falso Complejas",COUNTIF($H37:$H37,"?*")&gt;0),IF(COUNTIF($Q37:$AD37,"?*")&gt;0,", ","")&amp;"opcion E deshabilitada","")</f>
        <v/>
      </c>
      <c r="AF37">
        <f>IF(AND($A37="Verdadero o Falso Complejas",TRIM($I37)&lt;&gt;"",NOT(OR(LEFT(TRIM($I37),1)="A",LEFT(TRIM($I37),1)="B",LEFT(TRIM($I37),1)="C",LEFT(TRIM($I37),1)="D",LEFT(TRIM($I37),1)="E"))),IF(COUNTIF($Q37:$AE37,"?*")&gt;0,", ","")&amp;"respuesta A-E","")</f>
        <v/>
      </c>
      <c r="AG37">
        <f>IF(AND(OR($A37="Selección de la mejor respuesta",$A37="Subítem de caso o problema"),COUNTA($D37:$H37)&lt;5),IF(COUNTIF($Q37:$AF37,"?*")&gt;0,", ","")&amp;"incisos A-E","")</f>
        <v/>
      </c>
      <c r="AH37">
        <f>IF(AND(OR($A37="Selección de la mejor respuesta",$A37="Subítem de caso o problema"),TRIM($I37)&lt;&gt;"",NOT(OR(LEFT(TRIM($I37),1)="A",LEFT(TRIM($I37),1)="B",LEFT(TRIM($I37),1)="C",LEFT(TRIM($I37),1)="D",LEFT(TRIM($I37),1)="E"))),IF(COUNTIF($Q37:$AG37,"?*")&gt;0,", ","")&amp;"respuesta A-E","")</f>
        <v/>
      </c>
      <c r="AI37">
        <f>IF(AND(OR($A37="Ítems agrupados por caso clínico o problema",$A37="Opción de Emparejamiento Ampliado"),COUNTIF($D37:$H37,"?*")&gt;0),IF(COUNTIF($Q37:$AH37,"?*")&gt;0,", ","")&amp;"sin incisos","")</f>
        <v/>
      </c>
      <c r="AJ37">
        <f>IF(AND($A37="Emparejamiento Ampliado",COUNTIF($D37:$H37,"?*")&lt;2),IF(COUNTIF($Q37:$AI37,"?*")&gt;0,", ","")&amp;"minimo 2 claves","")</f>
        <v/>
      </c>
      <c r="AK37">
        <f>IF(AND($A37="Opción de Emparejamiento Ampliado",NOT(OR(LEFT(TRIM($I37),1)="A",LEFT(TRIM($I37),1)="B",LEFT(TRIM($I37),1)="C",LEFT(TRIM($I37),1)="D",LEFT(TRIM($I37),1)="E"))),IF(COUNTIF($Q37:$AJ37,"?*")&gt;0,", ","")&amp;"respuesta A-E","")</f>
        <v/>
      </c>
      <c r="AL37">
        <f>IF(TRIM($K37)="",IF(COUNTIF($M37:$M37,"?*")&gt;0,", ","")&amp;"parcial","")</f>
        <v/>
      </c>
      <c r="AM37">
        <f>IF(AND(TRIM($K37)&lt;&gt;"",TRIM($K37)&lt;&gt;VALIDACIONES!$G$1),IF(COUNTIF($M37:$N37,"?*")&gt;0,", ","")&amp;"parcial distinto a "&amp;VALIDACIONES!$G$1,"")</f>
        <v/>
      </c>
      <c r="AN37">
        <f>IF(AND(OR($A37="Ítems agrupados por caso clínico o problema",$A37="Subítem de caso o problema",$A37="Emparejamiento Ampliado",$A37="Opción de Emparejamiento Ampliado"),TRIM($B37)=""),IF(COUNTIF($M37:$O37,"?*")&gt;0,", ","")&amp;"grupo","")</f>
        <v/>
      </c>
    </row>
    <row r="38" ht="24" customHeight="1">
      <c r="A38" s="344" t="n"/>
      <c r="B38" s="344" t="n"/>
      <c r="C38" s="344" t="n"/>
      <c r="D38" s="344">
        <f>IF($A38="Verdadero o Falso Simple","Verdadero",IF($A38="Respuesta A/B/Ambas/Ninguna","A. Si la primera es verdadera",IF($A38="Verdadero o Falso Complejas","1. ","")))</f>
        <v/>
      </c>
      <c r="E38" s="344">
        <f>IF($A38="Verdadero o Falso Simple","Falso",IF($A38="Respuesta A/B/Ambas/Ninguna","B. Si la segunda es verdadera",IF($A38="Verdadero o Falso Complejas","2. ","")))</f>
        <v/>
      </c>
      <c r="F38" s="344">
        <f>IF($A38="Respuesta A/B/Ambas/Ninguna","C. Si ambas son verdaderas",IF($A38="Verdadero o Falso Complejas","3. ",""))</f>
        <v/>
      </c>
      <c r="G38" s="344">
        <f>IF($A38="Respuesta A/B/Ambas/Ninguna","D. Si ninguna es verdadera",IF($A38="Verdadero o Falso Complejas","4. ",""))</f>
        <v/>
      </c>
      <c r="H38" s="344">
        <f>IF($A38="Verdadero o Falso Simple","",IF($A38="Respuesta A/B/Ambas/Ninguna","",IF($A38="Verdadero o Falso Complejas","","")))</f>
        <v/>
      </c>
      <c r="I38" s="344" t="n"/>
      <c r="J38" s="344" t="n">
        <v>2</v>
      </c>
      <c r="K38" s="344" t="inlineStr">
        <is>
          <t>2P</t>
        </is>
      </c>
      <c r="L38" s="345">
        <f>IF(TRIM($A38)="","",IF(OR($A38="Selección de la mejor respuesta",$A38="SELECCION_MEJOR_RESPUESTA",$A38="Subítem de caso o problema",$A38="SUBITEM_CASO"),IF(TRIM($C38)="","Completar enunciado",IF(SUMPRODUCT(--(LEN(TRIM($D38:$H38&amp;""))&gt;0))&lt;5,"Completar opciones A-E",IF(AND(TRIM($I38)&lt;&gt;"",OR(LEFT(TRIM($I38),1)="A",LEFT(TRIM($I38),1)="B",LEFT(TRIM($I38),1)="C",LEFT(TRIM($I38),1)="D",LEFT(TRIM($I38),1)="E")),"OK","Completar respuesta correcta A-E"))),IF(TRIM($A38)="","",IF(COUNTIF($Q38:$AJ38,"?*")=0,"OK","Falta revisar: "&amp;$Q38&amp;$R38&amp;$S38&amp;$T38&amp;$U38&amp;$V38&amp;$W38&amp;$X38&amp;$Y38&amp;$Z38&amp;$AA38&amp;$AB38&amp;$AC38&amp;$AD38&amp;$AE38&amp;$AF38&amp;$AG38&amp;$AH38&amp;$AI38&amp;$AJ38))))</f>
        <v/>
      </c>
      <c r="M38" s="341" t="n"/>
      <c r="Q38">
        <f>IF(TRIM($C38)="","enunciado","")</f>
        <v/>
      </c>
      <c r="R38">
        <f>IF(TRIM($K38)="",IF(COUNTIF($Q38:$Q38,"?*")&gt;0,", ","")&amp;"parcial","")</f>
        <v/>
      </c>
      <c r="S38">
        <f>IF(AND(TRIM($K38)&lt;&gt;"",TRIM($K38)&lt;&gt;VALIDACIONES!$G$1),IF(COUNTIF($Q38:$R38,"?*")&gt;0,", ","")&amp;"parcial distinto a "&amp;VALIDACIONES!$G$1,"")</f>
        <v/>
      </c>
      <c r="T38">
        <f>IF(AND(OR($A38="Ítems agrupados por caso clínico o problema",$A38="Subítem de caso o problema",$A38="Emparejamiento Ampliado",$A38="Opción de Emparejamiento Ampliado"),TRIM($B38)=""),IF(COUNTIF($Q38:$S38,"?*")&gt;0,", ","")&amp;"grupo","")</f>
        <v/>
      </c>
      <c r="U38">
        <f>IF(AND(OR($A38="Verdadero o Falso Simple",$A38="Respuesta A/B/Ambas/Ninguna",$A38="Verdadero o Falso Complejas",$A38="Selección de la mejor respuesta",$A38="Subítem de caso o problema",$A38="Opción de Emparejamiento Ampliado"),TRIM($I38)=""),IF(COUNTIF($Q38:$T38,"?*")&gt;0,", ","")&amp;"respuesta_correcta","")</f>
        <v/>
      </c>
      <c r="V38">
        <f>IF(AND(OR($A38="Verdadero o Falso Simple",$A38="Respuesta A/B/Ambas/Ninguna",$A38="Verdadero o Falso Complejas",$A38="Selección de la mejor respuesta",$A38="Subítem de caso o problema",$A38="Opción de Emparejamiento Ampliado"),TRIM($J38)=""),IF(COUNTIF($Q38:$U38,"?*")&gt;0,", ","")&amp;"dificultad","")</f>
        <v/>
      </c>
      <c r="W38">
        <f>IF(AND(OR($A38="Ítems agrupados por caso clínico o problema",$A38="Emparejamiento Ampliado"),TRIM($I38)&lt;&gt;""),IF(COUNTIF($Q38:$V38,"?*")&gt;0,", ","")&amp;"respuesta debe ir vacia","")</f>
        <v/>
      </c>
      <c r="X38">
        <f>IF(AND(OR($A38="Ítems agrupados por caso clínico o problema",$A38="Emparejamiento Ampliado"),TRIM($J38)&lt;&gt;""),IF(COUNTIF($Q38:$W38,"?*")&gt;0,", ","")&amp;"dificultad debe ir vacia","")</f>
        <v/>
      </c>
      <c r="Y38">
        <f>IF(AND($A38="Verdadero o Falso Simple",OR(COUNTIF($D38:$E38,"?*")&lt;2,COUNTIF($F38:$H38,"?*")&gt;0)),IF(COUNTIF($Q38:$X38,"?*")&gt;0,", ","")&amp;"incisos A-B","")</f>
        <v/>
      </c>
      <c r="Z38">
        <f>IF(AND($A38="Verdadero o Falso Simple",TRIM($I38)&lt;&gt;"",NOT(OR(LEFT(TRIM($I38),1)="A",LEFT(TRIM($I38),1)="B"))),IF(COUNTIF($Q38:$Y38,"?*")&gt;0,", ","")&amp;"respuesta A-B","")</f>
        <v/>
      </c>
      <c r="AA38">
        <f>IF(AND($A38="Respuesta A/B/Ambas/Ninguna",COUNTIF($D38:$G38,"?*")&lt;4),IF(COUNTIF($Q38:$Z38,"?*")&gt;0,", ","")&amp;"opciones A-D","")</f>
        <v/>
      </c>
      <c r="AB38">
        <f>IF(AND($A38="Respuesta A/B/Ambas/Ninguna",COUNTIF($H38:$H38,"?*")&gt;0),IF(COUNTIF($Q38:$AA38,"?*")&gt;0,", ","")&amp;"opcion E deshabilitada","")</f>
        <v/>
      </c>
      <c r="AC38">
        <f>IF(AND($A38="Respuesta A/B/Ambas/Ninguna",TRIM($I38)&lt;&gt;"",NOT(OR(LEFT(TRIM($I38),1)="A",LEFT(TRIM($I38),1)="B",LEFT(TRIM($I38),1)="C",LEFT(TRIM($I38),1)="D"))),IF(COUNTIF($Q38:$AB38,"?*")&gt;0,", ","")&amp;"respuesta A-D","")</f>
        <v/>
      </c>
      <c r="AD38">
        <f>IF(AND($A38="Verdadero o Falso Complejas",OR(LEN(TRIM(SUBSTITUTE($D38,"1.","")))=0,LEN(TRIM(SUBSTITUTE($E38,"2.","")))=0,LEN(TRIM(SUBSTITUTE($F38,"3.","")))=0,LEN(TRIM(SUBSTITUTE($G38,"4.","")))=0)),IF(COUNTIF($Q38:$AC38,"?*")&gt;0,", ","")&amp;"incisos 1-4","")</f>
        <v/>
      </c>
      <c r="AE38">
        <f>IF(AND($A38="Verdadero o Falso Complejas",COUNTIF($H38:$H38,"?*")&gt;0),IF(COUNTIF($Q38:$AD38,"?*")&gt;0,", ","")&amp;"opcion E deshabilitada","")</f>
        <v/>
      </c>
      <c r="AF38">
        <f>IF(AND($A38="Verdadero o Falso Complejas",TRIM($I38)&lt;&gt;"",NOT(OR(LEFT(TRIM($I38),1)="A",LEFT(TRIM($I38),1)="B",LEFT(TRIM($I38),1)="C",LEFT(TRIM($I38),1)="D",LEFT(TRIM($I38),1)="E"))),IF(COUNTIF($Q38:$AE38,"?*")&gt;0,", ","")&amp;"respuesta A-E","")</f>
        <v/>
      </c>
      <c r="AG38">
        <f>IF(AND(OR($A38="Selección de la mejor respuesta",$A38="Subítem de caso o problema"),COUNTA($D38:$H38)&lt;5),IF(COUNTIF($Q38:$AF38,"?*")&gt;0,", ","")&amp;"incisos A-E","")</f>
        <v/>
      </c>
      <c r="AH38">
        <f>IF(AND(OR($A38="Selección de la mejor respuesta",$A38="Subítem de caso o problema"),TRIM($I38)&lt;&gt;"",NOT(OR(LEFT(TRIM($I38),1)="A",LEFT(TRIM($I38),1)="B",LEFT(TRIM($I38),1)="C",LEFT(TRIM($I38),1)="D",LEFT(TRIM($I38),1)="E"))),IF(COUNTIF($Q38:$AG38,"?*")&gt;0,", ","")&amp;"respuesta A-E","")</f>
        <v/>
      </c>
      <c r="AI38">
        <f>IF(AND(OR($A38="Ítems agrupados por caso clínico o problema",$A38="Opción de Emparejamiento Ampliado"),COUNTIF($D38:$H38,"?*")&gt;0),IF(COUNTIF($Q38:$AH38,"?*")&gt;0,", ","")&amp;"sin incisos","")</f>
        <v/>
      </c>
      <c r="AJ38">
        <f>IF(AND($A38="Emparejamiento Ampliado",COUNTIF($D38:$H38,"?*")&lt;2),IF(COUNTIF($Q38:$AI38,"?*")&gt;0,", ","")&amp;"minimo 2 claves","")</f>
        <v/>
      </c>
      <c r="AK38">
        <f>IF(AND($A38="Opción de Emparejamiento Ampliado",NOT(OR(LEFT(TRIM($I38),1)="A",LEFT(TRIM($I38),1)="B",LEFT(TRIM($I38),1)="C",LEFT(TRIM($I38),1)="D",LEFT(TRIM($I38),1)="E"))),IF(COUNTIF($Q38:$AJ38,"?*")&gt;0,", ","")&amp;"respuesta A-E","")</f>
        <v/>
      </c>
      <c r="AL38">
        <f>IF(TRIM($K38)="",IF(COUNTIF($M38:$M38,"?*")&gt;0,", ","")&amp;"parcial","")</f>
        <v/>
      </c>
      <c r="AM38">
        <f>IF(AND(TRIM($K38)&lt;&gt;"",TRIM($K38)&lt;&gt;VALIDACIONES!$G$1),IF(COUNTIF($M38:$N38,"?*")&gt;0,", ","")&amp;"parcial distinto a "&amp;VALIDACIONES!$G$1,"")</f>
        <v/>
      </c>
      <c r="AN38">
        <f>IF(AND(OR($A38="Ítems agrupados por caso clínico o problema",$A38="Subítem de caso o problema",$A38="Emparejamiento Ampliado",$A38="Opción de Emparejamiento Ampliado"),TRIM($B38)=""),IF(COUNTIF($M38:$O38,"?*")&gt;0,", ","")&amp;"grupo","")</f>
        <v/>
      </c>
    </row>
    <row r="39" ht="24" customHeight="1">
      <c r="A39" s="344" t="n"/>
      <c r="B39" s="344" t="n"/>
      <c r="C39" s="344" t="n"/>
      <c r="D39" s="344">
        <f>IF($A39="Verdadero o Falso Simple","Verdadero",IF($A39="Respuesta A/B/Ambas/Ninguna","A. Si la primera es verdadera",IF($A39="Verdadero o Falso Complejas","1. ","")))</f>
        <v/>
      </c>
      <c r="E39" s="344">
        <f>IF($A39="Verdadero o Falso Simple","Falso",IF($A39="Respuesta A/B/Ambas/Ninguna","B. Si la segunda es verdadera",IF($A39="Verdadero o Falso Complejas","2. ","")))</f>
        <v/>
      </c>
      <c r="F39" s="344">
        <f>IF($A39="Respuesta A/B/Ambas/Ninguna","C. Si ambas son verdaderas",IF($A39="Verdadero o Falso Complejas","3. ",""))</f>
        <v/>
      </c>
      <c r="G39" s="344">
        <f>IF($A39="Respuesta A/B/Ambas/Ninguna","D. Si ninguna es verdadera",IF($A39="Verdadero o Falso Complejas","4. ",""))</f>
        <v/>
      </c>
      <c r="H39" s="344">
        <f>IF($A39="Verdadero o Falso Simple","",IF($A39="Respuesta A/B/Ambas/Ninguna","",IF($A39="Verdadero o Falso Complejas","","")))</f>
        <v/>
      </c>
      <c r="I39" s="344" t="n"/>
      <c r="J39" s="344" t="n">
        <v>2</v>
      </c>
      <c r="K39" s="344" t="inlineStr">
        <is>
          <t>2P</t>
        </is>
      </c>
      <c r="L39" s="345">
        <f>IF(TRIM($A39)="","",IF(OR($A39="Selección de la mejor respuesta",$A39="SELECCION_MEJOR_RESPUESTA",$A39="Subítem de caso o problema",$A39="SUBITEM_CASO"),IF(TRIM($C39)="","Completar enunciado",IF(SUMPRODUCT(--(LEN(TRIM($D39:$H39&amp;""))&gt;0))&lt;5,"Completar opciones A-E",IF(AND(TRIM($I39)&lt;&gt;"",OR(LEFT(TRIM($I39),1)="A",LEFT(TRIM($I39),1)="B",LEFT(TRIM($I39),1)="C",LEFT(TRIM($I39),1)="D",LEFT(TRIM($I39),1)="E")),"OK","Completar respuesta correcta A-E"))),IF(TRIM($A39)="","",IF(COUNTIF($Q39:$AJ39,"?*")=0,"OK","Falta revisar: "&amp;$Q39&amp;$R39&amp;$S39&amp;$T39&amp;$U39&amp;$V39&amp;$W39&amp;$X39&amp;$Y39&amp;$Z39&amp;$AA39&amp;$AB39&amp;$AC39&amp;$AD39&amp;$AE39&amp;$AF39&amp;$AG39&amp;$AH39&amp;$AI39&amp;$AJ39))))</f>
        <v/>
      </c>
      <c r="M39" s="341" t="n"/>
      <c r="Q39">
        <f>IF(TRIM($C39)="","enunciado","")</f>
        <v/>
      </c>
      <c r="R39">
        <f>IF(TRIM($K39)="",IF(COUNTIF($Q39:$Q39,"?*")&gt;0,", ","")&amp;"parcial","")</f>
        <v/>
      </c>
      <c r="S39">
        <f>IF(AND(TRIM($K39)&lt;&gt;"",TRIM($K39)&lt;&gt;VALIDACIONES!$G$1),IF(COUNTIF($Q39:$R39,"?*")&gt;0,", ","")&amp;"parcial distinto a "&amp;VALIDACIONES!$G$1,"")</f>
        <v/>
      </c>
      <c r="T39">
        <f>IF(AND(OR($A39="Ítems agrupados por caso clínico o problema",$A39="Subítem de caso o problema",$A39="Emparejamiento Ampliado",$A39="Opción de Emparejamiento Ampliado"),TRIM($B39)=""),IF(COUNTIF($Q39:$S39,"?*")&gt;0,", ","")&amp;"grupo","")</f>
        <v/>
      </c>
      <c r="U39">
        <f>IF(AND(OR($A39="Verdadero o Falso Simple",$A39="Respuesta A/B/Ambas/Ninguna",$A39="Verdadero o Falso Complejas",$A39="Selección de la mejor respuesta",$A39="Subítem de caso o problema",$A39="Opción de Emparejamiento Ampliado"),TRIM($I39)=""),IF(COUNTIF($Q39:$T39,"?*")&gt;0,", ","")&amp;"respuesta_correcta","")</f>
        <v/>
      </c>
      <c r="V39">
        <f>IF(AND(OR($A39="Verdadero o Falso Simple",$A39="Respuesta A/B/Ambas/Ninguna",$A39="Verdadero o Falso Complejas",$A39="Selección de la mejor respuesta",$A39="Subítem de caso o problema",$A39="Opción de Emparejamiento Ampliado"),TRIM($J39)=""),IF(COUNTIF($Q39:$U39,"?*")&gt;0,", ","")&amp;"dificultad","")</f>
        <v/>
      </c>
      <c r="W39">
        <f>IF(AND(OR($A39="Ítems agrupados por caso clínico o problema",$A39="Emparejamiento Ampliado"),TRIM($I39)&lt;&gt;""),IF(COUNTIF($Q39:$V39,"?*")&gt;0,", ","")&amp;"respuesta debe ir vacia","")</f>
        <v/>
      </c>
      <c r="X39">
        <f>IF(AND(OR($A39="Ítems agrupados por caso clínico o problema",$A39="Emparejamiento Ampliado"),TRIM($J39)&lt;&gt;""),IF(COUNTIF($Q39:$W39,"?*")&gt;0,", ","")&amp;"dificultad debe ir vacia","")</f>
        <v/>
      </c>
      <c r="Y39">
        <f>IF(AND($A39="Verdadero o Falso Simple",OR(COUNTIF($D39:$E39,"?*")&lt;2,COUNTIF($F39:$H39,"?*")&gt;0)),IF(COUNTIF($Q39:$X39,"?*")&gt;0,", ","")&amp;"incisos A-B","")</f>
        <v/>
      </c>
      <c r="Z39">
        <f>IF(AND($A39="Verdadero o Falso Simple",TRIM($I39)&lt;&gt;"",NOT(OR(LEFT(TRIM($I39),1)="A",LEFT(TRIM($I39),1)="B"))),IF(COUNTIF($Q39:$Y39,"?*")&gt;0,", ","")&amp;"respuesta A-B","")</f>
        <v/>
      </c>
      <c r="AA39">
        <f>IF(AND($A39="Respuesta A/B/Ambas/Ninguna",COUNTIF($D39:$G39,"?*")&lt;4),IF(COUNTIF($Q39:$Z39,"?*")&gt;0,", ","")&amp;"opciones A-D","")</f>
        <v/>
      </c>
      <c r="AB39">
        <f>IF(AND($A39="Respuesta A/B/Ambas/Ninguna",COUNTIF($H39:$H39,"?*")&gt;0),IF(COUNTIF($Q39:$AA39,"?*")&gt;0,", ","")&amp;"opcion E deshabilitada","")</f>
        <v/>
      </c>
      <c r="AC39">
        <f>IF(AND($A39="Respuesta A/B/Ambas/Ninguna",TRIM($I39)&lt;&gt;"",NOT(OR(LEFT(TRIM($I39),1)="A",LEFT(TRIM($I39),1)="B",LEFT(TRIM($I39),1)="C",LEFT(TRIM($I39),1)="D"))),IF(COUNTIF($Q39:$AB39,"?*")&gt;0,", ","")&amp;"respuesta A-D","")</f>
        <v/>
      </c>
      <c r="AD39">
        <f>IF(AND($A39="Verdadero o Falso Complejas",OR(LEN(TRIM(SUBSTITUTE($D39,"1.","")))=0,LEN(TRIM(SUBSTITUTE($E39,"2.","")))=0,LEN(TRIM(SUBSTITUTE($F39,"3.","")))=0,LEN(TRIM(SUBSTITUTE($G39,"4.","")))=0)),IF(COUNTIF($Q39:$AC39,"?*")&gt;0,", ","")&amp;"incisos 1-4","")</f>
        <v/>
      </c>
      <c r="AE39">
        <f>IF(AND($A39="Verdadero o Falso Complejas",COUNTIF($H39:$H39,"?*")&gt;0),IF(COUNTIF($Q39:$AD39,"?*")&gt;0,", ","")&amp;"opcion E deshabilitada","")</f>
        <v/>
      </c>
      <c r="AF39">
        <f>IF(AND($A39="Verdadero o Falso Complejas",TRIM($I39)&lt;&gt;"",NOT(OR(LEFT(TRIM($I39),1)="A",LEFT(TRIM($I39),1)="B",LEFT(TRIM($I39),1)="C",LEFT(TRIM($I39),1)="D",LEFT(TRIM($I39),1)="E"))),IF(COUNTIF($Q39:$AE39,"?*")&gt;0,", ","")&amp;"respuesta A-E","")</f>
        <v/>
      </c>
      <c r="AG39">
        <f>IF(AND(OR($A39="Selección de la mejor respuesta",$A39="Subítem de caso o problema"),COUNTA($D39:$H39)&lt;5),IF(COUNTIF($Q39:$AF39,"?*")&gt;0,", ","")&amp;"incisos A-E","")</f>
        <v/>
      </c>
      <c r="AH39">
        <f>IF(AND(OR($A39="Selección de la mejor respuesta",$A39="Subítem de caso o problema"),TRIM($I39)&lt;&gt;"",NOT(OR(LEFT(TRIM($I39),1)="A",LEFT(TRIM($I39),1)="B",LEFT(TRIM($I39),1)="C",LEFT(TRIM($I39),1)="D",LEFT(TRIM($I39),1)="E"))),IF(COUNTIF($Q39:$AG39,"?*")&gt;0,", ","")&amp;"respuesta A-E","")</f>
        <v/>
      </c>
      <c r="AI39">
        <f>IF(AND(OR($A39="Ítems agrupados por caso clínico o problema",$A39="Opción de Emparejamiento Ampliado"),COUNTIF($D39:$H39,"?*")&gt;0),IF(COUNTIF($Q39:$AH39,"?*")&gt;0,", ","")&amp;"sin incisos","")</f>
        <v/>
      </c>
      <c r="AJ39">
        <f>IF(AND($A39="Emparejamiento Ampliado",COUNTIF($D39:$H39,"?*")&lt;2),IF(COUNTIF($Q39:$AI39,"?*")&gt;0,", ","")&amp;"minimo 2 claves","")</f>
        <v/>
      </c>
      <c r="AK39">
        <f>IF(AND($A39="Opción de Emparejamiento Ampliado",NOT(OR(LEFT(TRIM($I39),1)="A",LEFT(TRIM($I39),1)="B",LEFT(TRIM($I39),1)="C",LEFT(TRIM($I39),1)="D",LEFT(TRIM($I39),1)="E"))),IF(COUNTIF($Q39:$AJ39,"?*")&gt;0,", ","")&amp;"respuesta A-E","")</f>
        <v/>
      </c>
      <c r="AL39">
        <f>IF(TRIM($K39)="",IF(COUNTIF($M39:$M39,"?*")&gt;0,", ","")&amp;"parcial","")</f>
        <v/>
      </c>
      <c r="AM39">
        <f>IF(AND(TRIM($K39)&lt;&gt;"",TRIM($K39)&lt;&gt;VALIDACIONES!$G$1),IF(COUNTIF($M39:$N39,"?*")&gt;0,", ","")&amp;"parcial distinto a "&amp;VALIDACIONES!$G$1,"")</f>
        <v/>
      </c>
      <c r="AN39">
        <f>IF(AND(OR($A39="Ítems agrupados por caso clínico o problema",$A39="Subítem de caso o problema",$A39="Emparejamiento Ampliado",$A39="Opción de Emparejamiento Ampliado"),TRIM($B39)=""),IF(COUNTIF($M39:$O39,"?*")&gt;0,", ","")&amp;"grupo","")</f>
        <v/>
      </c>
    </row>
    <row r="40" ht="24" customHeight="1">
      <c r="A40" s="344" t="n"/>
      <c r="B40" s="344" t="n"/>
      <c r="C40" s="344" t="n"/>
      <c r="D40" s="344">
        <f>IF($A40="Verdadero o Falso Simple","Verdadero",IF($A40="Respuesta A/B/Ambas/Ninguna","A. Si la primera es verdadera",IF($A40="Verdadero o Falso Complejas","1. ","")))</f>
        <v/>
      </c>
      <c r="E40" s="344">
        <f>IF($A40="Verdadero o Falso Simple","Falso",IF($A40="Respuesta A/B/Ambas/Ninguna","B. Si la segunda es verdadera",IF($A40="Verdadero o Falso Complejas","2. ","")))</f>
        <v/>
      </c>
      <c r="F40" s="344">
        <f>IF($A40="Respuesta A/B/Ambas/Ninguna","C. Si ambas son verdaderas",IF($A40="Verdadero o Falso Complejas","3. ",""))</f>
        <v/>
      </c>
      <c r="G40" s="344">
        <f>IF($A40="Respuesta A/B/Ambas/Ninguna","D. Si ninguna es verdadera",IF($A40="Verdadero o Falso Complejas","4. ",""))</f>
        <v/>
      </c>
      <c r="H40" s="344">
        <f>IF($A40="Verdadero o Falso Simple","",IF($A40="Respuesta A/B/Ambas/Ninguna","",IF($A40="Verdadero o Falso Complejas","","")))</f>
        <v/>
      </c>
      <c r="I40" s="344" t="n"/>
      <c r="J40" s="344" t="n">
        <v>2</v>
      </c>
      <c r="K40" s="344" t="inlineStr">
        <is>
          <t>2P</t>
        </is>
      </c>
      <c r="L40" s="345">
        <f>IF(TRIM($A40)="","",IF(OR($A40="Selección de la mejor respuesta",$A40="SELECCION_MEJOR_RESPUESTA",$A40="Subítem de caso o problema",$A40="SUBITEM_CASO"),IF(TRIM($C40)="","Completar enunciado",IF(SUMPRODUCT(--(LEN(TRIM($D40:$H40&amp;""))&gt;0))&lt;5,"Completar opciones A-E",IF(AND(TRIM($I40)&lt;&gt;"",OR(LEFT(TRIM($I40),1)="A",LEFT(TRIM($I40),1)="B",LEFT(TRIM($I40),1)="C",LEFT(TRIM($I40),1)="D",LEFT(TRIM($I40),1)="E")),"OK","Completar respuesta correcta A-E"))),IF(TRIM($A40)="","",IF(COUNTIF($Q40:$AJ40,"?*")=0,"OK","Falta revisar: "&amp;$Q40&amp;$R40&amp;$S40&amp;$T40&amp;$U40&amp;$V40&amp;$W40&amp;$X40&amp;$Y40&amp;$Z40&amp;$AA40&amp;$AB40&amp;$AC40&amp;$AD40&amp;$AE40&amp;$AF40&amp;$AG40&amp;$AH40&amp;$AI40&amp;$AJ40))))</f>
        <v/>
      </c>
      <c r="M40" s="341" t="n"/>
      <c r="Q40">
        <f>IF(TRIM($C40)="","enunciado","")</f>
        <v/>
      </c>
      <c r="R40">
        <f>IF(TRIM($K40)="",IF(COUNTIF($Q40:$Q40,"?*")&gt;0,", ","")&amp;"parcial","")</f>
        <v/>
      </c>
      <c r="S40">
        <f>IF(AND(TRIM($K40)&lt;&gt;"",TRIM($K40)&lt;&gt;VALIDACIONES!$G$1),IF(COUNTIF($Q40:$R40,"?*")&gt;0,", ","")&amp;"parcial distinto a "&amp;VALIDACIONES!$G$1,"")</f>
        <v/>
      </c>
      <c r="T40">
        <f>IF(AND(OR($A40="Ítems agrupados por caso clínico o problema",$A40="Subítem de caso o problema",$A40="Emparejamiento Ampliado",$A40="Opción de Emparejamiento Ampliado"),TRIM($B40)=""),IF(COUNTIF($Q40:$S40,"?*")&gt;0,", ","")&amp;"grupo","")</f>
        <v/>
      </c>
      <c r="U40">
        <f>IF(AND(OR($A40="Verdadero o Falso Simple",$A40="Respuesta A/B/Ambas/Ninguna",$A40="Verdadero o Falso Complejas",$A40="Selección de la mejor respuesta",$A40="Subítem de caso o problema",$A40="Opción de Emparejamiento Ampliado"),TRIM($I40)=""),IF(COUNTIF($Q40:$T40,"?*")&gt;0,", ","")&amp;"respuesta_correcta","")</f>
        <v/>
      </c>
      <c r="V40">
        <f>IF(AND(OR($A40="Verdadero o Falso Simple",$A40="Respuesta A/B/Ambas/Ninguna",$A40="Verdadero o Falso Complejas",$A40="Selección de la mejor respuesta",$A40="Subítem de caso o problema",$A40="Opción de Emparejamiento Ampliado"),TRIM($J40)=""),IF(COUNTIF($Q40:$U40,"?*")&gt;0,", ","")&amp;"dificultad","")</f>
        <v/>
      </c>
      <c r="W40">
        <f>IF(AND(OR($A40="Ítems agrupados por caso clínico o problema",$A40="Emparejamiento Ampliado"),TRIM($I40)&lt;&gt;""),IF(COUNTIF($Q40:$V40,"?*")&gt;0,", ","")&amp;"respuesta debe ir vacia","")</f>
        <v/>
      </c>
      <c r="X40">
        <f>IF(AND(OR($A40="Ítems agrupados por caso clínico o problema",$A40="Emparejamiento Ampliado"),TRIM($J40)&lt;&gt;""),IF(COUNTIF($Q40:$W40,"?*")&gt;0,", ","")&amp;"dificultad debe ir vacia","")</f>
        <v/>
      </c>
      <c r="Y40">
        <f>IF(AND($A40="Verdadero o Falso Simple",OR(COUNTIF($D40:$E40,"?*")&lt;2,COUNTIF($F40:$H40,"?*")&gt;0)),IF(COUNTIF($Q40:$X40,"?*")&gt;0,", ","")&amp;"incisos A-B","")</f>
        <v/>
      </c>
      <c r="Z40">
        <f>IF(AND($A40="Verdadero o Falso Simple",TRIM($I40)&lt;&gt;"",NOT(OR(LEFT(TRIM($I40),1)="A",LEFT(TRIM($I40),1)="B"))),IF(COUNTIF($Q40:$Y40,"?*")&gt;0,", ","")&amp;"respuesta A-B","")</f>
        <v/>
      </c>
      <c r="AA40">
        <f>IF(AND($A40="Respuesta A/B/Ambas/Ninguna",COUNTIF($D40:$G40,"?*")&lt;4),IF(COUNTIF($Q40:$Z40,"?*")&gt;0,", ","")&amp;"opciones A-D","")</f>
        <v/>
      </c>
      <c r="AB40">
        <f>IF(AND($A40="Respuesta A/B/Ambas/Ninguna",COUNTIF($H40:$H40,"?*")&gt;0),IF(COUNTIF($Q40:$AA40,"?*")&gt;0,", ","")&amp;"opcion E deshabilitada","")</f>
        <v/>
      </c>
      <c r="AC40">
        <f>IF(AND($A40="Respuesta A/B/Ambas/Ninguna",TRIM($I40)&lt;&gt;"",NOT(OR(LEFT(TRIM($I40),1)="A",LEFT(TRIM($I40),1)="B",LEFT(TRIM($I40),1)="C",LEFT(TRIM($I40),1)="D"))),IF(COUNTIF($Q40:$AB40,"?*")&gt;0,", ","")&amp;"respuesta A-D","")</f>
        <v/>
      </c>
      <c r="AD40">
        <f>IF(AND($A40="Verdadero o Falso Complejas",OR(LEN(TRIM(SUBSTITUTE($D40,"1.","")))=0,LEN(TRIM(SUBSTITUTE($E40,"2.","")))=0,LEN(TRIM(SUBSTITUTE($F40,"3.","")))=0,LEN(TRIM(SUBSTITUTE($G40,"4.","")))=0)),IF(COUNTIF($Q40:$AC40,"?*")&gt;0,", ","")&amp;"incisos 1-4","")</f>
        <v/>
      </c>
      <c r="AE40">
        <f>IF(AND($A40="Verdadero o Falso Complejas",COUNTIF($H40:$H40,"?*")&gt;0),IF(COUNTIF($Q40:$AD40,"?*")&gt;0,", ","")&amp;"opcion E deshabilitada","")</f>
        <v/>
      </c>
      <c r="AF40">
        <f>IF(AND($A40="Verdadero o Falso Complejas",TRIM($I40)&lt;&gt;"",NOT(OR(LEFT(TRIM($I40),1)="A",LEFT(TRIM($I40),1)="B",LEFT(TRIM($I40),1)="C",LEFT(TRIM($I40),1)="D",LEFT(TRIM($I40),1)="E"))),IF(COUNTIF($Q40:$AE40,"?*")&gt;0,", ","")&amp;"respuesta A-E","")</f>
        <v/>
      </c>
      <c r="AG40">
        <f>IF(AND(OR($A40="Selección de la mejor respuesta",$A40="Subítem de caso o problema"),COUNTA($D40:$H40)&lt;5),IF(COUNTIF($Q40:$AF40,"?*")&gt;0,", ","")&amp;"incisos A-E","")</f>
        <v/>
      </c>
      <c r="AH40">
        <f>IF(AND(OR($A40="Selección de la mejor respuesta",$A40="Subítem de caso o problema"),TRIM($I40)&lt;&gt;"",NOT(OR(LEFT(TRIM($I40),1)="A",LEFT(TRIM($I40),1)="B",LEFT(TRIM($I40),1)="C",LEFT(TRIM($I40),1)="D",LEFT(TRIM($I40),1)="E"))),IF(COUNTIF($Q40:$AG40,"?*")&gt;0,", ","")&amp;"respuesta A-E","")</f>
        <v/>
      </c>
      <c r="AI40">
        <f>IF(AND(OR($A40="Ítems agrupados por caso clínico o problema",$A40="Opción de Emparejamiento Ampliado"),COUNTIF($D40:$H40,"?*")&gt;0),IF(COUNTIF($Q40:$AH40,"?*")&gt;0,", ","")&amp;"sin incisos","")</f>
        <v/>
      </c>
      <c r="AJ40">
        <f>IF(AND($A40="Emparejamiento Ampliado",COUNTIF($D40:$H40,"?*")&lt;2),IF(COUNTIF($Q40:$AI40,"?*")&gt;0,", ","")&amp;"minimo 2 claves","")</f>
        <v/>
      </c>
      <c r="AK40">
        <f>IF(AND($A40="Opción de Emparejamiento Ampliado",NOT(OR(LEFT(TRIM($I40),1)="A",LEFT(TRIM($I40),1)="B",LEFT(TRIM($I40),1)="C",LEFT(TRIM($I40),1)="D",LEFT(TRIM($I40),1)="E"))),IF(COUNTIF($Q40:$AJ40,"?*")&gt;0,", ","")&amp;"respuesta A-E","")</f>
        <v/>
      </c>
      <c r="AL40">
        <f>IF(TRIM($K40)="",IF(COUNTIF($M40:$M40,"?*")&gt;0,", ","")&amp;"parcial","")</f>
        <v/>
      </c>
      <c r="AM40">
        <f>IF(AND(TRIM($K40)&lt;&gt;"",TRIM($K40)&lt;&gt;VALIDACIONES!$G$1),IF(COUNTIF($M40:$N40,"?*")&gt;0,", ","")&amp;"parcial distinto a "&amp;VALIDACIONES!$G$1,"")</f>
        <v/>
      </c>
      <c r="AN40">
        <f>IF(AND(OR($A40="Ítems agrupados por caso clínico o problema",$A40="Subítem de caso o problema",$A40="Emparejamiento Ampliado",$A40="Opción de Emparejamiento Ampliado"),TRIM($B40)=""),IF(COUNTIF($M40:$O40,"?*")&gt;0,", ","")&amp;"grupo","")</f>
        <v/>
      </c>
    </row>
    <row r="41" ht="24" customHeight="1">
      <c r="A41" s="344" t="n"/>
      <c r="B41" s="344" t="n"/>
      <c r="C41" s="344" t="n"/>
      <c r="D41" s="344">
        <f>IF($A41="Verdadero o Falso Simple","Verdadero",IF($A41="Respuesta A/B/Ambas/Ninguna","A. Si la primera es verdadera",IF($A41="Verdadero o Falso Complejas","1. ","")))</f>
        <v/>
      </c>
      <c r="E41" s="344">
        <f>IF($A41="Verdadero o Falso Simple","Falso",IF($A41="Respuesta A/B/Ambas/Ninguna","B. Si la segunda es verdadera",IF($A41="Verdadero o Falso Complejas","2. ","")))</f>
        <v/>
      </c>
      <c r="F41" s="344">
        <f>IF($A41="Respuesta A/B/Ambas/Ninguna","C. Si ambas son verdaderas",IF($A41="Verdadero o Falso Complejas","3. ",""))</f>
        <v/>
      </c>
      <c r="G41" s="344">
        <f>IF($A41="Respuesta A/B/Ambas/Ninguna","D. Si ninguna es verdadera",IF($A41="Verdadero o Falso Complejas","4. ",""))</f>
        <v/>
      </c>
      <c r="H41" s="344">
        <f>IF($A41="Verdadero o Falso Simple","",IF($A41="Respuesta A/B/Ambas/Ninguna","",IF($A41="Verdadero o Falso Complejas","","")))</f>
        <v/>
      </c>
      <c r="I41" s="344" t="n"/>
      <c r="J41" s="344" t="n">
        <v>2</v>
      </c>
      <c r="K41" s="344" t="inlineStr">
        <is>
          <t>2P</t>
        </is>
      </c>
      <c r="L41" s="345">
        <f>IF(TRIM($A41)="","",IF(OR($A41="Selección de la mejor respuesta",$A41="SELECCION_MEJOR_RESPUESTA",$A41="Subítem de caso o problema",$A41="SUBITEM_CASO"),IF(TRIM($C41)="","Completar enunciado",IF(SUMPRODUCT(--(LEN(TRIM($D41:$H41&amp;""))&gt;0))&lt;5,"Completar opciones A-E",IF(AND(TRIM($I41)&lt;&gt;"",OR(LEFT(TRIM($I41),1)="A",LEFT(TRIM($I41),1)="B",LEFT(TRIM($I41),1)="C",LEFT(TRIM($I41),1)="D",LEFT(TRIM($I41),1)="E")),"OK","Completar respuesta correcta A-E"))),IF(TRIM($A41)="","",IF(COUNTIF($Q41:$AJ41,"?*")=0,"OK","Falta revisar: "&amp;$Q41&amp;$R41&amp;$S41&amp;$T41&amp;$U41&amp;$V41&amp;$W41&amp;$X41&amp;$Y41&amp;$Z41&amp;$AA41&amp;$AB41&amp;$AC41&amp;$AD41&amp;$AE41&amp;$AF41&amp;$AG41&amp;$AH41&amp;$AI41&amp;$AJ41))))</f>
        <v/>
      </c>
      <c r="M41" s="341" t="n"/>
      <c r="Q41">
        <f>IF(TRIM($C41)="","enunciado","")</f>
        <v/>
      </c>
      <c r="R41">
        <f>IF(TRIM($K41)="",IF(COUNTIF($Q41:$Q41,"?*")&gt;0,", ","")&amp;"parcial","")</f>
        <v/>
      </c>
      <c r="S41">
        <f>IF(AND(TRIM($K41)&lt;&gt;"",TRIM($K41)&lt;&gt;VALIDACIONES!$G$1),IF(COUNTIF($Q41:$R41,"?*")&gt;0,", ","")&amp;"parcial distinto a "&amp;VALIDACIONES!$G$1,"")</f>
        <v/>
      </c>
      <c r="T41">
        <f>IF(AND(OR($A41="Ítems agrupados por caso clínico o problema",$A41="Subítem de caso o problema",$A41="Emparejamiento Ampliado",$A41="Opción de Emparejamiento Ampliado"),TRIM($B41)=""),IF(COUNTIF($Q41:$S41,"?*")&gt;0,", ","")&amp;"grupo","")</f>
        <v/>
      </c>
      <c r="U41">
        <f>IF(AND(OR($A41="Verdadero o Falso Simple",$A41="Respuesta A/B/Ambas/Ninguna",$A41="Verdadero o Falso Complejas",$A41="Selección de la mejor respuesta",$A41="Subítem de caso o problema",$A41="Opción de Emparejamiento Ampliado"),TRIM($I41)=""),IF(COUNTIF($Q41:$T41,"?*")&gt;0,", ","")&amp;"respuesta_correcta","")</f>
        <v/>
      </c>
      <c r="V41">
        <f>IF(AND(OR($A41="Verdadero o Falso Simple",$A41="Respuesta A/B/Ambas/Ninguna",$A41="Verdadero o Falso Complejas",$A41="Selección de la mejor respuesta",$A41="Subítem de caso o problema",$A41="Opción de Emparejamiento Ampliado"),TRIM($J41)=""),IF(COUNTIF($Q41:$U41,"?*")&gt;0,", ","")&amp;"dificultad","")</f>
        <v/>
      </c>
      <c r="W41">
        <f>IF(AND(OR($A41="Ítems agrupados por caso clínico o problema",$A41="Emparejamiento Ampliado"),TRIM($I41)&lt;&gt;""),IF(COUNTIF($Q41:$V41,"?*")&gt;0,", ","")&amp;"respuesta debe ir vacia","")</f>
        <v/>
      </c>
      <c r="X41">
        <f>IF(AND(OR($A41="Ítems agrupados por caso clínico o problema",$A41="Emparejamiento Ampliado"),TRIM($J41)&lt;&gt;""),IF(COUNTIF($Q41:$W41,"?*")&gt;0,", ","")&amp;"dificultad debe ir vacia","")</f>
        <v/>
      </c>
      <c r="Y41">
        <f>IF(AND($A41="Verdadero o Falso Simple",OR(COUNTIF($D41:$E41,"?*")&lt;2,COUNTIF($F41:$H41,"?*")&gt;0)),IF(COUNTIF($Q41:$X41,"?*")&gt;0,", ","")&amp;"incisos A-B","")</f>
        <v/>
      </c>
      <c r="Z41">
        <f>IF(AND($A41="Verdadero o Falso Simple",TRIM($I41)&lt;&gt;"",NOT(OR(LEFT(TRIM($I41),1)="A",LEFT(TRIM($I41),1)="B"))),IF(COUNTIF($Q41:$Y41,"?*")&gt;0,", ","")&amp;"respuesta A-B","")</f>
        <v/>
      </c>
      <c r="AA41">
        <f>IF(AND($A41="Respuesta A/B/Ambas/Ninguna",COUNTIF($D41:$G41,"?*")&lt;4),IF(COUNTIF($Q41:$Z41,"?*")&gt;0,", ","")&amp;"opciones A-D","")</f>
        <v/>
      </c>
      <c r="AB41">
        <f>IF(AND($A41="Respuesta A/B/Ambas/Ninguna",COUNTIF($H41:$H41,"?*")&gt;0),IF(COUNTIF($Q41:$AA41,"?*")&gt;0,", ","")&amp;"opcion E deshabilitada","")</f>
        <v/>
      </c>
      <c r="AC41">
        <f>IF(AND($A41="Respuesta A/B/Ambas/Ninguna",TRIM($I41)&lt;&gt;"",NOT(OR(LEFT(TRIM($I41),1)="A",LEFT(TRIM($I41),1)="B",LEFT(TRIM($I41),1)="C",LEFT(TRIM($I41),1)="D"))),IF(COUNTIF($Q41:$AB41,"?*")&gt;0,", ","")&amp;"respuesta A-D","")</f>
        <v/>
      </c>
      <c r="AD41">
        <f>IF(AND($A41="Verdadero o Falso Complejas",OR(LEN(TRIM(SUBSTITUTE($D41,"1.","")))=0,LEN(TRIM(SUBSTITUTE($E41,"2.","")))=0,LEN(TRIM(SUBSTITUTE($F41,"3.","")))=0,LEN(TRIM(SUBSTITUTE($G41,"4.","")))=0)),IF(COUNTIF($Q41:$AC41,"?*")&gt;0,", ","")&amp;"incisos 1-4","")</f>
        <v/>
      </c>
      <c r="AE41">
        <f>IF(AND($A41="Verdadero o Falso Complejas",COUNTIF($H41:$H41,"?*")&gt;0),IF(COUNTIF($Q41:$AD41,"?*")&gt;0,", ","")&amp;"opcion E deshabilitada","")</f>
        <v/>
      </c>
      <c r="AF41">
        <f>IF(AND($A41="Verdadero o Falso Complejas",TRIM($I41)&lt;&gt;"",NOT(OR(LEFT(TRIM($I41),1)="A",LEFT(TRIM($I41),1)="B",LEFT(TRIM($I41),1)="C",LEFT(TRIM($I41),1)="D",LEFT(TRIM($I41),1)="E"))),IF(COUNTIF($Q41:$AE41,"?*")&gt;0,", ","")&amp;"respuesta A-E","")</f>
        <v/>
      </c>
      <c r="AG41">
        <f>IF(AND(OR($A41="Selección de la mejor respuesta",$A41="Subítem de caso o problema"),COUNTA($D41:$H41)&lt;5),IF(COUNTIF($Q41:$AF41,"?*")&gt;0,", ","")&amp;"incisos A-E","")</f>
        <v/>
      </c>
      <c r="AH41">
        <f>IF(AND(OR($A41="Selección de la mejor respuesta",$A41="Subítem de caso o problema"),TRIM($I41)&lt;&gt;"",NOT(OR(LEFT(TRIM($I41),1)="A",LEFT(TRIM($I41),1)="B",LEFT(TRIM($I41),1)="C",LEFT(TRIM($I41),1)="D",LEFT(TRIM($I41),1)="E"))),IF(COUNTIF($Q41:$AG41,"?*")&gt;0,", ","")&amp;"respuesta A-E","")</f>
        <v/>
      </c>
      <c r="AI41">
        <f>IF(AND(OR($A41="Ítems agrupados por caso clínico o problema",$A41="Opción de Emparejamiento Ampliado"),COUNTIF($D41:$H41,"?*")&gt;0),IF(COUNTIF($Q41:$AH41,"?*")&gt;0,", ","")&amp;"sin incisos","")</f>
        <v/>
      </c>
      <c r="AJ41">
        <f>IF(AND($A41="Emparejamiento Ampliado",COUNTIF($D41:$H41,"?*")&lt;2),IF(COUNTIF($Q41:$AI41,"?*")&gt;0,", ","")&amp;"minimo 2 claves","")</f>
        <v/>
      </c>
      <c r="AK41">
        <f>IF(AND($A41="Opción de Emparejamiento Ampliado",NOT(OR(LEFT(TRIM($I41),1)="A",LEFT(TRIM($I41),1)="B",LEFT(TRIM($I41),1)="C",LEFT(TRIM($I41),1)="D",LEFT(TRIM($I41),1)="E"))),IF(COUNTIF($Q41:$AJ41,"?*")&gt;0,", ","")&amp;"respuesta A-E","")</f>
        <v/>
      </c>
      <c r="AL41">
        <f>IF(TRIM($K41)="",IF(COUNTIF($M41:$M41,"?*")&gt;0,", ","")&amp;"parcial","")</f>
        <v/>
      </c>
      <c r="AM41">
        <f>IF(AND(TRIM($K41)&lt;&gt;"",TRIM($K41)&lt;&gt;VALIDACIONES!$G$1),IF(COUNTIF($M41:$N41,"?*")&gt;0,", ","")&amp;"parcial distinto a "&amp;VALIDACIONES!$G$1,"")</f>
        <v/>
      </c>
      <c r="AN41">
        <f>IF(AND(OR($A41="Ítems agrupados por caso clínico o problema",$A41="Subítem de caso o problema",$A41="Emparejamiento Ampliado",$A41="Opción de Emparejamiento Ampliado"),TRIM($B41)=""),IF(COUNTIF($M41:$O41,"?*")&gt;0,", ","")&amp;"grupo","")</f>
        <v/>
      </c>
    </row>
    <row r="42" ht="24" customHeight="1">
      <c r="A42" s="344" t="n"/>
      <c r="B42" s="344" t="n"/>
      <c r="C42" s="344" t="n"/>
      <c r="D42" s="344">
        <f>IF($A42="Verdadero o Falso Simple","Verdadero",IF($A42="Respuesta A/B/Ambas/Ninguna","A. Si la primera es verdadera",IF($A42="Verdadero o Falso Complejas","1. ","")))</f>
        <v/>
      </c>
      <c r="E42" s="344">
        <f>IF($A42="Verdadero o Falso Simple","Falso",IF($A42="Respuesta A/B/Ambas/Ninguna","B. Si la segunda es verdadera",IF($A42="Verdadero o Falso Complejas","2. ","")))</f>
        <v/>
      </c>
      <c r="F42" s="344">
        <f>IF($A42="Respuesta A/B/Ambas/Ninguna","C. Si ambas son verdaderas",IF($A42="Verdadero o Falso Complejas","3. ",""))</f>
        <v/>
      </c>
      <c r="G42" s="344">
        <f>IF($A42="Respuesta A/B/Ambas/Ninguna","D. Si ninguna es verdadera",IF($A42="Verdadero o Falso Complejas","4. ",""))</f>
        <v/>
      </c>
      <c r="H42" s="344">
        <f>IF($A42="Verdadero o Falso Simple","",IF($A42="Respuesta A/B/Ambas/Ninguna","",IF($A42="Verdadero o Falso Complejas","","")))</f>
        <v/>
      </c>
      <c r="I42" s="344" t="n"/>
      <c r="J42" s="344" t="n">
        <v>2</v>
      </c>
      <c r="K42" s="344" t="inlineStr">
        <is>
          <t>2P</t>
        </is>
      </c>
      <c r="L42" s="345">
        <f>IF(TRIM($A42)="","",IF(OR($A42="Selección de la mejor respuesta",$A42="SELECCION_MEJOR_RESPUESTA",$A42="Subítem de caso o problema",$A42="SUBITEM_CASO"),IF(TRIM($C42)="","Completar enunciado",IF(SUMPRODUCT(--(LEN(TRIM($D42:$H42&amp;""))&gt;0))&lt;5,"Completar opciones A-E",IF(AND(TRIM($I42)&lt;&gt;"",OR(LEFT(TRIM($I42),1)="A",LEFT(TRIM($I42),1)="B",LEFT(TRIM($I42),1)="C",LEFT(TRIM($I42),1)="D",LEFT(TRIM($I42),1)="E")),"OK","Completar respuesta correcta A-E"))),IF(TRIM($A42)="","",IF(COUNTIF($Q42:$AJ42,"?*")=0,"OK","Falta revisar: "&amp;$Q42&amp;$R42&amp;$S42&amp;$T42&amp;$U42&amp;$V42&amp;$W42&amp;$X42&amp;$Y42&amp;$Z42&amp;$AA42&amp;$AB42&amp;$AC42&amp;$AD42&amp;$AE42&amp;$AF42&amp;$AG42&amp;$AH42&amp;$AI42&amp;$AJ42))))</f>
        <v/>
      </c>
      <c r="M42" s="341" t="n"/>
      <c r="Q42">
        <f>IF(TRIM($C42)="","enunciado","")</f>
        <v/>
      </c>
      <c r="R42">
        <f>IF(TRIM($K42)="",IF(COUNTIF($Q42:$Q42,"?*")&gt;0,", ","")&amp;"parcial","")</f>
        <v/>
      </c>
      <c r="S42">
        <f>IF(AND(TRIM($K42)&lt;&gt;"",TRIM($K42)&lt;&gt;VALIDACIONES!$G$1),IF(COUNTIF($Q42:$R42,"?*")&gt;0,", ","")&amp;"parcial distinto a "&amp;VALIDACIONES!$G$1,"")</f>
        <v/>
      </c>
      <c r="T42">
        <f>IF(AND(OR($A42="Ítems agrupados por caso clínico o problema",$A42="Subítem de caso o problema",$A42="Emparejamiento Ampliado",$A42="Opción de Emparejamiento Ampliado"),TRIM($B42)=""),IF(COUNTIF($Q42:$S42,"?*")&gt;0,", ","")&amp;"grupo","")</f>
        <v/>
      </c>
      <c r="U42">
        <f>IF(AND(OR($A42="Verdadero o Falso Simple",$A42="Respuesta A/B/Ambas/Ninguna",$A42="Verdadero o Falso Complejas",$A42="Selección de la mejor respuesta",$A42="Subítem de caso o problema",$A42="Opción de Emparejamiento Ampliado"),TRIM($I42)=""),IF(COUNTIF($Q42:$T42,"?*")&gt;0,", ","")&amp;"respuesta_correcta","")</f>
        <v/>
      </c>
      <c r="V42">
        <f>IF(AND(OR($A42="Verdadero o Falso Simple",$A42="Respuesta A/B/Ambas/Ninguna",$A42="Verdadero o Falso Complejas",$A42="Selección de la mejor respuesta",$A42="Subítem de caso o problema",$A42="Opción de Emparejamiento Ampliado"),TRIM($J42)=""),IF(COUNTIF($Q42:$U42,"?*")&gt;0,", ","")&amp;"dificultad","")</f>
        <v/>
      </c>
      <c r="W42">
        <f>IF(AND(OR($A42="Ítems agrupados por caso clínico o problema",$A42="Emparejamiento Ampliado"),TRIM($I42)&lt;&gt;""),IF(COUNTIF($Q42:$V42,"?*")&gt;0,", ","")&amp;"respuesta debe ir vacia","")</f>
        <v/>
      </c>
      <c r="X42">
        <f>IF(AND(OR($A42="Ítems agrupados por caso clínico o problema",$A42="Emparejamiento Ampliado"),TRIM($J42)&lt;&gt;""),IF(COUNTIF($Q42:$W42,"?*")&gt;0,", ","")&amp;"dificultad debe ir vacia","")</f>
        <v/>
      </c>
      <c r="Y42">
        <f>IF(AND($A42="Verdadero o Falso Simple",OR(COUNTIF($D42:$E42,"?*")&lt;2,COUNTIF($F42:$H42,"?*")&gt;0)),IF(COUNTIF($Q42:$X42,"?*")&gt;0,", ","")&amp;"incisos A-B","")</f>
        <v/>
      </c>
      <c r="Z42">
        <f>IF(AND($A42="Verdadero o Falso Simple",TRIM($I42)&lt;&gt;"",NOT(OR(LEFT(TRIM($I42),1)="A",LEFT(TRIM($I42),1)="B"))),IF(COUNTIF($Q42:$Y42,"?*")&gt;0,", ","")&amp;"respuesta A-B","")</f>
        <v/>
      </c>
      <c r="AA42">
        <f>IF(AND($A42="Respuesta A/B/Ambas/Ninguna",COUNTIF($D42:$G42,"?*")&lt;4),IF(COUNTIF($Q42:$Z42,"?*")&gt;0,", ","")&amp;"opciones A-D","")</f>
        <v/>
      </c>
      <c r="AB42">
        <f>IF(AND($A42="Respuesta A/B/Ambas/Ninguna",COUNTIF($H42:$H42,"?*")&gt;0),IF(COUNTIF($Q42:$AA42,"?*")&gt;0,", ","")&amp;"opcion E deshabilitada","")</f>
        <v/>
      </c>
      <c r="AC42">
        <f>IF(AND($A42="Respuesta A/B/Ambas/Ninguna",TRIM($I42)&lt;&gt;"",NOT(OR(LEFT(TRIM($I42),1)="A",LEFT(TRIM($I42),1)="B",LEFT(TRIM($I42),1)="C",LEFT(TRIM($I42),1)="D"))),IF(COUNTIF($Q42:$AB42,"?*")&gt;0,", ","")&amp;"respuesta A-D","")</f>
        <v/>
      </c>
      <c r="AD42">
        <f>IF(AND($A42="Verdadero o Falso Complejas",OR(LEN(TRIM(SUBSTITUTE($D42,"1.","")))=0,LEN(TRIM(SUBSTITUTE($E42,"2.","")))=0,LEN(TRIM(SUBSTITUTE($F42,"3.","")))=0,LEN(TRIM(SUBSTITUTE($G42,"4.","")))=0)),IF(COUNTIF($Q42:$AC42,"?*")&gt;0,", ","")&amp;"incisos 1-4","")</f>
        <v/>
      </c>
      <c r="AE42">
        <f>IF(AND($A42="Verdadero o Falso Complejas",COUNTIF($H42:$H42,"?*")&gt;0),IF(COUNTIF($Q42:$AD42,"?*")&gt;0,", ","")&amp;"opcion E deshabilitada","")</f>
        <v/>
      </c>
      <c r="AF42">
        <f>IF(AND($A42="Verdadero o Falso Complejas",TRIM($I42)&lt;&gt;"",NOT(OR(LEFT(TRIM($I42),1)="A",LEFT(TRIM($I42),1)="B",LEFT(TRIM($I42),1)="C",LEFT(TRIM($I42),1)="D",LEFT(TRIM($I42),1)="E"))),IF(COUNTIF($Q42:$AE42,"?*")&gt;0,", ","")&amp;"respuesta A-E","")</f>
        <v/>
      </c>
      <c r="AG42">
        <f>IF(AND(OR($A42="Selección de la mejor respuesta",$A42="Subítem de caso o problema"),COUNTA($D42:$H42)&lt;5),IF(COUNTIF($Q42:$AF42,"?*")&gt;0,", ","")&amp;"incisos A-E","")</f>
        <v/>
      </c>
      <c r="AH42">
        <f>IF(AND(OR($A42="Selección de la mejor respuesta",$A42="Subítem de caso o problema"),TRIM($I42)&lt;&gt;"",NOT(OR(LEFT(TRIM($I42),1)="A",LEFT(TRIM($I42),1)="B",LEFT(TRIM($I42),1)="C",LEFT(TRIM($I42),1)="D",LEFT(TRIM($I42),1)="E"))),IF(COUNTIF($Q42:$AG42,"?*")&gt;0,", ","")&amp;"respuesta A-E","")</f>
        <v/>
      </c>
      <c r="AI42">
        <f>IF(AND(OR($A42="Ítems agrupados por caso clínico o problema",$A42="Opción de Emparejamiento Ampliado"),COUNTIF($D42:$H42,"?*")&gt;0),IF(COUNTIF($Q42:$AH42,"?*")&gt;0,", ","")&amp;"sin incisos","")</f>
        <v/>
      </c>
      <c r="AJ42">
        <f>IF(AND($A42="Emparejamiento Ampliado",COUNTIF($D42:$H42,"?*")&lt;2),IF(COUNTIF($Q42:$AI42,"?*")&gt;0,", ","")&amp;"minimo 2 claves","")</f>
        <v/>
      </c>
      <c r="AK42">
        <f>IF(AND($A42="Opción de Emparejamiento Ampliado",NOT(OR(LEFT(TRIM($I42),1)="A",LEFT(TRIM($I42),1)="B",LEFT(TRIM($I42),1)="C",LEFT(TRIM($I42),1)="D",LEFT(TRIM($I42),1)="E"))),IF(COUNTIF($Q42:$AJ42,"?*")&gt;0,", ","")&amp;"respuesta A-E","")</f>
        <v/>
      </c>
      <c r="AL42">
        <f>IF(TRIM($K42)="",IF(COUNTIF($M42:$M42,"?*")&gt;0,", ","")&amp;"parcial","")</f>
        <v/>
      </c>
      <c r="AM42">
        <f>IF(AND(TRIM($K42)&lt;&gt;"",TRIM($K42)&lt;&gt;VALIDACIONES!$G$1),IF(COUNTIF($M42:$N42,"?*")&gt;0,", ","")&amp;"parcial distinto a "&amp;VALIDACIONES!$G$1,"")</f>
        <v/>
      </c>
      <c r="AN42">
        <f>IF(AND(OR($A42="Ítems agrupados por caso clínico o problema",$A42="Subítem de caso o problema",$A42="Emparejamiento Ampliado",$A42="Opción de Emparejamiento Ampliado"),TRIM($B42)=""),IF(COUNTIF($M42:$O42,"?*")&gt;0,", ","")&amp;"grupo","")</f>
        <v/>
      </c>
    </row>
    <row r="43" ht="24" customHeight="1">
      <c r="A43" s="344" t="n"/>
      <c r="B43" s="344" t="n"/>
      <c r="C43" s="344" t="n"/>
      <c r="D43" s="344">
        <f>IF($A43="Verdadero o Falso Simple","Verdadero",IF($A43="Respuesta A/B/Ambas/Ninguna","A. Si la primera es verdadera",IF($A43="Verdadero o Falso Complejas","1. ","")))</f>
        <v/>
      </c>
      <c r="E43" s="344">
        <f>IF($A43="Verdadero o Falso Simple","Falso",IF($A43="Respuesta A/B/Ambas/Ninguna","B. Si la segunda es verdadera",IF($A43="Verdadero o Falso Complejas","2. ","")))</f>
        <v/>
      </c>
      <c r="F43" s="344">
        <f>IF($A43="Respuesta A/B/Ambas/Ninguna","C. Si ambas son verdaderas",IF($A43="Verdadero o Falso Complejas","3. ",""))</f>
        <v/>
      </c>
      <c r="G43" s="344">
        <f>IF($A43="Respuesta A/B/Ambas/Ninguna","D. Si ninguna es verdadera",IF($A43="Verdadero o Falso Complejas","4. ",""))</f>
        <v/>
      </c>
      <c r="H43" s="344">
        <f>IF($A43="Verdadero o Falso Simple","",IF($A43="Respuesta A/B/Ambas/Ninguna","",IF($A43="Verdadero o Falso Complejas","","")))</f>
        <v/>
      </c>
      <c r="I43" s="344" t="n"/>
      <c r="J43" s="344" t="n">
        <v>2</v>
      </c>
      <c r="K43" s="344" t="inlineStr">
        <is>
          <t>2P</t>
        </is>
      </c>
      <c r="L43" s="345">
        <f>IF(TRIM($A43)="","",IF(OR($A43="Selección de la mejor respuesta",$A43="SELECCION_MEJOR_RESPUESTA",$A43="Subítem de caso o problema",$A43="SUBITEM_CASO"),IF(TRIM($C43)="","Completar enunciado",IF(SUMPRODUCT(--(LEN(TRIM($D43:$H43&amp;""))&gt;0))&lt;5,"Completar opciones A-E",IF(AND(TRIM($I43)&lt;&gt;"",OR(LEFT(TRIM($I43),1)="A",LEFT(TRIM($I43),1)="B",LEFT(TRIM($I43),1)="C",LEFT(TRIM($I43),1)="D",LEFT(TRIM($I43),1)="E")),"OK","Completar respuesta correcta A-E"))),IF(TRIM($A43)="","",IF(COUNTIF($Q43:$AJ43,"?*")=0,"OK","Falta revisar: "&amp;$Q43&amp;$R43&amp;$S43&amp;$T43&amp;$U43&amp;$V43&amp;$W43&amp;$X43&amp;$Y43&amp;$Z43&amp;$AA43&amp;$AB43&amp;$AC43&amp;$AD43&amp;$AE43&amp;$AF43&amp;$AG43&amp;$AH43&amp;$AI43&amp;$AJ43))))</f>
        <v/>
      </c>
      <c r="M43" s="341" t="n"/>
      <c r="Q43">
        <f>IF(TRIM($C43)="","enunciado","")</f>
        <v/>
      </c>
      <c r="R43">
        <f>IF(TRIM($K43)="",IF(COUNTIF($Q43:$Q43,"?*")&gt;0,", ","")&amp;"parcial","")</f>
        <v/>
      </c>
      <c r="S43">
        <f>IF(AND(TRIM($K43)&lt;&gt;"",TRIM($K43)&lt;&gt;VALIDACIONES!$G$1),IF(COUNTIF($Q43:$R43,"?*")&gt;0,", ","")&amp;"parcial distinto a "&amp;VALIDACIONES!$G$1,"")</f>
        <v/>
      </c>
      <c r="T43">
        <f>IF(AND(OR($A43="Ítems agrupados por caso clínico o problema",$A43="Subítem de caso o problema",$A43="Emparejamiento Ampliado",$A43="Opción de Emparejamiento Ampliado"),TRIM($B43)=""),IF(COUNTIF($Q43:$S43,"?*")&gt;0,", ","")&amp;"grupo","")</f>
        <v/>
      </c>
      <c r="U43">
        <f>IF(AND(OR($A43="Verdadero o Falso Simple",$A43="Respuesta A/B/Ambas/Ninguna",$A43="Verdadero o Falso Complejas",$A43="Selección de la mejor respuesta",$A43="Subítem de caso o problema",$A43="Opción de Emparejamiento Ampliado"),TRIM($I43)=""),IF(COUNTIF($Q43:$T43,"?*")&gt;0,", ","")&amp;"respuesta_correcta","")</f>
        <v/>
      </c>
      <c r="V43">
        <f>IF(AND(OR($A43="Verdadero o Falso Simple",$A43="Respuesta A/B/Ambas/Ninguna",$A43="Verdadero o Falso Complejas",$A43="Selección de la mejor respuesta",$A43="Subítem de caso o problema",$A43="Opción de Emparejamiento Ampliado"),TRIM($J43)=""),IF(COUNTIF($Q43:$U43,"?*")&gt;0,", ","")&amp;"dificultad","")</f>
        <v/>
      </c>
      <c r="W43">
        <f>IF(AND(OR($A43="Ítems agrupados por caso clínico o problema",$A43="Emparejamiento Ampliado"),TRIM($I43)&lt;&gt;""),IF(COUNTIF($Q43:$V43,"?*")&gt;0,", ","")&amp;"respuesta debe ir vacia","")</f>
        <v/>
      </c>
      <c r="X43">
        <f>IF(AND(OR($A43="Ítems agrupados por caso clínico o problema",$A43="Emparejamiento Ampliado"),TRIM($J43)&lt;&gt;""),IF(COUNTIF($Q43:$W43,"?*")&gt;0,", ","")&amp;"dificultad debe ir vacia","")</f>
        <v/>
      </c>
      <c r="Y43">
        <f>IF(AND($A43="Verdadero o Falso Simple",OR(COUNTIF($D43:$E43,"?*")&lt;2,COUNTIF($F43:$H43,"?*")&gt;0)),IF(COUNTIF($Q43:$X43,"?*")&gt;0,", ","")&amp;"incisos A-B","")</f>
        <v/>
      </c>
      <c r="Z43">
        <f>IF(AND($A43="Verdadero o Falso Simple",TRIM($I43)&lt;&gt;"",NOT(OR(LEFT(TRIM($I43),1)="A",LEFT(TRIM($I43),1)="B"))),IF(COUNTIF($Q43:$Y43,"?*")&gt;0,", ","")&amp;"respuesta A-B","")</f>
        <v/>
      </c>
      <c r="AA43">
        <f>IF(AND($A43="Respuesta A/B/Ambas/Ninguna",COUNTIF($D43:$G43,"?*")&lt;4),IF(COUNTIF($Q43:$Z43,"?*")&gt;0,", ","")&amp;"opciones A-D","")</f>
        <v/>
      </c>
      <c r="AB43">
        <f>IF(AND($A43="Respuesta A/B/Ambas/Ninguna",COUNTIF($H43:$H43,"?*")&gt;0),IF(COUNTIF($Q43:$AA43,"?*")&gt;0,", ","")&amp;"opcion E deshabilitada","")</f>
        <v/>
      </c>
      <c r="AC43">
        <f>IF(AND($A43="Respuesta A/B/Ambas/Ninguna",TRIM($I43)&lt;&gt;"",NOT(OR(LEFT(TRIM($I43),1)="A",LEFT(TRIM($I43),1)="B",LEFT(TRIM($I43),1)="C",LEFT(TRIM($I43),1)="D"))),IF(COUNTIF($Q43:$AB43,"?*")&gt;0,", ","")&amp;"respuesta A-D","")</f>
        <v/>
      </c>
      <c r="AD43">
        <f>IF(AND($A43="Verdadero o Falso Complejas",OR(LEN(TRIM(SUBSTITUTE($D43,"1.","")))=0,LEN(TRIM(SUBSTITUTE($E43,"2.","")))=0,LEN(TRIM(SUBSTITUTE($F43,"3.","")))=0,LEN(TRIM(SUBSTITUTE($G43,"4.","")))=0)),IF(COUNTIF($Q43:$AC43,"?*")&gt;0,", ","")&amp;"incisos 1-4","")</f>
        <v/>
      </c>
      <c r="AE43">
        <f>IF(AND($A43="Verdadero o Falso Complejas",COUNTIF($H43:$H43,"?*")&gt;0),IF(COUNTIF($Q43:$AD43,"?*")&gt;0,", ","")&amp;"opcion E deshabilitada","")</f>
        <v/>
      </c>
      <c r="AF43">
        <f>IF(AND($A43="Verdadero o Falso Complejas",TRIM($I43)&lt;&gt;"",NOT(OR(LEFT(TRIM($I43),1)="A",LEFT(TRIM($I43),1)="B",LEFT(TRIM($I43),1)="C",LEFT(TRIM($I43),1)="D",LEFT(TRIM($I43),1)="E"))),IF(COUNTIF($Q43:$AE43,"?*")&gt;0,", ","")&amp;"respuesta A-E","")</f>
        <v/>
      </c>
      <c r="AG43">
        <f>IF(AND(OR($A43="Selección de la mejor respuesta",$A43="Subítem de caso o problema"),COUNTA($D43:$H43)&lt;5),IF(COUNTIF($Q43:$AF43,"?*")&gt;0,", ","")&amp;"incisos A-E","")</f>
        <v/>
      </c>
      <c r="AH43">
        <f>IF(AND(OR($A43="Selección de la mejor respuesta",$A43="Subítem de caso o problema"),TRIM($I43)&lt;&gt;"",NOT(OR(LEFT(TRIM($I43),1)="A",LEFT(TRIM($I43),1)="B",LEFT(TRIM($I43),1)="C",LEFT(TRIM($I43),1)="D",LEFT(TRIM($I43),1)="E"))),IF(COUNTIF($Q43:$AG43,"?*")&gt;0,", ","")&amp;"respuesta A-E","")</f>
        <v/>
      </c>
      <c r="AI43">
        <f>IF(AND(OR($A43="Ítems agrupados por caso clínico o problema",$A43="Opción de Emparejamiento Ampliado"),COUNTIF($D43:$H43,"?*")&gt;0),IF(COUNTIF($Q43:$AH43,"?*")&gt;0,", ","")&amp;"sin incisos","")</f>
        <v/>
      </c>
      <c r="AJ43">
        <f>IF(AND($A43="Emparejamiento Ampliado",COUNTIF($D43:$H43,"?*")&lt;2),IF(COUNTIF($Q43:$AI43,"?*")&gt;0,", ","")&amp;"minimo 2 claves","")</f>
        <v/>
      </c>
      <c r="AK43">
        <f>IF(AND($A43="Opción de Emparejamiento Ampliado",NOT(OR(LEFT(TRIM($I43),1)="A",LEFT(TRIM($I43),1)="B",LEFT(TRIM($I43),1)="C",LEFT(TRIM($I43),1)="D",LEFT(TRIM($I43),1)="E"))),IF(COUNTIF($Q43:$AJ43,"?*")&gt;0,", ","")&amp;"respuesta A-E","")</f>
        <v/>
      </c>
      <c r="AL43">
        <f>IF(TRIM($K43)="",IF(COUNTIF($M43:$M43,"?*")&gt;0,", ","")&amp;"parcial","")</f>
        <v/>
      </c>
      <c r="AM43">
        <f>IF(AND(TRIM($K43)&lt;&gt;"",TRIM($K43)&lt;&gt;VALIDACIONES!$G$1),IF(COUNTIF($M43:$N43,"?*")&gt;0,", ","")&amp;"parcial distinto a "&amp;VALIDACIONES!$G$1,"")</f>
        <v/>
      </c>
      <c r="AN43">
        <f>IF(AND(OR($A43="Ítems agrupados por caso clínico o problema",$A43="Subítem de caso o problema",$A43="Emparejamiento Ampliado",$A43="Opción de Emparejamiento Ampliado"),TRIM($B43)=""),IF(COUNTIF($M43:$O43,"?*")&gt;0,", ","")&amp;"grupo","")</f>
        <v/>
      </c>
    </row>
    <row r="44" ht="24" customHeight="1">
      <c r="A44" s="344" t="n"/>
      <c r="B44" s="344" t="n"/>
      <c r="C44" s="344" t="n"/>
      <c r="D44" s="344">
        <f>IF($A44="Verdadero o Falso Simple","Verdadero",IF($A44="Respuesta A/B/Ambas/Ninguna","A. Si la primera es verdadera",IF($A44="Verdadero o Falso Complejas","1. ","")))</f>
        <v/>
      </c>
      <c r="E44" s="344">
        <f>IF($A44="Verdadero o Falso Simple","Falso",IF($A44="Respuesta A/B/Ambas/Ninguna","B. Si la segunda es verdadera",IF($A44="Verdadero o Falso Complejas","2. ","")))</f>
        <v/>
      </c>
      <c r="F44" s="344">
        <f>IF($A44="Respuesta A/B/Ambas/Ninguna","C. Si ambas son verdaderas",IF($A44="Verdadero o Falso Complejas","3. ",""))</f>
        <v/>
      </c>
      <c r="G44" s="344">
        <f>IF($A44="Respuesta A/B/Ambas/Ninguna","D. Si ninguna es verdadera",IF($A44="Verdadero o Falso Complejas","4. ",""))</f>
        <v/>
      </c>
      <c r="H44" s="344">
        <f>IF($A44="Verdadero o Falso Simple","",IF($A44="Respuesta A/B/Ambas/Ninguna","",IF($A44="Verdadero o Falso Complejas","","")))</f>
        <v/>
      </c>
      <c r="I44" s="344" t="n"/>
      <c r="J44" s="344" t="n">
        <v>2</v>
      </c>
      <c r="K44" s="344" t="inlineStr">
        <is>
          <t>2P</t>
        </is>
      </c>
      <c r="L44" s="345">
        <f>IF(TRIM($A44)="","",IF(OR($A44="Selección de la mejor respuesta",$A44="SELECCION_MEJOR_RESPUESTA",$A44="Subítem de caso o problema",$A44="SUBITEM_CASO"),IF(TRIM($C44)="","Completar enunciado",IF(SUMPRODUCT(--(LEN(TRIM($D44:$H44&amp;""))&gt;0))&lt;5,"Completar opciones A-E",IF(AND(TRIM($I44)&lt;&gt;"",OR(LEFT(TRIM($I44),1)="A",LEFT(TRIM($I44),1)="B",LEFT(TRIM($I44),1)="C",LEFT(TRIM($I44),1)="D",LEFT(TRIM($I44),1)="E")),"OK","Completar respuesta correcta A-E"))),IF(TRIM($A44)="","",IF(COUNTIF($Q44:$AJ44,"?*")=0,"OK","Falta revisar: "&amp;$Q44&amp;$R44&amp;$S44&amp;$T44&amp;$U44&amp;$V44&amp;$W44&amp;$X44&amp;$Y44&amp;$Z44&amp;$AA44&amp;$AB44&amp;$AC44&amp;$AD44&amp;$AE44&amp;$AF44&amp;$AG44&amp;$AH44&amp;$AI44&amp;$AJ44))))</f>
        <v/>
      </c>
      <c r="M44" s="341" t="n"/>
      <c r="Q44">
        <f>IF(TRIM($C44)="","enunciado","")</f>
        <v/>
      </c>
      <c r="R44">
        <f>IF(TRIM($K44)="",IF(COUNTIF($Q44:$Q44,"?*")&gt;0,", ","")&amp;"parcial","")</f>
        <v/>
      </c>
      <c r="S44">
        <f>IF(AND(TRIM($K44)&lt;&gt;"",TRIM($K44)&lt;&gt;VALIDACIONES!$G$1),IF(COUNTIF($Q44:$R44,"?*")&gt;0,", ","")&amp;"parcial distinto a "&amp;VALIDACIONES!$G$1,"")</f>
        <v/>
      </c>
      <c r="T44">
        <f>IF(AND(OR($A44="Ítems agrupados por caso clínico o problema",$A44="Subítem de caso o problema",$A44="Emparejamiento Ampliado",$A44="Opción de Emparejamiento Ampliado"),TRIM($B44)=""),IF(COUNTIF($Q44:$S44,"?*")&gt;0,", ","")&amp;"grupo","")</f>
        <v/>
      </c>
      <c r="U44">
        <f>IF(AND(OR($A44="Verdadero o Falso Simple",$A44="Respuesta A/B/Ambas/Ninguna",$A44="Verdadero o Falso Complejas",$A44="Selección de la mejor respuesta",$A44="Subítem de caso o problema",$A44="Opción de Emparejamiento Ampliado"),TRIM($I44)=""),IF(COUNTIF($Q44:$T44,"?*")&gt;0,", ","")&amp;"respuesta_correcta","")</f>
        <v/>
      </c>
      <c r="V44">
        <f>IF(AND(OR($A44="Verdadero o Falso Simple",$A44="Respuesta A/B/Ambas/Ninguna",$A44="Verdadero o Falso Complejas",$A44="Selección de la mejor respuesta",$A44="Subítem de caso o problema",$A44="Opción de Emparejamiento Ampliado"),TRIM($J44)=""),IF(COUNTIF($Q44:$U44,"?*")&gt;0,", ","")&amp;"dificultad","")</f>
        <v/>
      </c>
      <c r="W44">
        <f>IF(AND(OR($A44="Ítems agrupados por caso clínico o problema",$A44="Emparejamiento Ampliado"),TRIM($I44)&lt;&gt;""),IF(COUNTIF($Q44:$V44,"?*")&gt;0,", ","")&amp;"respuesta debe ir vacia","")</f>
        <v/>
      </c>
      <c r="X44">
        <f>IF(AND(OR($A44="Ítems agrupados por caso clínico o problema",$A44="Emparejamiento Ampliado"),TRIM($J44)&lt;&gt;""),IF(COUNTIF($Q44:$W44,"?*")&gt;0,", ","")&amp;"dificultad debe ir vacia","")</f>
        <v/>
      </c>
      <c r="Y44">
        <f>IF(AND($A44="Verdadero o Falso Simple",OR(COUNTIF($D44:$E44,"?*")&lt;2,COUNTIF($F44:$H44,"?*")&gt;0)),IF(COUNTIF($Q44:$X44,"?*")&gt;0,", ","")&amp;"incisos A-B","")</f>
        <v/>
      </c>
      <c r="Z44">
        <f>IF(AND($A44="Verdadero o Falso Simple",TRIM($I44)&lt;&gt;"",NOT(OR(LEFT(TRIM($I44),1)="A",LEFT(TRIM($I44),1)="B"))),IF(COUNTIF($Q44:$Y44,"?*")&gt;0,", ","")&amp;"respuesta A-B","")</f>
        <v/>
      </c>
      <c r="AA44">
        <f>IF(AND($A44="Respuesta A/B/Ambas/Ninguna",COUNTIF($D44:$G44,"?*")&lt;4),IF(COUNTIF($Q44:$Z44,"?*")&gt;0,", ","")&amp;"opciones A-D","")</f>
        <v/>
      </c>
      <c r="AB44">
        <f>IF(AND($A44="Respuesta A/B/Ambas/Ninguna",COUNTIF($H44:$H44,"?*")&gt;0),IF(COUNTIF($Q44:$AA44,"?*")&gt;0,", ","")&amp;"opcion E deshabilitada","")</f>
        <v/>
      </c>
      <c r="AC44">
        <f>IF(AND($A44="Respuesta A/B/Ambas/Ninguna",TRIM($I44)&lt;&gt;"",NOT(OR(LEFT(TRIM($I44),1)="A",LEFT(TRIM($I44),1)="B",LEFT(TRIM($I44),1)="C",LEFT(TRIM($I44),1)="D"))),IF(COUNTIF($Q44:$AB44,"?*")&gt;0,", ","")&amp;"respuesta A-D","")</f>
        <v/>
      </c>
      <c r="AD44">
        <f>IF(AND($A44="Verdadero o Falso Complejas",OR(LEN(TRIM(SUBSTITUTE($D44,"1.","")))=0,LEN(TRIM(SUBSTITUTE($E44,"2.","")))=0,LEN(TRIM(SUBSTITUTE($F44,"3.","")))=0,LEN(TRIM(SUBSTITUTE($G44,"4.","")))=0)),IF(COUNTIF($Q44:$AC44,"?*")&gt;0,", ","")&amp;"incisos 1-4","")</f>
        <v/>
      </c>
      <c r="AE44">
        <f>IF(AND($A44="Verdadero o Falso Complejas",COUNTIF($H44:$H44,"?*")&gt;0),IF(COUNTIF($Q44:$AD44,"?*")&gt;0,", ","")&amp;"opcion E deshabilitada","")</f>
        <v/>
      </c>
      <c r="AF44">
        <f>IF(AND($A44="Verdadero o Falso Complejas",TRIM($I44)&lt;&gt;"",NOT(OR(LEFT(TRIM($I44),1)="A",LEFT(TRIM($I44),1)="B",LEFT(TRIM($I44),1)="C",LEFT(TRIM($I44),1)="D",LEFT(TRIM($I44),1)="E"))),IF(COUNTIF($Q44:$AE44,"?*")&gt;0,", ","")&amp;"respuesta A-E","")</f>
        <v/>
      </c>
      <c r="AG44">
        <f>IF(AND(OR($A44="Selección de la mejor respuesta",$A44="Subítem de caso o problema"),COUNTA($D44:$H44)&lt;5),IF(COUNTIF($Q44:$AF44,"?*")&gt;0,", ","")&amp;"incisos A-E","")</f>
        <v/>
      </c>
      <c r="AH44">
        <f>IF(AND(OR($A44="Selección de la mejor respuesta",$A44="Subítem de caso o problema"),TRIM($I44)&lt;&gt;"",NOT(OR(LEFT(TRIM($I44),1)="A",LEFT(TRIM($I44),1)="B",LEFT(TRIM($I44),1)="C",LEFT(TRIM($I44),1)="D",LEFT(TRIM($I44),1)="E"))),IF(COUNTIF($Q44:$AG44,"?*")&gt;0,", ","")&amp;"respuesta A-E","")</f>
        <v/>
      </c>
      <c r="AI44">
        <f>IF(AND(OR($A44="Ítems agrupados por caso clínico o problema",$A44="Opción de Emparejamiento Ampliado"),COUNTIF($D44:$H44,"?*")&gt;0),IF(COUNTIF($Q44:$AH44,"?*")&gt;0,", ","")&amp;"sin incisos","")</f>
        <v/>
      </c>
      <c r="AJ44">
        <f>IF(AND($A44="Emparejamiento Ampliado",COUNTIF($D44:$H44,"?*")&lt;2),IF(COUNTIF($Q44:$AI44,"?*")&gt;0,", ","")&amp;"minimo 2 claves","")</f>
        <v/>
      </c>
      <c r="AK44">
        <f>IF(AND($A44="Opción de Emparejamiento Ampliado",NOT(OR(LEFT(TRIM($I44),1)="A",LEFT(TRIM($I44),1)="B",LEFT(TRIM($I44),1)="C",LEFT(TRIM($I44),1)="D",LEFT(TRIM($I44),1)="E"))),IF(COUNTIF($Q44:$AJ44,"?*")&gt;0,", ","")&amp;"respuesta A-E","")</f>
        <v/>
      </c>
      <c r="AL44">
        <f>IF(TRIM($K44)="",IF(COUNTIF($M44:$M44,"?*")&gt;0,", ","")&amp;"parcial","")</f>
        <v/>
      </c>
      <c r="AM44">
        <f>IF(AND(TRIM($K44)&lt;&gt;"",TRIM($K44)&lt;&gt;VALIDACIONES!$G$1),IF(COUNTIF($M44:$N44,"?*")&gt;0,", ","")&amp;"parcial distinto a "&amp;VALIDACIONES!$G$1,"")</f>
        <v/>
      </c>
      <c r="AN44">
        <f>IF(AND(OR($A44="Ítems agrupados por caso clínico o problema",$A44="Subítem de caso o problema",$A44="Emparejamiento Ampliado",$A44="Opción de Emparejamiento Ampliado"),TRIM($B44)=""),IF(COUNTIF($M44:$O44,"?*")&gt;0,", ","")&amp;"grupo","")</f>
        <v/>
      </c>
    </row>
    <row r="45" ht="24" customHeight="1">
      <c r="A45" s="344" t="n"/>
      <c r="B45" s="344" t="n"/>
      <c r="C45" s="344" t="n"/>
      <c r="D45" s="344">
        <f>IF($A45="Verdadero o Falso Simple","Verdadero",IF($A45="Respuesta A/B/Ambas/Ninguna","A. Si la primera es verdadera",IF($A45="Verdadero o Falso Complejas","1. ","")))</f>
        <v/>
      </c>
      <c r="E45" s="344">
        <f>IF($A45="Verdadero o Falso Simple","Falso",IF($A45="Respuesta A/B/Ambas/Ninguna","B. Si la segunda es verdadera",IF($A45="Verdadero o Falso Complejas","2. ","")))</f>
        <v/>
      </c>
      <c r="F45" s="344">
        <f>IF($A45="Respuesta A/B/Ambas/Ninguna","C. Si ambas son verdaderas",IF($A45="Verdadero o Falso Complejas","3. ",""))</f>
        <v/>
      </c>
      <c r="G45" s="344">
        <f>IF($A45="Respuesta A/B/Ambas/Ninguna","D. Si ninguna es verdadera",IF($A45="Verdadero o Falso Complejas","4. ",""))</f>
        <v/>
      </c>
      <c r="H45" s="344">
        <f>IF($A45="Verdadero o Falso Simple","",IF($A45="Respuesta A/B/Ambas/Ninguna","",IF($A45="Verdadero o Falso Complejas","","")))</f>
        <v/>
      </c>
      <c r="I45" s="344" t="n"/>
      <c r="J45" s="344" t="n">
        <v>2</v>
      </c>
      <c r="K45" s="344" t="inlineStr">
        <is>
          <t>2P</t>
        </is>
      </c>
      <c r="L45" s="345">
        <f>IF(TRIM($A45)="","",IF(OR($A45="Selección de la mejor respuesta",$A45="SELECCION_MEJOR_RESPUESTA",$A45="Subítem de caso o problema",$A45="SUBITEM_CASO"),IF(TRIM($C45)="","Completar enunciado",IF(SUMPRODUCT(--(LEN(TRIM($D45:$H45&amp;""))&gt;0))&lt;5,"Completar opciones A-E",IF(AND(TRIM($I45)&lt;&gt;"",OR(LEFT(TRIM($I45),1)="A",LEFT(TRIM($I45),1)="B",LEFT(TRIM($I45),1)="C",LEFT(TRIM($I45),1)="D",LEFT(TRIM($I45),1)="E")),"OK","Completar respuesta correcta A-E"))),IF(TRIM($A45)="","",IF(COUNTIF($Q45:$AJ45,"?*")=0,"OK","Falta revisar: "&amp;$Q45&amp;$R45&amp;$S45&amp;$T45&amp;$U45&amp;$V45&amp;$W45&amp;$X45&amp;$Y45&amp;$Z45&amp;$AA45&amp;$AB45&amp;$AC45&amp;$AD45&amp;$AE45&amp;$AF45&amp;$AG45&amp;$AH45&amp;$AI45&amp;$AJ45))))</f>
        <v/>
      </c>
      <c r="M45" s="341" t="n"/>
      <c r="Q45">
        <f>IF(TRIM($C45)="","enunciado","")</f>
        <v/>
      </c>
      <c r="R45">
        <f>IF(TRIM($K45)="",IF(COUNTIF($Q45:$Q45,"?*")&gt;0,", ","")&amp;"parcial","")</f>
        <v/>
      </c>
      <c r="S45">
        <f>IF(AND(TRIM($K45)&lt;&gt;"",TRIM($K45)&lt;&gt;VALIDACIONES!$G$1),IF(COUNTIF($Q45:$R45,"?*")&gt;0,", ","")&amp;"parcial distinto a "&amp;VALIDACIONES!$G$1,"")</f>
        <v/>
      </c>
      <c r="T45">
        <f>IF(AND(OR($A45="Ítems agrupados por caso clínico o problema",$A45="Subítem de caso o problema",$A45="Emparejamiento Ampliado",$A45="Opción de Emparejamiento Ampliado"),TRIM($B45)=""),IF(COUNTIF($Q45:$S45,"?*")&gt;0,", ","")&amp;"grupo","")</f>
        <v/>
      </c>
      <c r="U45">
        <f>IF(AND(OR($A45="Verdadero o Falso Simple",$A45="Respuesta A/B/Ambas/Ninguna",$A45="Verdadero o Falso Complejas",$A45="Selección de la mejor respuesta",$A45="Subítem de caso o problema",$A45="Opción de Emparejamiento Ampliado"),TRIM($I45)=""),IF(COUNTIF($Q45:$T45,"?*")&gt;0,", ","")&amp;"respuesta_correcta","")</f>
        <v/>
      </c>
      <c r="V45">
        <f>IF(AND(OR($A45="Verdadero o Falso Simple",$A45="Respuesta A/B/Ambas/Ninguna",$A45="Verdadero o Falso Complejas",$A45="Selección de la mejor respuesta",$A45="Subítem de caso o problema",$A45="Opción de Emparejamiento Ampliado"),TRIM($J45)=""),IF(COUNTIF($Q45:$U45,"?*")&gt;0,", ","")&amp;"dificultad","")</f>
        <v/>
      </c>
      <c r="W45">
        <f>IF(AND(OR($A45="Ítems agrupados por caso clínico o problema",$A45="Emparejamiento Ampliado"),TRIM($I45)&lt;&gt;""),IF(COUNTIF($Q45:$V45,"?*")&gt;0,", ","")&amp;"respuesta debe ir vacia","")</f>
        <v/>
      </c>
      <c r="X45">
        <f>IF(AND(OR($A45="Ítems agrupados por caso clínico o problema",$A45="Emparejamiento Ampliado"),TRIM($J45)&lt;&gt;""),IF(COUNTIF($Q45:$W45,"?*")&gt;0,", ","")&amp;"dificultad debe ir vacia","")</f>
        <v/>
      </c>
      <c r="Y45">
        <f>IF(AND($A45="Verdadero o Falso Simple",OR(COUNTIF($D45:$E45,"?*")&lt;2,COUNTIF($F45:$H45,"?*")&gt;0)),IF(COUNTIF($Q45:$X45,"?*")&gt;0,", ","")&amp;"incisos A-B","")</f>
        <v/>
      </c>
      <c r="Z45">
        <f>IF(AND($A45="Verdadero o Falso Simple",TRIM($I45)&lt;&gt;"",NOT(OR(LEFT(TRIM($I45),1)="A",LEFT(TRIM($I45),1)="B"))),IF(COUNTIF($Q45:$Y45,"?*")&gt;0,", ","")&amp;"respuesta A-B","")</f>
        <v/>
      </c>
      <c r="AA45">
        <f>IF(AND($A45="Respuesta A/B/Ambas/Ninguna",COUNTIF($D45:$G45,"?*")&lt;4),IF(COUNTIF($Q45:$Z45,"?*")&gt;0,", ","")&amp;"opciones A-D","")</f>
        <v/>
      </c>
      <c r="AB45">
        <f>IF(AND($A45="Respuesta A/B/Ambas/Ninguna",COUNTIF($H45:$H45,"?*")&gt;0),IF(COUNTIF($Q45:$AA45,"?*")&gt;0,", ","")&amp;"opcion E deshabilitada","")</f>
        <v/>
      </c>
      <c r="AC45">
        <f>IF(AND($A45="Respuesta A/B/Ambas/Ninguna",TRIM($I45)&lt;&gt;"",NOT(OR(LEFT(TRIM($I45),1)="A",LEFT(TRIM($I45),1)="B",LEFT(TRIM($I45),1)="C",LEFT(TRIM($I45),1)="D"))),IF(COUNTIF($Q45:$AB45,"?*")&gt;0,", ","")&amp;"respuesta A-D","")</f>
        <v/>
      </c>
      <c r="AD45">
        <f>IF(AND($A45="Verdadero o Falso Complejas",OR(LEN(TRIM(SUBSTITUTE($D45,"1.","")))=0,LEN(TRIM(SUBSTITUTE($E45,"2.","")))=0,LEN(TRIM(SUBSTITUTE($F45,"3.","")))=0,LEN(TRIM(SUBSTITUTE($G45,"4.","")))=0)),IF(COUNTIF($Q45:$AC45,"?*")&gt;0,", ","")&amp;"incisos 1-4","")</f>
        <v/>
      </c>
      <c r="AE45">
        <f>IF(AND($A45="Verdadero o Falso Complejas",COUNTIF($H45:$H45,"?*")&gt;0),IF(COUNTIF($Q45:$AD45,"?*")&gt;0,", ","")&amp;"opcion E deshabilitada","")</f>
        <v/>
      </c>
      <c r="AF45">
        <f>IF(AND($A45="Verdadero o Falso Complejas",TRIM($I45)&lt;&gt;"",NOT(OR(LEFT(TRIM($I45),1)="A",LEFT(TRIM($I45),1)="B",LEFT(TRIM($I45),1)="C",LEFT(TRIM($I45),1)="D",LEFT(TRIM($I45),1)="E"))),IF(COUNTIF($Q45:$AE45,"?*")&gt;0,", ","")&amp;"respuesta A-E","")</f>
        <v/>
      </c>
      <c r="AG45">
        <f>IF(AND(OR($A45="Selección de la mejor respuesta",$A45="Subítem de caso o problema"),COUNTA($D45:$H45)&lt;5),IF(COUNTIF($Q45:$AF45,"?*")&gt;0,", ","")&amp;"incisos A-E","")</f>
        <v/>
      </c>
      <c r="AH45">
        <f>IF(AND(OR($A45="Selección de la mejor respuesta",$A45="Subítem de caso o problema"),TRIM($I45)&lt;&gt;"",NOT(OR(LEFT(TRIM($I45),1)="A",LEFT(TRIM($I45),1)="B",LEFT(TRIM($I45),1)="C",LEFT(TRIM($I45),1)="D",LEFT(TRIM($I45),1)="E"))),IF(COUNTIF($Q45:$AG45,"?*")&gt;0,", ","")&amp;"respuesta A-E","")</f>
        <v/>
      </c>
      <c r="AI45">
        <f>IF(AND(OR($A45="Ítems agrupados por caso clínico o problema",$A45="Opción de Emparejamiento Ampliado"),COUNTIF($D45:$H45,"?*")&gt;0),IF(COUNTIF($Q45:$AH45,"?*")&gt;0,", ","")&amp;"sin incisos","")</f>
        <v/>
      </c>
      <c r="AJ45">
        <f>IF(AND($A45="Emparejamiento Ampliado",COUNTIF($D45:$H45,"?*")&lt;2),IF(COUNTIF($Q45:$AI45,"?*")&gt;0,", ","")&amp;"minimo 2 claves","")</f>
        <v/>
      </c>
      <c r="AK45">
        <f>IF(AND($A45="Opción de Emparejamiento Ampliado",NOT(OR(LEFT(TRIM($I45),1)="A",LEFT(TRIM($I45),1)="B",LEFT(TRIM($I45),1)="C",LEFT(TRIM($I45),1)="D",LEFT(TRIM($I45),1)="E"))),IF(COUNTIF($Q45:$AJ45,"?*")&gt;0,", ","")&amp;"respuesta A-E","")</f>
        <v/>
      </c>
      <c r="AL45">
        <f>IF(TRIM($K45)="",IF(COUNTIF($M45:$M45,"?*")&gt;0,", ","")&amp;"parcial","")</f>
        <v/>
      </c>
      <c r="AM45">
        <f>IF(AND(TRIM($K45)&lt;&gt;"",TRIM($K45)&lt;&gt;VALIDACIONES!$G$1),IF(COUNTIF($M45:$N45,"?*")&gt;0,", ","")&amp;"parcial distinto a "&amp;VALIDACIONES!$G$1,"")</f>
        <v/>
      </c>
      <c r="AN45">
        <f>IF(AND(OR($A45="Ítems agrupados por caso clínico o problema",$A45="Subítem de caso o problema",$A45="Emparejamiento Ampliado",$A45="Opción de Emparejamiento Ampliado"),TRIM($B45)=""),IF(COUNTIF($M45:$O45,"?*")&gt;0,", ","")&amp;"grupo","")</f>
        <v/>
      </c>
    </row>
    <row r="46" ht="24" customHeight="1">
      <c r="A46" s="344" t="n"/>
      <c r="B46" s="344" t="n"/>
      <c r="C46" s="344" t="n"/>
      <c r="D46" s="344">
        <f>IF($A46="Verdadero o Falso Simple","Verdadero",IF($A46="Respuesta A/B/Ambas/Ninguna","A. Si la primera es verdadera",IF($A46="Verdadero o Falso Complejas","1. ","")))</f>
        <v/>
      </c>
      <c r="E46" s="344">
        <f>IF($A46="Verdadero o Falso Simple","Falso",IF($A46="Respuesta A/B/Ambas/Ninguna","B. Si la segunda es verdadera",IF($A46="Verdadero o Falso Complejas","2. ","")))</f>
        <v/>
      </c>
      <c r="F46" s="344">
        <f>IF($A46="Respuesta A/B/Ambas/Ninguna","C. Si ambas son verdaderas",IF($A46="Verdadero o Falso Complejas","3. ",""))</f>
        <v/>
      </c>
      <c r="G46" s="344">
        <f>IF($A46="Respuesta A/B/Ambas/Ninguna","D. Si ninguna es verdadera",IF($A46="Verdadero o Falso Complejas","4. ",""))</f>
        <v/>
      </c>
      <c r="H46" s="344">
        <f>IF($A46="Verdadero o Falso Simple","",IF($A46="Respuesta A/B/Ambas/Ninguna","",IF($A46="Verdadero o Falso Complejas","","")))</f>
        <v/>
      </c>
      <c r="I46" s="344" t="n"/>
      <c r="J46" s="344" t="n">
        <v>2</v>
      </c>
      <c r="K46" s="344" t="inlineStr">
        <is>
          <t>2P</t>
        </is>
      </c>
      <c r="L46" s="345">
        <f>IF(TRIM($A46)="","",IF(OR($A46="Selección de la mejor respuesta",$A46="SELECCION_MEJOR_RESPUESTA",$A46="Subítem de caso o problema",$A46="SUBITEM_CASO"),IF(TRIM($C46)="","Completar enunciado",IF(SUMPRODUCT(--(LEN(TRIM($D46:$H46&amp;""))&gt;0))&lt;5,"Completar opciones A-E",IF(AND(TRIM($I46)&lt;&gt;"",OR(LEFT(TRIM($I46),1)="A",LEFT(TRIM($I46),1)="B",LEFT(TRIM($I46),1)="C",LEFT(TRIM($I46),1)="D",LEFT(TRIM($I46),1)="E")),"OK","Completar respuesta correcta A-E"))),IF(TRIM($A46)="","",IF(COUNTIF($Q46:$AJ46,"?*")=0,"OK","Falta revisar: "&amp;$Q46&amp;$R46&amp;$S46&amp;$T46&amp;$U46&amp;$V46&amp;$W46&amp;$X46&amp;$Y46&amp;$Z46&amp;$AA46&amp;$AB46&amp;$AC46&amp;$AD46&amp;$AE46&amp;$AF46&amp;$AG46&amp;$AH46&amp;$AI46&amp;$AJ46))))</f>
        <v/>
      </c>
      <c r="M46" s="341" t="n"/>
      <c r="Q46">
        <f>IF(TRIM($C46)="","enunciado","")</f>
        <v/>
      </c>
      <c r="R46">
        <f>IF(TRIM($K46)="",IF(COUNTIF($Q46:$Q46,"?*")&gt;0,", ","")&amp;"parcial","")</f>
        <v/>
      </c>
      <c r="S46">
        <f>IF(AND(TRIM($K46)&lt;&gt;"",TRIM($K46)&lt;&gt;VALIDACIONES!$G$1),IF(COUNTIF($Q46:$R46,"?*")&gt;0,", ","")&amp;"parcial distinto a "&amp;VALIDACIONES!$G$1,"")</f>
        <v/>
      </c>
      <c r="T46">
        <f>IF(AND(OR($A46="Ítems agrupados por caso clínico o problema",$A46="Subítem de caso o problema",$A46="Emparejamiento Ampliado",$A46="Opción de Emparejamiento Ampliado"),TRIM($B46)=""),IF(COUNTIF($Q46:$S46,"?*")&gt;0,", ","")&amp;"grupo","")</f>
        <v/>
      </c>
      <c r="U46">
        <f>IF(AND(OR($A46="Verdadero o Falso Simple",$A46="Respuesta A/B/Ambas/Ninguna",$A46="Verdadero o Falso Complejas",$A46="Selección de la mejor respuesta",$A46="Subítem de caso o problema",$A46="Opción de Emparejamiento Ampliado"),TRIM($I46)=""),IF(COUNTIF($Q46:$T46,"?*")&gt;0,", ","")&amp;"respuesta_correcta","")</f>
        <v/>
      </c>
      <c r="V46">
        <f>IF(AND(OR($A46="Verdadero o Falso Simple",$A46="Respuesta A/B/Ambas/Ninguna",$A46="Verdadero o Falso Complejas",$A46="Selección de la mejor respuesta",$A46="Subítem de caso o problema",$A46="Opción de Emparejamiento Ampliado"),TRIM($J46)=""),IF(COUNTIF($Q46:$U46,"?*")&gt;0,", ","")&amp;"dificultad","")</f>
        <v/>
      </c>
      <c r="W46">
        <f>IF(AND(OR($A46="Ítems agrupados por caso clínico o problema",$A46="Emparejamiento Ampliado"),TRIM($I46)&lt;&gt;""),IF(COUNTIF($Q46:$V46,"?*")&gt;0,", ","")&amp;"respuesta debe ir vacia","")</f>
        <v/>
      </c>
      <c r="X46">
        <f>IF(AND(OR($A46="Ítems agrupados por caso clínico o problema",$A46="Emparejamiento Ampliado"),TRIM($J46)&lt;&gt;""),IF(COUNTIF($Q46:$W46,"?*")&gt;0,", ","")&amp;"dificultad debe ir vacia","")</f>
        <v/>
      </c>
      <c r="Y46">
        <f>IF(AND($A46="Verdadero o Falso Simple",OR(COUNTIF($D46:$E46,"?*")&lt;2,COUNTIF($F46:$H46,"?*")&gt;0)),IF(COUNTIF($Q46:$X46,"?*")&gt;0,", ","")&amp;"incisos A-B","")</f>
        <v/>
      </c>
      <c r="Z46">
        <f>IF(AND($A46="Verdadero o Falso Simple",TRIM($I46)&lt;&gt;"",NOT(OR(LEFT(TRIM($I46),1)="A",LEFT(TRIM($I46),1)="B"))),IF(COUNTIF($Q46:$Y46,"?*")&gt;0,", ","")&amp;"respuesta A-B","")</f>
        <v/>
      </c>
      <c r="AA46">
        <f>IF(AND($A46="Respuesta A/B/Ambas/Ninguna",COUNTIF($D46:$G46,"?*")&lt;4),IF(COUNTIF($Q46:$Z46,"?*")&gt;0,", ","")&amp;"opciones A-D","")</f>
        <v/>
      </c>
      <c r="AB46">
        <f>IF(AND($A46="Respuesta A/B/Ambas/Ninguna",COUNTIF($H46:$H46,"?*")&gt;0),IF(COUNTIF($Q46:$AA46,"?*")&gt;0,", ","")&amp;"opcion E deshabilitada","")</f>
        <v/>
      </c>
      <c r="AC46">
        <f>IF(AND($A46="Respuesta A/B/Ambas/Ninguna",TRIM($I46)&lt;&gt;"",NOT(OR(LEFT(TRIM($I46),1)="A",LEFT(TRIM($I46),1)="B",LEFT(TRIM($I46),1)="C",LEFT(TRIM($I46),1)="D"))),IF(COUNTIF($Q46:$AB46,"?*")&gt;0,", ","")&amp;"respuesta A-D","")</f>
        <v/>
      </c>
      <c r="AD46">
        <f>IF(AND($A46="Verdadero o Falso Complejas",OR(LEN(TRIM(SUBSTITUTE($D46,"1.","")))=0,LEN(TRIM(SUBSTITUTE($E46,"2.","")))=0,LEN(TRIM(SUBSTITUTE($F46,"3.","")))=0,LEN(TRIM(SUBSTITUTE($G46,"4.","")))=0)),IF(COUNTIF($Q46:$AC46,"?*")&gt;0,", ","")&amp;"incisos 1-4","")</f>
        <v/>
      </c>
      <c r="AE46">
        <f>IF(AND($A46="Verdadero o Falso Complejas",COUNTIF($H46:$H46,"?*")&gt;0),IF(COUNTIF($Q46:$AD46,"?*")&gt;0,", ","")&amp;"opcion E deshabilitada","")</f>
        <v/>
      </c>
      <c r="AF46">
        <f>IF(AND($A46="Verdadero o Falso Complejas",TRIM($I46)&lt;&gt;"",NOT(OR(LEFT(TRIM($I46),1)="A",LEFT(TRIM($I46),1)="B",LEFT(TRIM($I46),1)="C",LEFT(TRIM($I46),1)="D",LEFT(TRIM($I46),1)="E"))),IF(COUNTIF($Q46:$AE46,"?*")&gt;0,", ","")&amp;"respuesta A-E","")</f>
        <v/>
      </c>
      <c r="AG46">
        <f>IF(AND(OR($A46="Selección de la mejor respuesta",$A46="Subítem de caso o problema"),COUNTA($D46:$H46)&lt;5),IF(COUNTIF($Q46:$AF46,"?*")&gt;0,", ","")&amp;"incisos A-E","")</f>
        <v/>
      </c>
      <c r="AH46">
        <f>IF(AND(OR($A46="Selección de la mejor respuesta",$A46="Subítem de caso o problema"),TRIM($I46)&lt;&gt;"",NOT(OR(LEFT(TRIM($I46),1)="A",LEFT(TRIM($I46),1)="B",LEFT(TRIM($I46),1)="C",LEFT(TRIM($I46),1)="D",LEFT(TRIM($I46),1)="E"))),IF(COUNTIF($Q46:$AG46,"?*")&gt;0,", ","")&amp;"respuesta A-E","")</f>
        <v/>
      </c>
      <c r="AI46">
        <f>IF(AND(OR($A46="Ítems agrupados por caso clínico o problema",$A46="Opción de Emparejamiento Ampliado"),COUNTIF($D46:$H46,"?*")&gt;0),IF(COUNTIF($Q46:$AH46,"?*")&gt;0,", ","")&amp;"sin incisos","")</f>
        <v/>
      </c>
      <c r="AJ46">
        <f>IF(AND($A46="Emparejamiento Ampliado",COUNTIF($D46:$H46,"?*")&lt;2),IF(COUNTIF($Q46:$AI46,"?*")&gt;0,", ","")&amp;"minimo 2 claves","")</f>
        <v/>
      </c>
      <c r="AK46">
        <f>IF(AND($A46="Opción de Emparejamiento Ampliado",NOT(OR(LEFT(TRIM($I46),1)="A",LEFT(TRIM($I46),1)="B",LEFT(TRIM($I46),1)="C",LEFT(TRIM($I46),1)="D",LEFT(TRIM($I46),1)="E"))),IF(COUNTIF($Q46:$AJ46,"?*")&gt;0,", ","")&amp;"respuesta A-E","")</f>
        <v/>
      </c>
      <c r="AL46">
        <f>IF(TRIM($K46)="",IF(COUNTIF($M46:$M46,"?*")&gt;0,", ","")&amp;"parcial","")</f>
        <v/>
      </c>
      <c r="AM46">
        <f>IF(AND(TRIM($K46)&lt;&gt;"",TRIM($K46)&lt;&gt;VALIDACIONES!$G$1),IF(COUNTIF($M46:$N46,"?*")&gt;0,", ","")&amp;"parcial distinto a "&amp;VALIDACIONES!$G$1,"")</f>
        <v/>
      </c>
      <c r="AN46">
        <f>IF(AND(OR($A46="Ítems agrupados por caso clínico o problema",$A46="Subítem de caso o problema",$A46="Emparejamiento Ampliado",$A46="Opción de Emparejamiento Ampliado"),TRIM($B46)=""),IF(COUNTIF($M46:$O46,"?*")&gt;0,", ","")&amp;"grupo","")</f>
        <v/>
      </c>
    </row>
    <row r="47" ht="24" customHeight="1">
      <c r="A47" s="346" t="n"/>
      <c r="B47" s="346" t="n"/>
      <c r="C47" s="346" t="n"/>
      <c r="D47" s="346">
        <f>IF($A47="Verdadero o Falso Simple","Verdadero",IF($A47="Respuesta A/B/Ambas/Ninguna","A. Si la primera es verdadera",IF($A47="Verdadero o Falso Complejas","1. ","")))</f>
        <v/>
      </c>
      <c r="E47" s="346">
        <f>IF($A47="Verdadero o Falso Simple","Falso",IF($A47="Respuesta A/B/Ambas/Ninguna","B. Si la segunda es verdadera",IF($A47="Verdadero o Falso Complejas","2. ","")))</f>
        <v/>
      </c>
      <c r="F47" s="346">
        <f>IF($A47="Respuesta A/B/Ambas/Ninguna","C. Si ambas son verdaderas",IF($A47="Verdadero o Falso Complejas","3. ",""))</f>
        <v/>
      </c>
      <c r="G47" s="346">
        <f>IF($A47="Respuesta A/B/Ambas/Ninguna","D. Si ninguna es verdadera",IF($A47="Verdadero o Falso Complejas","4. ",""))</f>
        <v/>
      </c>
      <c r="H47" s="346">
        <f>IF($A47="Verdadero o Falso Simple","",IF($A47="Respuesta A/B/Ambas/Ninguna","",IF($A47="Verdadero o Falso Complejas","","")))</f>
        <v/>
      </c>
      <c r="I47" s="346" t="n"/>
      <c r="J47" s="346" t="n">
        <v>3</v>
      </c>
      <c r="K47" s="346" t="inlineStr">
        <is>
          <t>2P</t>
        </is>
      </c>
      <c r="L47" s="347">
        <f>IF(TRIM($A47)="","",IF(OR($A47="Selección de la mejor respuesta",$A47="SELECCION_MEJOR_RESPUESTA",$A47="Subítem de caso o problema",$A47="SUBITEM_CASO"),IF(TRIM($C47)="","Completar enunciado",IF(SUMPRODUCT(--(LEN(TRIM($D47:$H47&amp;""))&gt;0))&lt;5,"Completar opciones A-E",IF(AND(TRIM($I47)&lt;&gt;"",OR(LEFT(TRIM($I47),1)="A",LEFT(TRIM($I47),1)="B",LEFT(TRIM($I47),1)="C",LEFT(TRIM($I47),1)="D",LEFT(TRIM($I47),1)="E")),"OK","Completar respuesta correcta A-E"))),IF(TRIM($A47)="","",IF(COUNTIF($Q47:$AJ47,"?*")=0,"OK","Falta revisar: "&amp;$Q47&amp;$R47&amp;$S47&amp;$T47&amp;$U47&amp;$V47&amp;$W47&amp;$X47&amp;$Y47&amp;$Z47&amp;$AA47&amp;$AB47&amp;$AC47&amp;$AD47&amp;$AE47&amp;$AF47&amp;$AG47&amp;$AH47&amp;$AI47&amp;$AJ47))))</f>
        <v/>
      </c>
      <c r="M47" s="341" t="n"/>
      <c r="Q47">
        <f>IF(TRIM($C47)="","enunciado","")</f>
        <v/>
      </c>
      <c r="R47">
        <f>IF(TRIM($K47)="",IF(COUNTIF($Q47:$Q47,"?*")&gt;0,", ","")&amp;"parcial","")</f>
        <v/>
      </c>
      <c r="S47">
        <f>IF(AND(TRIM($K47)&lt;&gt;"",TRIM($K47)&lt;&gt;VALIDACIONES!$G$1),IF(COUNTIF($Q47:$R47,"?*")&gt;0,", ","")&amp;"parcial distinto a "&amp;VALIDACIONES!$G$1,"")</f>
        <v/>
      </c>
      <c r="T47">
        <f>IF(AND(OR($A47="Ítems agrupados por caso clínico o problema",$A47="Subítem de caso o problema",$A47="Emparejamiento Ampliado",$A47="Opción de Emparejamiento Ampliado"),TRIM($B47)=""),IF(COUNTIF($Q47:$S47,"?*")&gt;0,", ","")&amp;"grupo","")</f>
        <v/>
      </c>
      <c r="U47">
        <f>IF(AND(OR($A47="Verdadero o Falso Simple",$A47="Respuesta A/B/Ambas/Ninguna",$A47="Verdadero o Falso Complejas",$A47="Selección de la mejor respuesta",$A47="Subítem de caso o problema",$A47="Opción de Emparejamiento Ampliado"),TRIM($I47)=""),IF(COUNTIF($Q47:$T47,"?*")&gt;0,", ","")&amp;"respuesta_correcta","")</f>
        <v/>
      </c>
      <c r="V47">
        <f>IF(AND(OR($A47="Verdadero o Falso Simple",$A47="Respuesta A/B/Ambas/Ninguna",$A47="Verdadero o Falso Complejas",$A47="Selección de la mejor respuesta",$A47="Subítem de caso o problema",$A47="Opción de Emparejamiento Ampliado"),TRIM($J47)=""),IF(COUNTIF($Q47:$U47,"?*")&gt;0,", ","")&amp;"dificultad","")</f>
        <v/>
      </c>
      <c r="W47">
        <f>IF(AND(OR($A47="Ítems agrupados por caso clínico o problema",$A47="Emparejamiento Ampliado"),TRIM($I47)&lt;&gt;""),IF(COUNTIF($Q47:$V47,"?*")&gt;0,", ","")&amp;"respuesta debe ir vacia","")</f>
        <v/>
      </c>
      <c r="X47">
        <f>IF(AND(OR($A47="Ítems agrupados por caso clínico o problema",$A47="Emparejamiento Ampliado"),TRIM($J47)&lt;&gt;""),IF(COUNTIF($Q47:$W47,"?*")&gt;0,", ","")&amp;"dificultad debe ir vacia","")</f>
        <v/>
      </c>
      <c r="Y47">
        <f>IF(AND($A47="Verdadero o Falso Simple",OR(COUNTIF($D47:$E47,"?*")&lt;2,COUNTIF($F47:$H47,"?*")&gt;0)),IF(COUNTIF($Q47:$X47,"?*")&gt;0,", ","")&amp;"incisos A-B","")</f>
        <v/>
      </c>
      <c r="Z47">
        <f>IF(AND($A47="Verdadero o Falso Simple",TRIM($I47)&lt;&gt;"",NOT(OR(LEFT(TRIM($I47),1)="A",LEFT(TRIM($I47),1)="B"))),IF(COUNTIF($Q47:$Y47,"?*")&gt;0,", ","")&amp;"respuesta A-B","")</f>
        <v/>
      </c>
      <c r="AA47">
        <f>IF(AND($A47="Respuesta A/B/Ambas/Ninguna",COUNTIF($D47:$G47,"?*")&lt;4),IF(COUNTIF($Q47:$Z47,"?*")&gt;0,", ","")&amp;"opciones A-D","")</f>
        <v/>
      </c>
      <c r="AB47">
        <f>IF(AND($A47="Respuesta A/B/Ambas/Ninguna",COUNTIF($H47:$H47,"?*")&gt;0),IF(COUNTIF($Q47:$AA47,"?*")&gt;0,", ","")&amp;"opcion E deshabilitada","")</f>
        <v/>
      </c>
      <c r="AC47">
        <f>IF(AND($A47="Respuesta A/B/Ambas/Ninguna",TRIM($I47)&lt;&gt;"",NOT(OR(LEFT(TRIM($I47),1)="A",LEFT(TRIM($I47),1)="B",LEFT(TRIM($I47),1)="C",LEFT(TRIM($I47),1)="D"))),IF(COUNTIF($Q47:$AB47,"?*")&gt;0,", ","")&amp;"respuesta A-D","")</f>
        <v/>
      </c>
      <c r="AD47">
        <f>IF(AND($A47="Verdadero o Falso Complejas",OR(LEN(TRIM(SUBSTITUTE($D47,"1.","")))=0,LEN(TRIM(SUBSTITUTE($E47,"2.","")))=0,LEN(TRIM(SUBSTITUTE($F47,"3.","")))=0,LEN(TRIM(SUBSTITUTE($G47,"4.","")))=0)),IF(COUNTIF($Q47:$AC47,"?*")&gt;0,", ","")&amp;"incisos 1-4","")</f>
        <v/>
      </c>
      <c r="AE47">
        <f>IF(AND($A47="Verdadero o Falso Complejas",COUNTIF($H47:$H47,"?*")&gt;0),IF(COUNTIF($Q47:$AD47,"?*")&gt;0,", ","")&amp;"opcion E deshabilitada","")</f>
        <v/>
      </c>
      <c r="AF47">
        <f>IF(AND($A47="Verdadero o Falso Complejas",TRIM($I47)&lt;&gt;"",NOT(OR(LEFT(TRIM($I47),1)="A",LEFT(TRIM($I47),1)="B",LEFT(TRIM($I47),1)="C",LEFT(TRIM($I47),1)="D",LEFT(TRIM($I47),1)="E"))),IF(COUNTIF($Q47:$AE47,"?*")&gt;0,", ","")&amp;"respuesta A-E","")</f>
        <v/>
      </c>
      <c r="AG47">
        <f>IF(AND(OR($A47="Selección de la mejor respuesta",$A47="Subítem de caso o problema"),COUNTA($D47:$H47)&lt;5),IF(COUNTIF($Q47:$AF47,"?*")&gt;0,", ","")&amp;"incisos A-E","")</f>
        <v/>
      </c>
      <c r="AH47">
        <f>IF(AND(OR($A47="Selección de la mejor respuesta",$A47="Subítem de caso o problema"),TRIM($I47)&lt;&gt;"",NOT(OR(LEFT(TRIM($I47),1)="A",LEFT(TRIM($I47),1)="B",LEFT(TRIM($I47),1)="C",LEFT(TRIM($I47),1)="D",LEFT(TRIM($I47),1)="E"))),IF(COUNTIF($Q47:$AG47,"?*")&gt;0,", ","")&amp;"respuesta A-E","")</f>
        <v/>
      </c>
      <c r="AI47">
        <f>IF(AND(OR($A47="Ítems agrupados por caso clínico o problema",$A47="Opción de Emparejamiento Ampliado"),COUNTIF($D47:$H47,"?*")&gt;0),IF(COUNTIF($Q47:$AH47,"?*")&gt;0,", ","")&amp;"sin incisos","")</f>
        <v/>
      </c>
      <c r="AJ47">
        <f>IF(AND($A47="Emparejamiento Ampliado",COUNTIF($D47:$H47,"?*")&lt;2),IF(COUNTIF($Q47:$AI47,"?*")&gt;0,", ","")&amp;"minimo 2 claves","")</f>
        <v/>
      </c>
      <c r="AK47">
        <f>IF(AND($A47="Opción de Emparejamiento Ampliado",NOT(OR(LEFT(TRIM($I47),1)="A",LEFT(TRIM($I47),1)="B",LEFT(TRIM($I47),1)="C",LEFT(TRIM($I47),1)="D",LEFT(TRIM($I47),1)="E"))),IF(COUNTIF($Q47:$AJ47,"?*")&gt;0,", ","")&amp;"respuesta A-E","")</f>
        <v/>
      </c>
      <c r="AL47">
        <f>IF(TRIM($K47)="",IF(COUNTIF($M47:$M47,"?*")&gt;0,", ","")&amp;"parcial","")</f>
        <v/>
      </c>
      <c r="AM47">
        <f>IF(AND(TRIM($K47)&lt;&gt;"",TRIM($K47)&lt;&gt;VALIDACIONES!$G$1),IF(COUNTIF($M47:$N47,"?*")&gt;0,", ","")&amp;"parcial distinto a "&amp;VALIDACIONES!$G$1,"")</f>
        <v/>
      </c>
      <c r="AN47">
        <f>IF(AND(OR($A47="Ítems agrupados por caso clínico o problema",$A47="Subítem de caso o problema",$A47="Emparejamiento Ampliado",$A47="Opción de Emparejamiento Ampliado"),TRIM($B47)=""),IF(COUNTIF($M47:$O47,"?*")&gt;0,", ","")&amp;"grupo","")</f>
        <v/>
      </c>
    </row>
    <row r="48" ht="24" customHeight="1">
      <c r="A48" s="346" t="n"/>
      <c r="B48" s="346" t="n"/>
      <c r="C48" s="346" t="n"/>
      <c r="D48" s="346">
        <f>IF($A48="Verdadero o Falso Simple","Verdadero",IF($A48="Respuesta A/B/Ambas/Ninguna","A. Si la primera es verdadera",IF($A48="Verdadero o Falso Complejas","1. ","")))</f>
        <v/>
      </c>
      <c r="E48" s="346">
        <f>IF($A48="Verdadero o Falso Simple","Falso",IF($A48="Respuesta A/B/Ambas/Ninguna","B. Si la segunda es verdadera",IF($A48="Verdadero o Falso Complejas","2. ","")))</f>
        <v/>
      </c>
      <c r="F48" s="346">
        <f>IF($A48="Respuesta A/B/Ambas/Ninguna","C. Si ambas son verdaderas",IF($A48="Verdadero o Falso Complejas","3. ",""))</f>
        <v/>
      </c>
      <c r="G48" s="346">
        <f>IF($A48="Respuesta A/B/Ambas/Ninguna","D. Si ninguna es verdadera",IF($A48="Verdadero o Falso Complejas","4. ",""))</f>
        <v/>
      </c>
      <c r="H48" s="346">
        <f>IF($A48="Verdadero o Falso Simple","",IF($A48="Respuesta A/B/Ambas/Ninguna","",IF($A48="Verdadero o Falso Complejas","","")))</f>
        <v/>
      </c>
      <c r="I48" s="346" t="n"/>
      <c r="J48" s="346" t="n">
        <v>3</v>
      </c>
      <c r="K48" s="346" t="inlineStr">
        <is>
          <t>2P</t>
        </is>
      </c>
      <c r="L48" s="347">
        <f>IF(TRIM($A48)="","",IF(OR($A48="Selección de la mejor respuesta",$A48="SELECCION_MEJOR_RESPUESTA",$A48="Subítem de caso o problema",$A48="SUBITEM_CASO"),IF(TRIM($C48)="","Completar enunciado",IF(SUMPRODUCT(--(LEN(TRIM($D48:$H48&amp;""))&gt;0))&lt;5,"Completar opciones A-E",IF(AND(TRIM($I48)&lt;&gt;"",OR(LEFT(TRIM($I48),1)="A",LEFT(TRIM($I48),1)="B",LEFT(TRIM($I48),1)="C",LEFT(TRIM($I48),1)="D",LEFT(TRIM($I48),1)="E")),"OK","Completar respuesta correcta A-E"))),IF(TRIM($A48)="","",IF(COUNTIF($Q48:$AJ48,"?*")=0,"OK","Falta revisar: "&amp;$Q48&amp;$R48&amp;$S48&amp;$T48&amp;$U48&amp;$V48&amp;$W48&amp;$X48&amp;$Y48&amp;$Z48&amp;$AA48&amp;$AB48&amp;$AC48&amp;$AD48&amp;$AE48&amp;$AF48&amp;$AG48&amp;$AH48&amp;$AI48&amp;$AJ48))))</f>
        <v/>
      </c>
      <c r="M48" s="341" t="n"/>
      <c r="Q48">
        <f>IF(TRIM($C48)="","enunciado","")</f>
        <v/>
      </c>
      <c r="R48">
        <f>IF(TRIM($K48)="",IF(COUNTIF($Q48:$Q48,"?*")&gt;0,", ","")&amp;"parcial","")</f>
        <v/>
      </c>
      <c r="S48">
        <f>IF(AND(TRIM($K48)&lt;&gt;"",TRIM($K48)&lt;&gt;VALIDACIONES!$G$1),IF(COUNTIF($Q48:$R48,"?*")&gt;0,", ","")&amp;"parcial distinto a "&amp;VALIDACIONES!$G$1,"")</f>
        <v/>
      </c>
      <c r="T48">
        <f>IF(AND(OR($A48="Ítems agrupados por caso clínico o problema",$A48="Subítem de caso o problema",$A48="Emparejamiento Ampliado",$A48="Opción de Emparejamiento Ampliado"),TRIM($B48)=""),IF(COUNTIF($Q48:$S48,"?*")&gt;0,", ","")&amp;"grupo","")</f>
        <v/>
      </c>
      <c r="U48">
        <f>IF(AND(OR($A48="Verdadero o Falso Simple",$A48="Respuesta A/B/Ambas/Ninguna",$A48="Verdadero o Falso Complejas",$A48="Selección de la mejor respuesta",$A48="Subítem de caso o problema",$A48="Opción de Emparejamiento Ampliado"),TRIM($I48)=""),IF(COUNTIF($Q48:$T48,"?*")&gt;0,", ","")&amp;"respuesta_correcta","")</f>
        <v/>
      </c>
      <c r="V48">
        <f>IF(AND(OR($A48="Verdadero o Falso Simple",$A48="Respuesta A/B/Ambas/Ninguna",$A48="Verdadero o Falso Complejas",$A48="Selección de la mejor respuesta",$A48="Subítem de caso o problema",$A48="Opción de Emparejamiento Ampliado"),TRIM($J48)=""),IF(COUNTIF($Q48:$U48,"?*")&gt;0,", ","")&amp;"dificultad","")</f>
        <v/>
      </c>
      <c r="W48">
        <f>IF(AND(OR($A48="Ítems agrupados por caso clínico o problema",$A48="Emparejamiento Ampliado"),TRIM($I48)&lt;&gt;""),IF(COUNTIF($Q48:$V48,"?*")&gt;0,", ","")&amp;"respuesta debe ir vacia","")</f>
        <v/>
      </c>
      <c r="X48">
        <f>IF(AND(OR($A48="Ítems agrupados por caso clínico o problema",$A48="Emparejamiento Ampliado"),TRIM($J48)&lt;&gt;""),IF(COUNTIF($Q48:$W48,"?*")&gt;0,", ","")&amp;"dificultad debe ir vacia","")</f>
        <v/>
      </c>
      <c r="Y48">
        <f>IF(AND($A48="Verdadero o Falso Simple",OR(COUNTIF($D48:$E48,"?*")&lt;2,COUNTIF($F48:$H48,"?*")&gt;0)),IF(COUNTIF($Q48:$X48,"?*")&gt;0,", ","")&amp;"incisos A-B","")</f>
        <v/>
      </c>
      <c r="Z48">
        <f>IF(AND($A48="Verdadero o Falso Simple",TRIM($I48)&lt;&gt;"",NOT(OR(LEFT(TRIM($I48),1)="A",LEFT(TRIM($I48),1)="B"))),IF(COUNTIF($Q48:$Y48,"?*")&gt;0,", ","")&amp;"respuesta A-B","")</f>
        <v/>
      </c>
      <c r="AA48">
        <f>IF(AND($A48="Respuesta A/B/Ambas/Ninguna",COUNTIF($D48:$G48,"?*")&lt;4),IF(COUNTIF($Q48:$Z48,"?*")&gt;0,", ","")&amp;"opciones A-D","")</f>
        <v/>
      </c>
      <c r="AB48">
        <f>IF(AND($A48="Respuesta A/B/Ambas/Ninguna",COUNTIF($H48:$H48,"?*")&gt;0),IF(COUNTIF($Q48:$AA48,"?*")&gt;0,", ","")&amp;"opcion E deshabilitada","")</f>
        <v/>
      </c>
      <c r="AC48">
        <f>IF(AND($A48="Respuesta A/B/Ambas/Ninguna",TRIM($I48)&lt;&gt;"",NOT(OR(LEFT(TRIM($I48),1)="A",LEFT(TRIM($I48),1)="B",LEFT(TRIM($I48),1)="C",LEFT(TRIM($I48),1)="D"))),IF(COUNTIF($Q48:$AB48,"?*")&gt;0,", ","")&amp;"respuesta A-D","")</f>
        <v/>
      </c>
      <c r="AD48">
        <f>IF(AND($A48="Verdadero o Falso Complejas",OR(LEN(TRIM(SUBSTITUTE($D48,"1.","")))=0,LEN(TRIM(SUBSTITUTE($E48,"2.","")))=0,LEN(TRIM(SUBSTITUTE($F48,"3.","")))=0,LEN(TRIM(SUBSTITUTE($G48,"4.","")))=0)),IF(COUNTIF($Q48:$AC48,"?*")&gt;0,", ","")&amp;"incisos 1-4","")</f>
        <v/>
      </c>
      <c r="AE48">
        <f>IF(AND($A48="Verdadero o Falso Complejas",COUNTIF($H48:$H48,"?*")&gt;0),IF(COUNTIF($Q48:$AD48,"?*")&gt;0,", ","")&amp;"opcion E deshabilitada","")</f>
        <v/>
      </c>
      <c r="AF48">
        <f>IF(AND($A48="Verdadero o Falso Complejas",TRIM($I48)&lt;&gt;"",NOT(OR(LEFT(TRIM($I48),1)="A",LEFT(TRIM($I48),1)="B",LEFT(TRIM($I48),1)="C",LEFT(TRIM($I48),1)="D",LEFT(TRIM($I48),1)="E"))),IF(COUNTIF($Q48:$AE48,"?*")&gt;0,", ","")&amp;"respuesta A-E","")</f>
        <v/>
      </c>
      <c r="AG48">
        <f>IF(AND(OR($A48="Selección de la mejor respuesta",$A48="Subítem de caso o problema"),COUNTA($D48:$H48)&lt;5),IF(COUNTIF($Q48:$AF48,"?*")&gt;0,", ","")&amp;"incisos A-E","")</f>
        <v/>
      </c>
      <c r="AH48">
        <f>IF(AND(OR($A48="Selección de la mejor respuesta",$A48="Subítem de caso o problema"),TRIM($I48)&lt;&gt;"",NOT(OR(LEFT(TRIM($I48),1)="A",LEFT(TRIM($I48),1)="B",LEFT(TRIM($I48),1)="C",LEFT(TRIM($I48),1)="D",LEFT(TRIM($I48),1)="E"))),IF(COUNTIF($Q48:$AG48,"?*")&gt;0,", ","")&amp;"respuesta A-E","")</f>
        <v/>
      </c>
      <c r="AI48">
        <f>IF(AND(OR($A48="Ítems agrupados por caso clínico o problema",$A48="Opción de Emparejamiento Ampliado"),COUNTIF($D48:$H48,"?*")&gt;0),IF(COUNTIF($Q48:$AH48,"?*")&gt;0,", ","")&amp;"sin incisos","")</f>
        <v/>
      </c>
      <c r="AJ48">
        <f>IF(AND($A48="Emparejamiento Ampliado",COUNTIF($D48:$H48,"?*")&lt;2),IF(COUNTIF($Q48:$AI48,"?*")&gt;0,", ","")&amp;"minimo 2 claves","")</f>
        <v/>
      </c>
      <c r="AK48">
        <f>IF(AND($A48="Opción de Emparejamiento Ampliado",NOT(OR(LEFT(TRIM($I48),1)="A",LEFT(TRIM($I48),1)="B",LEFT(TRIM($I48),1)="C",LEFT(TRIM($I48),1)="D",LEFT(TRIM($I48),1)="E"))),IF(COUNTIF($Q48:$AJ48,"?*")&gt;0,", ","")&amp;"respuesta A-E","")</f>
        <v/>
      </c>
      <c r="AL48">
        <f>IF(TRIM($K48)="",IF(COUNTIF($M48:$M48,"?*")&gt;0,", ","")&amp;"parcial","")</f>
        <v/>
      </c>
      <c r="AM48">
        <f>IF(AND(TRIM($K48)&lt;&gt;"",TRIM($K48)&lt;&gt;VALIDACIONES!$G$1),IF(COUNTIF($M48:$N48,"?*")&gt;0,", ","")&amp;"parcial distinto a "&amp;VALIDACIONES!$G$1,"")</f>
        <v/>
      </c>
      <c r="AN48">
        <f>IF(AND(OR($A48="Ítems agrupados por caso clínico o problema",$A48="Subítem de caso o problema",$A48="Emparejamiento Ampliado",$A48="Opción de Emparejamiento Ampliado"),TRIM($B48)=""),IF(COUNTIF($M48:$O48,"?*")&gt;0,", ","")&amp;"grupo","")</f>
        <v/>
      </c>
    </row>
    <row r="49" ht="24" customHeight="1">
      <c r="A49" s="346" t="n"/>
      <c r="B49" s="346" t="n"/>
      <c r="C49" s="346" t="n"/>
      <c r="D49" s="346">
        <f>IF($A49="Verdadero o Falso Simple","Verdadero",IF($A49="Respuesta A/B/Ambas/Ninguna","A. Si la primera es verdadera",IF($A49="Verdadero o Falso Complejas","1. ","")))</f>
        <v/>
      </c>
      <c r="E49" s="346">
        <f>IF($A49="Verdadero o Falso Simple","Falso",IF($A49="Respuesta A/B/Ambas/Ninguna","B. Si la segunda es verdadera",IF($A49="Verdadero o Falso Complejas","2. ","")))</f>
        <v/>
      </c>
      <c r="F49" s="346">
        <f>IF($A49="Respuesta A/B/Ambas/Ninguna","C. Si ambas son verdaderas",IF($A49="Verdadero o Falso Complejas","3. ",""))</f>
        <v/>
      </c>
      <c r="G49" s="346">
        <f>IF($A49="Respuesta A/B/Ambas/Ninguna","D. Si ninguna es verdadera",IF($A49="Verdadero o Falso Complejas","4. ",""))</f>
        <v/>
      </c>
      <c r="H49" s="346">
        <f>IF($A49="Verdadero o Falso Simple","",IF($A49="Respuesta A/B/Ambas/Ninguna","",IF($A49="Verdadero o Falso Complejas","","")))</f>
        <v/>
      </c>
      <c r="I49" s="346" t="n"/>
      <c r="J49" s="346" t="n">
        <v>3</v>
      </c>
      <c r="K49" s="346" t="inlineStr">
        <is>
          <t>2P</t>
        </is>
      </c>
      <c r="L49" s="347">
        <f>IF(TRIM($A49)="","",IF(OR($A49="Selección de la mejor respuesta",$A49="SELECCION_MEJOR_RESPUESTA",$A49="Subítem de caso o problema",$A49="SUBITEM_CASO"),IF(TRIM($C49)="","Completar enunciado",IF(SUMPRODUCT(--(LEN(TRIM($D49:$H49&amp;""))&gt;0))&lt;5,"Completar opciones A-E",IF(AND(TRIM($I49)&lt;&gt;"",OR(LEFT(TRIM($I49),1)="A",LEFT(TRIM($I49),1)="B",LEFT(TRIM($I49),1)="C",LEFT(TRIM($I49),1)="D",LEFT(TRIM($I49),1)="E")),"OK","Completar respuesta correcta A-E"))),IF(TRIM($A49)="","",IF(COUNTIF($Q49:$AJ49,"?*")=0,"OK","Falta revisar: "&amp;$Q49&amp;$R49&amp;$S49&amp;$T49&amp;$U49&amp;$V49&amp;$W49&amp;$X49&amp;$Y49&amp;$Z49&amp;$AA49&amp;$AB49&amp;$AC49&amp;$AD49&amp;$AE49&amp;$AF49&amp;$AG49&amp;$AH49&amp;$AI49&amp;$AJ49))))</f>
        <v/>
      </c>
      <c r="M49" s="341" t="n"/>
      <c r="Q49">
        <f>IF(TRIM($C49)="","enunciado","")</f>
        <v/>
      </c>
      <c r="R49">
        <f>IF(TRIM($K49)="",IF(COUNTIF($Q49:$Q49,"?*")&gt;0,", ","")&amp;"parcial","")</f>
        <v/>
      </c>
      <c r="S49">
        <f>IF(AND(TRIM($K49)&lt;&gt;"",TRIM($K49)&lt;&gt;VALIDACIONES!$G$1),IF(COUNTIF($Q49:$R49,"?*")&gt;0,", ","")&amp;"parcial distinto a "&amp;VALIDACIONES!$G$1,"")</f>
        <v/>
      </c>
      <c r="T49">
        <f>IF(AND(OR($A49="Ítems agrupados por caso clínico o problema",$A49="Subítem de caso o problema",$A49="Emparejamiento Ampliado",$A49="Opción de Emparejamiento Ampliado"),TRIM($B49)=""),IF(COUNTIF($Q49:$S49,"?*")&gt;0,", ","")&amp;"grupo","")</f>
        <v/>
      </c>
      <c r="U49">
        <f>IF(AND(OR($A49="Verdadero o Falso Simple",$A49="Respuesta A/B/Ambas/Ninguna",$A49="Verdadero o Falso Complejas",$A49="Selección de la mejor respuesta",$A49="Subítem de caso o problema",$A49="Opción de Emparejamiento Ampliado"),TRIM($I49)=""),IF(COUNTIF($Q49:$T49,"?*")&gt;0,", ","")&amp;"respuesta_correcta","")</f>
        <v/>
      </c>
      <c r="V49">
        <f>IF(AND(OR($A49="Verdadero o Falso Simple",$A49="Respuesta A/B/Ambas/Ninguna",$A49="Verdadero o Falso Complejas",$A49="Selección de la mejor respuesta",$A49="Subítem de caso o problema",$A49="Opción de Emparejamiento Ampliado"),TRIM($J49)=""),IF(COUNTIF($Q49:$U49,"?*")&gt;0,", ","")&amp;"dificultad","")</f>
        <v/>
      </c>
      <c r="W49">
        <f>IF(AND(OR($A49="Ítems agrupados por caso clínico o problema",$A49="Emparejamiento Ampliado"),TRIM($I49)&lt;&gt;""),IF(COUNTIF($Q49:$V49,"?*")&gt;0,", ","")&amp;"respuesta debe ir vacia","")</f>
        <v/>
      </c>
      <c r="X49">
        <f>IF(AND(OR($A49="Ítems agrupados por caso clínico o problema",$A49="Emparejamiento Ampliado"),TRIM($J49)&lt;&gt;""),IF(COUNTIF($Q49:$W49,"?*")&gt;0,", ","")&amp;"dificultad debe ir vacia","")</f>
        <v/>
      </c>
      <c r="Y49">
        <f>IF(AND($A49="Verdadero o Falso Simple",OR(COUNTIF($D49:$E49,"?*")&lt;2,COUNTIF($F49:$H49,"?*")&gt;0)),IF(COUNTIF($Q49:$X49,"?*")&gt;0,", ","")&amp;"incisos A-B","")</f>
        <v/>
      </c>
      <c r="Z49">
        <f>IF(AND($A49="Verdadero o Falso Simple",TRIM($I49)&lt;&gt;"",NOT(OR(LEFT(TRIM($I49),1)="A",LEFT(TRIM($I49),1)="B"))),IF(COUNTIF($Q49:$Y49,"?*")&gt;0,", ","")&amp;"respuesta A-B","")</f>
        <v/>
      </c>
      <c r="AA49">
        <f>IF(AND($A49="Respuesta A/B/Ambas/Ninguna",COUNTIF($D49:$G49,"?*")&lt;4),IF(COUNTIF($Q49:$Z49,"?*")&gt;0,", ","")&amp;"opciones A-D","")</f>
        <v/>
      </c>
      <c r="AB49">
        <f>IF(AND($A49="Respuesta A/B/Ambas/Ninguna",COUNTIF($H49:$H49,"?*")&gt;0),IF(COUNTIF($Q49:$AA49,"?*")&gt;0,", ","")&amp;"opcion E deshabilitada","")</f>
        <v/>
      </c>
      <c r="AC49">
        <f>IF(AND($A49="Respuesta A/B/Ambas/Ninguna",TRIM($I49)&lt;&gt;"",NOT(OR(LEFT(TRIM($I49),1)="A",LEFT(TRIM($I49),1)="B",LEFT(TRIM($I49),1)="C",LEFT(TRIM($I49),1)="D"))),IF(COUNTIF($Q49:$AB49,"?*")&gt;0,", ","")&amp;"respuesta A-D","")</f>
        <v/>
      </c>
      <c r="AD49">
        <f>IF(AND($A49="Verdadero o Falso Complejas",OR(LEN(TRIM(SUBSTITUTE($D49,"1.","")))=0,LEN(TRIM(SUBSTITUTE($E49,"2.","")))=0,LEN(TRIM(SUBSTITUTE($F49,"3.","")))=0,LEN(TRIM(SUBSTITUTE($G49,"4.","")))=0)),IF(COUNTIF($Q49:$AC49,"?*")&gt;0,", ","")&amp;"incisos 1-4","")</f>
        <v/>
      </c>
      <c r="AE49">
        <f>IF(AND($A49="Verdadero o Falso Complejas",COUNTIF($H49:$H49,"?*")&gt;0),IF(COUNTIF($Q49:$AD49,"?*")&gt;0,", ","")&amp;"opcion E deshabilitada","")</f>
        <v/>
      </c>
      <c r="AF49">
        <f>IF(AND($A49="Verdadero o Falso Complejas",TRIM($I49)&lt;&gt;"",NOT(OR(LEFT(TRIM($I49),1)="A",LEFT(TRIM($I49),1)="B",LEFT(TRIM($I49),1)="C",LEFT(TRIM($I49),1)="D",LEFT(TRIM($I49),1)="E"))),IF(COUNTIF($Q49:$AE49,"?*")&gt;0,", ","")&amp;"respuesta A-E","")</f>
        <v/>
      </c>
      <c r="AG49">
        <f>IF(AND(OR($A49="Selección de la mejor respuesta",$A49="Subítem de caso o problema"),COUNTA($D49:$H49)&lt;5),IF(COUNTIF($Q49:$AF49,"?*")&gt;0,", ","")&amp;"incisos A-E","")</f>
        <v/>
      </c>
      <c r="AH49">
        <f>IF(AND(OR($A49="Selección de la mejor respuesta",$A49="Subítem de caso o problema"),TRIM($I49)&lt;&gt;"",NOT(OR(LEFT(TRIM($I49),1)="A",LEFT(TRIM($I49),1)="B",LEFT(TRIM($I49),1)="C",LEFT(TRIM($I49),1)="D",LEFT(TRIM($I49),1)="E"))),IF(COUNTIF($Q49:$AG49,"?*")&gt;0,", ","")&amp;"respuesta A-E","")</f>
        <v/>
      </c>
      <c r="AI49">
        <f>IF(AND(OR($A49="Ítems agrupados por caso clínico o problema",$A49="Opción de Emparejamiento Ampliado"),COUNTIF($D49:$H49,"?*")&gt;0),IF(COUNTIF($Q49:$AH49,"?*")&gt;0,", ","")&amp;"sin incisos","")</f>
        <v/>
      </c>
      <c r="AJ49">
        <f>IF(AND($A49="Emparejamiento Ampliado",COUNTIF($D49:$H49,"?*")&lt;2),IF(COUNTIF($Q49:$AI49,"?*")&gt;0,", ","")&amp;"minimo 2 claves","")</f>
        <v/>
      </c>
      <c r="AK49">
        <f>IF(AND($A49="Opción de Emparejamiento Ampliado",NOT(OR(LEFT(TRIM($I49),1)="A",LEFT(TRIM($I49),1)="B",LEFT(TRIM($I49),1)="C",LEFT(TRIM($I49),1)="D",LEFT(TRIM($I49),1)="E"))),IF(COUNTIF($Q49:$AJ49,"?*")&gt;0,", ","")&amp;"respuesta A-E","")</f>
        <v/>
      </c>
      <c r="AL49">
        <f>IF(TRIM($K49)="",IF(COUNTIF($M49:$M49,"?*")&gt;0,", ","")&amp;"parcial","")</f>
        <v/>
      </c>
      <c r="AM49">
        <f>IF(AND(TRIM($K49)&lt;&gt;"",TRIM($K49)&lt;&gt;VALIDACIONES!$G$1),IF(COUNTIF($M49:$N49,"?*")&gt;0,", ","")&amp;"parcial distinto a "&amp;VALIDACIONES!$G$1,"")</f>
        <v/>
      </c>
      <c r="AN49">
        <f>IF(AND(OR($A49="Ítems agrupados por caso clínico o problema",$A49="Subítem de caso o problema",$A49="Emparejamiento Ampliado",$A49="Opción de Emparejamiento Ampliado"),TRIM($B49)=""),IF(COUNTIF($M49:$O49,"?*")&gt;0,", ","")&amp;"grupo","")</f>
        <v/>
      </c>
    </row>
    <row r="50" ht="24" customHeight="1">
      <c r="A50" s="346" t="n"/>
      <c r="B50" s="346" t="n"/>
      <c r="C50" s="346" t="n"/>
      <c r="D50" s="346">
        <f>IF($A50="Verdadero o Falso Simple","Verdadero",IF($A50="Respuesta A/B/Ambas/Ninguna","A. Si la primera es verdadera",IF($A50="Verdadero o Falso Complejas","1. ","")))</f>
        <v/>
      </c>
      <c r="E50" s="346">
        <f>IF($A50="Verdadero o Falso Simple","Falso",IF($A50="Respuesta A/B/Ambas/Ninguna","B. Si la segunda es verdadera",IF($A50="Verdadero o Falso Complejas","2. ","")))</f>
        <v/>
      </c>
      <c r="F50" s="346">
        <f>IF($A50="Respuesta A/B/Ambas/Ninguna","C. Si ambas son verdaderas",IF($A50="Verdadero o Falso Complejas","3. ",""))</f>
        <v/>
      </c>
      <c r="G50" s="346">
        <f>IF($A50="Respuesta A/B/Ambas/Ninguna","D. Si ninguna es verdadera",IF($A50="Verdadero o Falso Complejas","4. ",""))</f>
        <v/>
      </c>
      <c r="H50" s="346">
        <f>IF($A50="Verdadero o Falso Simple","",IF($A50="Respuesta A/B/Ambas/Ninguna","",IF($A50="Verdadero o Falso Complejas","","")))</f>
        <v/>
      </c>
      <c r="I50" s="346" t="n"/>
      <c r="J50" s="346" t="n">
        <v>3</v>
      </c>
      <c r="K50" s="346" t="inlineStr">
        <is>
          <t>2P</t>
        </is>
      </c>
      <c r="L50" s="347">
        <f>IF(TRIM($A50)="","",IF(OR($A50="Selección de la mejor respuesta",$A50="SELECCION_MEJOR_RESPUESTA",$A50="Subítem de caso o problema",$A50="SUBITEM_CASO"),IF(TRIM($C50)="","Completar enunciado",IF(SUMPRODUCT(--(LEN(TRIM($D50:$H50&amp;""))&gt;0))&lt;5,"Completar opciones A-E",IF(AND(TRIM($I50)&lt;&gt;"",OR(LEFT(TRIM($I50),1)="A",LEFT(TRIM($I50),1)="B",LEFT(TRIM($I50),1)="C",LEFT(TRIM($I50),1)="D",LEFT(TRIM($I50),1)="E")),"OK","Completar respuesta correcta A-E"))),IF(TRIM($A50)="","",IF(COUNTIF($Q50:$AJ50,"?*")=0,"OK","Falta revisar: "&amp;$Q50&amp;$R50&amp;$S50&amp;$T50&amp;$U50&amp;$V50&amp;$W50&amp;$X50&amp;$Y50&amp;$Z50&amp;$AA50&amp;$AB50&amp;$AC50&amp;$AD50&amp;$AE50&amp;$AF50&amp;$AG50&amp;$AH50&amp;$AI50&amp;$AJ50))))</f>
        <v/>
      </c>
      <c r="M50" s="341" t="n"/>
      <c r="Q50">
        <f>IF(TRIM($C50)="","enunciado","")</f>
        <v/>
      </c>
      <c r="R50">
        <f>IF(TRIM($K50)="",IF(COUNTIF($Q50:$Q50,"?*")&gt;0,", ","")&amp;"parcial","")</f>
        <v/>
      </c>
      <c r="S50">
        <f>IF(AND(TRIM($K50)&lt;&gt;"",TRIM($K50)&lt;&gt;VALIDACIONES!$G$1),IF(COUNTIF($Q50:$R50,"?*")&gt;0,", ","")&amp;"parcial distinto a "&amp;VALIDACIONES!$G$1,"")</f>
        <v/>
      </c>
      <c r="T50">
        <f>IF(AND(OR($A50="Ítems agrupados por caso clínico o problema",$A50="Subítem de caso o problema",$A50="Emparejamiento Ampliado",$A50="Opción de Emparejamiento Ampliado"),TRIM($B50)=""),IF(COUNTIF($Q50:$S50,"?*")&gt;0,", ","")&amp;"grupo","")</f>
        <v/>
      </c>
      <c r="U50">
        <f>IF(AND(OR($A50="Verdadero o Falso Simple",$A50="Respuesta A/B/Ambas/Ninguna",$A50="Verdadero o Falso Complejas",$A50="Selección de la mejor respuesta",$A50="Subítem de caso o problema",$A50="Opción de Emparejamiento Ampliado"),TRIM($I50)=""),IF(COUNTIF($Q50:$T50,"?*")&gt;0,", ","")&amp;"respuesta_correcta","")</f>
        <v/>
      </c>
      <c r="V50">
        <f>IF(AND(OR($A50="Verdadero o Falso Simple",$A50="Respuesta A/B/Ambas/Ninguna",$A50="Verdadero o Falso Complejas",$A50="Selección de la mejor respuesta",$A50="Subítem de caso o problema",$A50="Opción de Emparejamiento Ampliado"),TRIM($J50)=""),IF(COUNTIF($Q50:$U50,"?*")&gt;0,", ","")&amp;"dificultad","")</f>
        <v/>
      </c>
      <c r="W50">
        <f>IF(AND(OR($A50="Ítems agrupados por caso clínico o problema",$A50="Emparejamiento Ampliado"),TRIM($I50)&lt;&gt;""),IF(COUNTIF($Q50:$V50,"?*")&gt;0,", ","")&amp;"respuesta debe ir vacia","")</f>
        <v/>
      </c>
      <c r="X50">
        <f>IF(AND(OR($A50="Ítems agrupados por caso clínico o problema",$A50="Emparejamiento Ampliado"),TRIM($J50)&lt;&gt;""),IF(COUNTIF($Q50:$W50,"?*")&gt;0,", ","")&amp;"dificultad debe ir vacia","")</f>
        <v/>
      </c>
      <c r="Y50">
        <f>IF(AND($A50="Verdadero o Falso Simple",OR(COUNTIF($D50:$E50,"?*")&lt;2,COUNTIF($F50:$H50,"?*")&gt;0)),IF(COUNTIF($Q50:$X50,"?*")&gt;0,", ","")&amp;"incisos A-B","")</f>
        <v/>
      </c>
      <c r="Z50">
        <f>IF(AND($A50="Verdadero o Falso Simple",TRIM($I50)&lt;&gt;"",NOT(OR(LEFT(TRIM($I50),1)="A",LEFT(TRIM($I50),1)="B"))),IF(COUNTIF($Q50:$Y50,"?*")&gt;0,", ","")&amp;"respuesta A-B","")</f>
        <v/>
      </c>
      <c r="AA50">
        <f>IF(AND($A50="Respuesta A/B/Ambas/Ninguna",COUNTIF($D50:$G50,"?*")&lt;4),IF(COUNTIF($Q50:$Z50,"?*")&gt;0,", ","")&amp;"opciones A-D","")</f>
        <v/>
      </c>
      <c r="AB50">
        <f>IF(AND($A50="Respuesta A/B/Ambas/Ninguna",COUNTIF($H50:$H50,"?*")&gt;0),IF(COUNTIF($Q50:$AA50,"?*")&gt;0,", ","")&amp;"opcion E deshabilitada","")</f>
        <v/>
      </c>
      <c r="AC50">
        <f>IF(AND($A50="Respuesta A/B/Ambas/Ninguna",TRIM($I50)&lt;&gt;"",NOT(OR(LEFT(TRIM($I50),1)="A",LEFT(TRIM($I50),1)="B",LEFT(TRIM($I50),1)="C",LEFT(TRIM($I50),1)="D"))),IF(COUNTIF($Q50:$AB50,"?*")&gt;0,", ","")&amp;"respuesta A-D","")</f>
        <v/>
      </c>
      <c r="AD50">
        <f>IF(AND($A50="Verdadero o Falso Complejas",OR(LEN(TRIM(SUBSTITUTE($D50,"1.","")))=0,LEN(TRIM(SUBSTITUTE($E50,"2.","")))=0,LEN(TRIM(SUBSTITUTE($F50,"3.","")))=0,LEN(TRIM(SUBSTITUTE($G50,"4.","")))=0)),IF(COUNTIF($Q50:$AC50,"?*")&gt;0,", ","")&amp;"incisos 1-4","")</f>
        <v/>
      </c>
      <c r="AE50">
        <f>IF(AND($A50="Verdadero o Falso Complejas",COUNTIF($H50:$H50,"?*")&gt;0),IF(COUNTIF($Q50:$AD50,"?*")&gt;0,", ","")&amp;"opcion E deshabilitada","")</f>
        <v/>
      </c>
      <c r="AF50">
        <f>IF(AND($A50="Verdadero o Falso Complejas",TRIM($I50)&lt;&gt;"",NOT(OR(LEFT(TRIM($I50),1)="A",LEFT(TRIM($I50),1)="B",LEFT(TRIM($I50),1)="C",LEFT(TRIM($I50),1)="D",LEFT(TRIM($I50),1)="E"))),IF(COUNTIF($Q50:$AE50,"?*")&gt;0,", ","")&amp;"respuesta A-E","")</f>
        <v/>
      </c>
      <c r="AG50">
        <f>IF(AND(OR($A50="Selección de la mejor respuesta",$A50="Subítem de caso o problema"),COUNTA($D50:$H50)&lt;5),IF(COUNTIF($Q50:$AF50,"?*")&gt;0,", ","")&amp;"incisos A-E","")</f>
        <v/>
      </c>
      <c r="AH50">
        <f>IF(AND(OR($A50="Selección de la mejor respuesta",$A50="Subítem de caso o problema"),TRIM($I50)&lt;&gt;"",NOT(OR(LEFT(TRIM($I50),1)="A",LEFT(TRIM($I50),1)="B",LEFT(TRIM($I50),1)="C",LEFT(TRIM($I50),1)="D",LEFT(TRIM($I50),1)="E"))),IF(COUNTIF($Q50:$AG50,"?*")&gt;0,", ","")&amp;"respuesta A-E","")</f>
        <v/>
      </c>
      <c r="AI50">
        <f>IF(AND(OR($A50="Ítems agrupados por caso clínico o problema",$A50="Opción de Emparejamiento Ampliado"),COUNTIF($D50:$H50,"?*")&gt;0),IF(COUNTIF($Q50:$AH50,"?*")&gt;0,", ","")&amp;"sin incisos","")</f>
        <v/>
      </c>
      <c r="AJ50">
        <f>IF(AND($A50="Emparejamiento Ampliado",COUNTIF($D50:$H50,"?*")&lt;2),IF(COUNTIF($Q50:$AI50,"?*")&gt;0,", ","")&amp;"minimo 2 claves","")</f>
        <v/>
      </c>
      <c r="AK50">
        <f>IF(AND($A50="Opción de Emparejamiento Ampliado",NOT(OR(LEFT(TRIM($I50),1)="A",LEFT(TRIM($I50),1)="B",LEFT(TRIM($I50),1)="C",LEFT(TRIM($I50),1)="D",LEFT(TRIM($I50),1)="E"))),IF(COUNTIF($Q50:$AJ50,"?*")&gt;0,", ","")&amp;"respuesta A-E","")</f>
        <v/>
      </c>
      <c r="AL50">
        <f>IF(TRIM($K50)="",IF(COUNTIF($M50:$M50,"?*")&gt;0,", ","")&amp;"parcial","")</f>
        <v/>
      </c>
      <c r="AM50">
        <f>IF(AND(TRIM($K50)&lt;&gt;"",TRIM($K50)&lt;&gt;VALIDACIONES!$G$1),IF(COUNTIF($M50:$N50,"?*")&gt;0,", ","")&amp;"parcial distinto a "&amp;VALIDACIONES!$G$1,"")</f>
        <v/>
      </c>
      <c r="AN50">
        <f>IF(AND(OR($A50="Ítems agrupados por caso clínico o problema",$A50="Subítem de caso o problema",$A50="Emparejamiento Ampliado",$A50="Opción de Emparejamiento Ampliado"),TRIM($B50)=""),IF(COUNTIF($M50:$O50,"?*")&gt;0,", ","")&amp;"grupo","")</f>
        <v/>
      </c>
    </row>
    <row r="51" ht="24" customHeight="1">
      <c r="A51" s="346" t="n"/>
      <c r="B51" s="346" t="n"/>
      <c r="C51" s="346" t="n"/>
      <c r="D51" s="346">
        <f>IF($A51="Verdadero o Falso Simple","Verdadero",IF($A51="Respuesta A/B/Ambas/Ninguna","A. Si la primera es verdadera",IF($A51="Verdadero o Falso Complejas","1. ","")))</f>
        <v/>
      </c>
      <c r="E51" s="346">
        <f>IF($A51="Verdadero o Falso Simple","Falso",IF($A51="Respuesta A/B/Ambas/Ninguna","B. Si la segunda es verdadera",IF($A51="Verdadero o Falso Complejas","2. ","")))</f>
        <v/>
      </c>
      <c r="F51" s="346">
        <f>IF($A51="Respuesta A/B/Ambas/Ninguna","C. Si ambas son verdaderas",IF($A51="Verdadero o Falso Complejas","3. ",""))</f>
        <v/>
      </c>
      <c r="G51" s="346">
        <f>IF($A51="Respuesta A/B/Ambas/Ninguna","D. Si ninguna es verdadera",IF($A51="Verdadero o Falso Complejas","4. ",""))</f>
        <v/>
      </c>
      <c r="H51" s="346">
        <f>IF($A51="Verdadero o Falso Simple","",IF($A51="Respuesta A/B/Ambas/Ninguna","",IF($A51="Verdadero o Falso Complejas","","")))</f>
        <v/>
      </c>
      <c r="I51" s="346" t="n"/>
      <c r="J51" s="346" t="n">
        <v>3</v>
      </c>
      <c r="K51" s="346" t="inlineStr">
        <is>
          <t>2P</t>
        </is>
      </c>
      <c r="L51" s="347">
        <f>IF(TRIM($A51)="","",IF(OR($A51="Selección de la mejor respuesta",$A51="SELECCION_MEJOR_RESPUESTA",$A51="Subítem de caso o problema",$A51="SUBITEM_CASO"),IF(TRIM($C51)="","Completar enunciado",IF(SUMPRODUCT(--(LEN(TRIM($D51:$H51&amp;""))&gt;0))&lt;5,"Completar opciones A-E",IF(AND(TRIM($I51)&lt;&gt;"",OR(LEFT(TRIM($I51),1)="A",LEFT(TRIM($I51),1)="B",LEFT(TRIM($I51),1)="C",LEFT(TRIM($I51),1)="D",LEFT(TRIM($I51),1)="E")),"OK","Completar respuesta correcta A-E"))),IF(TRIM($A51)="","",IF(COUNTIF($Q51:$AJ51,"?*")=0,"OK","Falta revisar: "&amp;$Q51&amp;$R51&amp;$S51&amp;$T51&amp;$U51&amp;$V51&amp;$W51&amp;$X51&amp;$Y51&amp;$Z51&amp;$AA51&amp;$AB51&amp;$AC51&amp;$AD51&amp;$AE51&amp;$AF51&amp;$AG51&amp;$AH51&amp;$AI51&amp;$AJ51))))</f>
        <v/>
      </c>
      <c r="M51" s="341" t="n"/>
      <c r="Q51">
        <f>IF(TRIM($C51)="","enunciado","")</f>
        <v/>
      </c>
      <c r="R51">
        <f>IF(TRIM($K51)="",IF(COUNTIF($Q51:$Q51,"?*")&gt;0,", ","")&amp;"parcial","")</f>
        <v/>
      </c>
      <c r="S51">
        <f>IF(AND(TRIM($K51)&lt;&gt;"",TRIM($K51)&lt;&gt;VALIDACIONES!$G$1),IF(COUNTIF($Q51:$R51,"?*")&gt;0,", ","")&amp;"parcial distinto a "&amp;VALIDACIONES!$G$1,"")</f>
        <v/>
      </c>
      <c r="T51">
        <f>IF(AND(OR($A51="Ítems agrupados por caso clínico o problema",$A51="Subítem de caso o problema",$A51="Emparejamiento Ampliado",$A51="Opción de Emparejamiento Ampliado"),TRIM($B51)=""),IF(COUNTIF($Q51:$S51,"?*")&gt;0,", ","")&amp;"grupo","")</f>
        <v/>
      </c>
      <c r="U51">
        <f>IF(AND(OR($A51="Verdadero o Falso Simple",$A51="Respuesta A/B/Ambas/Ninguna",$A51="Verdadero o Falso Complejas",$A51="Selección de la mejor respuesta",$A51="Subítem de caso o problema",$A51="Opción de Emparejamiento Ampliado"),TRIM($I51)=""),IF(COUNTIF($Q51:$T51,"?*")&gt;0,", ","")&amp;"respuesta_correcta","")</f>
        <v/>
      </c>
      <c r="V51">
        <f>IF(AND(OR($A51="Verdadero o Falso Simple",$A51="Respuesta A/B/Ambas/Ninguna",$A51="Verdadero o Falso Complejas",$A51="Selección de la mejor respuesta",$A51="Subítem de caso o problema",$A51="Opción de Emparejamiento Ampliado"),TRIM($J51)=""),IF(COUNTIF($Q51:$U51,"?*")&gt;0,", ","")&amp;"dificultad","")</f>
        <v/>
      </c>
      <c r="W51">
        <f>IF(AND(OR($A51="Ítems agrupados por caso clínico o problema",$A51="Emparejamiento Ampliado"),TRIM($I51)&lt;&gt;""),IF(COUNTIF($Q51:$V51,"?*")&gt;0,", ","")&amp;"respuesta debe ir vacia","")</f>
        <v/>
      </c>
      <c r="X51">
        <f>IF(AND(OR($A51="Ítems agrupados por caso clínico o problema",$A51="Emparejamiento Ampliado"),TRIM($J51)&lt;&gt;""),IF(COUNTIF($Q51:$W51,"?*")&gt;0,", ","")&amp;"dificultad debe ir vacia","")</f>
        <v/>
      </c>
      <c r="Y51">
        <f>IF(AND($A51="Verdadero o Falso Simple",OR(COUNTIF($D51:$E51,"?*")&lt;2,COUNTIF($F51:$H51,"?*")&gt;0)),IF(COUNTIF($Q51:$X51,"?*")&gt;0,", ","")&amp;"incisos A-B","")</f>
        <v/>
      </c>
      <c r="Z51">
        <f>IF(AND($A51="Verdadero o Falso Simple",TRIM($I51)&lt;&gt;"",NOT(OR(LEFT(TRIM($I51),1)="A",LEFT(TRIM($I51),1)="B"))),IF(COUNTIF($Q51:$Y51,"?*")&gt;0,", ","")&amp;"respuesta A-B","")</f>
        <v/>
      </c>
      <c r="AA51">
        <f>IF(AND($A51="Respuesta A/B/Ambas/Ninguna",COUNTIF($D51:$G51,"?*")&lt;4),IF(COUNTIF($Q51:$Z51,"?*")&gt;0,", ","")&amp;"opciones A-D","")</f>
        <v/>
      </c>
      <c r="AB51">
        <f>IF(AND($A51="Respuesta A/B/Ambas/Ninguna",COUNTIF($H51:$H51,"?*")&gt;0),IF(COUNTIF($Q51:$AA51,"?*")&gt;0,", ","")&amp;"opcion E deshabilitada","")</f>
        <v/>
      </c>
      <c r="AC51">
        <f>IF(AND($A51="Respuesta A/B/Ambas/Ninguna",TRIM($I51)&lt;&gt;"",NOT(OR(LEFT(TRIM($I51),1)="A",LEFT(TRIM($I51),1)="B",LEFT(TRIM($I51),1)="C",LEFT(TRIM($I51),1)="D"))),IF(COUNTIF($Q51:$AB51,"?*")&gt;0,", ","")&amp;"respuesta A-D","")</f>
        <v/>
      </c>
      <c r="AD51">
        <f>IF(AND($A51="Verdadero o Falso Complejas",OR(LEN(TRIM(SUBSTITUTE($D51,"1.","")))=0,LEN(TRIM(SUBSTITUTE($E51,"2.","")))=0,LEN(TRIM(SUBSTITUTE($F51,"3.","")))=0,LEN(TRIM(SUBSTITUTE($G51,"4.","")))=0)),IF(COUNTIF($Q51:$AC51,"?*")&gt;0,", ","")&amp;"incisos 1-4","")</f>
        <v/>
      </c>
      <c r="AE51">
        <f>IF(AND($A51="Verdadero o Falso Complejas",COUNTIF($H51:$H51,"?*")&gt;0),IF(COUNTIF($Q51:$AD51,"?*")&gt;0,", ","")&amp;"opcion E deshabilitada","")</f>
        <v/>
      </c>
      <c r="AF51">
        <f>IF(AND($A51="Verdadero o Falso Complejas",TRIM($I51)&lt;&gt;"",NOT(OR(LEFT(TRIM($I51),1)="A",LEFT(TRIM($I51),1)="B",LEFT(TRIM($I51),1)="C",LEFT(TRIM($I51),1)="D",LEFT(TRIM($I51),1)="E"))),IF(COUNTIF($Q51:$AE51,"?*")&gt;0,", ","")&amp;"respuesta A-E","")</f>
        <v/>
      </c>
      <c r="AG51">
        <f>IF(AND(OR($A51="Selección de la mejor respuesta",$A51="Subítem de caso o problema"),COUNTA($D51:$H51)&lt;5),IF(COUNTIF($Q51:$AF51,"?*")&gt;0,", ","")&amp;"incisos A-E","")</f>
        <v/>
      </c>
      <c r="AH51">
        <f>IF(AND(OR($A51="Selección de la mejor respuesta",$A51="Subítem de caso o problema"),TRIM($I51)&lt;&gt;"",NOT(OR(LEFT(TRIM($I51),1)="A",LEFT(TRIM($I51),1)="B",LEFT(TRIM($I51),1)="C",LEFT(TRIM($I51),1)="D",LEFT(TRIM($I51),1)="E"))),IF(COUNTIF($Q51:$AG51,"?*")&gt;0,", ","")&amp;"respuesta A-E","")</f>
        <v/>
      </c>
      <c r="AI51">
        <f>IF(AND(OR($A51="Ítems agrupados por caso clínico o problema",$A51="Opción de Emparejamiento Ampliado"),COUNTIF($D51:$H51,"?*")&gt;0),IF(COUNTIF($Q51:$AH51,"?*")&gt;0,", ","")&amp;"sin incisos","")</f>
        <v/>
      </c>
      <c r="AJ51">
        <f>IF(AND($A51="Emparejamiento Ampliado",COUNTIF($D51:$H51,"?*")&lt;2),IF(COUNTIF($Q51:$AI51,"?*")&gt;0,", ","")&amp;"minimo 2 claves","")</f>
        <v/>
      </c>
      <c r="AK51">
        <f>IF(AND($A51="Opción de Emparejamiento Ampliado",NOT(OR(LEFT(TRIM($I51),1)="A",LEFT(TRIM($I51),1)="B",LEFT(TRIM($I51),1)="C",LEFT(TRIM($I51),1)="D",LEFT(TRIM($I51),1)="E"))),IF(COUNTIF($Q51:$AJ51,"?*")&gt;0,", ","")&amp;"respuesta A-E","")</f>
        <v/>
      </c>
      <c r="AL51">
        <f>IF(TRIM($K51)="",IF(COUNTIF($M51:$M51,"?*")&gt;0,", ","")&amp;"parcial","")</f>
        <v/>
      </c>
      <c r="AM51">
        <f>IF(AND(TRIM($K51)&lt;&gt;"",TRIM($K51)&lt;&gt;VALIDACIONES!$G$1),IF(COUNTIF($M51:$N51,"?*")&gt;0,", ","")&amp;"parcial distinto a "&amp;VALIDACIONES!$G$1,"")</f>
        <v/>
      </c>
      <c r="AN51">
        <f>IF(AND(OR($A51="Ítems agrupados por caso clínico o problema",$A51="Subítem de caso o problema",$A51="Emparejamiento Ampliado",$A51="Opción de Emparejamiento Ampliado"),TRIM($B51)=""),IF(COUNTIF($M51:$O51,"?*")&gt;0,", ","")&amp;"grupo","")</f>
        <v/>
      </c>
    </row>
    <row r="52" ht="24" customHeight="1">
      <c r="A52" s="346" t="n"/>
      <c r="B52" s="346" t="n"/>
      <c r="C52" s="346" t="n"/>
      <c r="D52" s="346">
        <f>IF($A52="Verdadero o Falso Simple","Verdadero",IF($A52="Respuesta A/B/Ambas/Ninguna","A. Si la primera es verdadera",IF($A52="Verdadero o Falso Complejas","1. ","")))</f>
        <v/>
      </c>
      <c r="E52" s="346">
        <f>IF($A52="Verdadero o Falso Simple","Falso",IF($A52="Respuesta A/B/Ambas/Ninguna","B. Si la segunda es verdadera",IF($A52="Verdadero o Falso Complejas","2. ","")))</f>
        <v/>
      </c>
      <c r="F52" s="346">
        <f>IF($A52="Respuesta A/B/Ambas/Ninguna","C. Si ambas son verdaderas",IF($A52="Verdadero o Falso Complejas","3. ",""))</f>
        <v/>
      </c>
      <c r="G52" s="346">
        <f>IF($A52="Respuesta A/B/Ambas/Ninguna","D. Si ninguna es verdadera",IF($A52="Verdadero o Falso Complejas","4. ",""))</f>
        <v/>
      </c>
      <c r="H52" s="346">
        <f>IF($A52="Verdadero o Falso Simple","",IF($A52="Respuesta A/B/Ambas/Ninguna","",IF($A52="Verdadero o Falso Complejas","","")))</f>
        <v/>
      </c>
      <c r="I52" s="346" t="n"/>
      <c r="J52" s="346" t="n">
        <v>3</v>
      </c>
      <c r="K52" s="346" t="inlineStr">
        <is>
          <t>2P</t>
        </is>
      </c>
      <c r="L52" s="347">
        <f>IF(TRIM($A52)="","",IF(OR($A52="Selección de la mejor respuesta",$A52="SELECCION_MEJOR_RESPUESTA",$A52="Subítem de caso o problema",$A52="SUBITEM_CASO"),IF(TRIM($C52)="","Completar enunciado",IF(SUMPRODUCT(--(LEN(TRIM($D52:$H52&amp;""))&gt;0))&lt;5,"Completar opciones A-E",IF(AND(TRIM($I52)&lt;&gt;"",OR(LEFT(TRIM($I52),1)="A",LEFT(TRIM($I52),1)="B",LEFT(TRIM($I52),1)="C",LEFT(TRIM($I52),1)="D",LEFT(TRIM($I52),1)="E")),"OK","Completar respuesta correcta A-E"))),IF(TRIM($A52)="","",IF(COUNTIF($Q52:$AJ52,"?*")=0,"OK","Falta revisar: "&amp;$Q52&amp;$R52&amp;$S52&amp;$T52&amp;$U52&amp;$V52&amp;$W52&amp;$X52&amp;$Y52&amp;$Z52&amp;$AA52&amp;$AB52&amp;$AC52&amp;$AD52&amp;$AE52&amp;$AF52&amp;$AG52&amp;$AH52&amp;$AI52&amp;$AJ52))))</f>
        <v/>
      </c>
      <c r="M52" s="341" t="n"/>
      <c r="Q52">
        <f>IF(TRIM($C52)="","enunciado","")</f>
        <v/>
      </c>
      <c r="R52">
        <f>IF(TRIM($K52)="",IF(COUNTIF($Q52:$Q52,"?*")&gt;0,", ","")&amp;"parcial","")</f>
        <v/>
      </c>
      <c r="S52">
        <f>IF(AND(TRIM($K52)&lt;&gt;"",TRIM($K52)&lt;&gt;VALIDACIONES!$G$1),IF(COUNTIF($Q52:$R52,"?*")&gt;0,", ","")&amp;"parcial distinto a "&amp;VALIDACIONES!$G$1,"")</f>
        <v/>
      </c>
      <c r="T52">
        <f>IF(AND(OR($A52="Ítems agrupados por caso clínico o problema",$A52="Subítem de caso o problema",$A52="Emparejamiento Ampliado",$A52="Opción de Emparejamiento Ampliado"),TRIM($B52)=""),IF(COUNTIF($Q52:$S52,"?*")&gt;0,", ","")&amp;"grupo","")</f>
        <v/>
      </c>
      <c r="U52">
        <f>IF(AND(OR($A52="Verdadero o Falso Simple",$A52="Respuesta A/B/Ambas/Ninguna",$A52="Verdadero o Falso Complejas",$A52="Selección de la mejor respuesta",$A52="Subítem de caso o problema",$A52="Opción de Emparejamiento Ampliado"),TRIM($I52)=""),IF(COUNTIF($Q52:$T52,"?*")&gt;0,", ","")&amp;"respuesta_correcta","")</f>
        <v/>
      </c>
      <c r="V52">
        <f>IF(AND(OR($A52="Verdadero o Falso Simple",$A52="Respuesta A/B/Ambas/Ninguna",$A52="Verdadero o Falso Complejas",$A52="Selección de la mejor respuesta",$A52="Subítem de caso o problema",$A52="Opción de Emparejamiento Ampliado"),TRIM($J52)=""),IF(COUNTIF($Q52:$U52,"?*")&gt;0,", ","")&amp;"dificultad","")</f>
        <v/>
      </c>
      <c r="W52">
        <f>IF(AND(OR($A52="Ítems agrupados por caso clínico o problema",$A52="Emparejamiento Ampliado"),TRIM($I52)&lt;&gt;""),IF(COUNTIF($Q52:$V52,"?*")&gt;0,", ","")&amp;"respuesta debe ir vacia","")</f>
        <v/>
      </c>
      <c r="X52">
        <f>IF(AND(OR($A52="Ítems agrupados por caso clínico o problema",$A52="Emparejamiento Ampliado"),TRIM($J52)&lt;&gt;""),IF(COUNTIF($Q52:$W52,"?*")&gt;0,", ","")&amp;"dificultad debe ir vacia","")</f>
        <v/>
      </c>
      <c r="Y52">
        <f>IF(AND($A52="Verdadero o Falso Simple",OR(COUNTIF($D52:$E52,"?*")&lt;2,COUNTIF($F52:$H52,"?*")&gt;0)),IF(COUNTIF($Q52:$X52,"?*")&gt;0,", ","")&amp;"incisos A-B","")</f>
        <v/>
      </c>
      <c r="Z52">
        <f>IF(AND($A52="Verdadero o Falso Simple",TRIM($I52)&lt;&gt;"",NOT(OR(LEFT(TRIM($I52),1)="A",LEFT(TRIM($I52),1)="B"))),IF(COUNTIF($Q52:$Y52,"?*")&gt;0,", ","")&amp;"respuesta A-B","")</f>
        <v/>
      </c>
      <c r="AA52">
        <f>IF(AND($A52="Respuesta A/B/Ambas/Ninguna",COUNTIF($D52:$G52,"?*")&lt;4),IF(COUNTIF($Q52:$Z52,"?*")&gt;0,", ","")&amp;"opciones A-D","")</f>
        <v/>
      </c>
      <c r="AB52">
        <f>IF(AND($A52="Respuesta A/B/Ambas/Ninguna",COUNTIF($H52:$H52,"?*")&gt;0),IF(COUNTIF($Q52:$AA52,"?*")&gt;0,", ","")&amp;"opcion E deshabilitada","")</f>
        <v/>
      </c>
      <c r="AC52">
        <f>IF(AND($A52="Respuesta A/B/Ambas/Ninguna",TRIM($I52)&lt;&gt;"",NOT(OR(LEFT(TRIM($I52),1)="A",LEFT(TRIM($I52),1)="B",LEFT(TRIM($I52),1)="C",LEFT(TRIM($I52),1)="D"))),IF(COUNTIF($Q52:$AB52,"?*")&gt;0,", ","")&amp;"respuesta A-D","")</f>
        <v/>
      </c>
      <c r="AD52">
        <f>IF(AND($A52="Verdadero o Falso Complejas",OR(LEN(TRIM(SUBSTITUTE($D52,"1.","")))=0,LEN(TRIM(SUBSTITUTE($E52,"2.","")))=0,LEN(TRIM(SUBSTITUTE($F52,"3.","")))=0,LEN(TRIM(SUBSTITUTE($G52,"4.","")))=0)),IF(COUNTIF($Q52:$AC52,"?*")&gt;0,", ","")&amp;"incisos 1-4","")</f>
        <v/>
      </c>
      <c r="AE52">
        <f>IF(AND($A52="Verdadero o Falso Complejas",COUNTIF($H52:$H52,"?*")&gt;0),IF(COUNTIF($Q52:$AD52,"?*")&gt;0,", ","")&amp;"opcion E deshabilitada","")</f>
        <v/>
      </c>
      <c r="AF52">
        <f>IF(AND($A52="Verdadero o Falso Complejas",TRIM($I52)&lt;&gt;"",NOT(OR(LEFT(TRIM($I52),1)="A",LEFT(TRIM($I52),1)="B",LEFT(TRIM($I52),1)="C",LEFT(TRIM($I52),1)="D",LEFT(TRIM($I52),1)="E"))),IF(COUNTIF($Q52:$AE52,"?*")&gt;0,", ","")&amp;"respuesta A-E","")</f>
        <v/>
      </c>
      <c r="AG52">
        <f>IF(AND(OR($A52="Selección de la mejor respuesta",$A52="Subítem de caso o problema"),COUNTA($D52:$H52)&lt;5),IF(COUNTIF($Q52:$AF52,"?*")&gt;0,", ","")&amp;"incisos A-E","")</f>
        <v/>
      </c>
      <c r="AH52">
        <f>IF(AND(OR($A52="Selección de la mejor respuesta",$A52="Subítem de caso o problema"),TRIM($I52)&lt;&gt;"",NOT(OR(LEFT(TRIM($I52),1)="A",LEFT(TRIM($I52),1)="B",LEFT(TRIM($I52),1)="C",LEFT(TRIM($I52),1)="D",LEFT(TRIM($I52),1)="E"))),IF(COUNTIF($Q52:$AG52,"?*")&gt;0,", ","")&amp;"respuesta A-E","")</f>
        <v/>
      </c>
      <c r="AI52">
        <f>IF(AND(OR($A52="Ítems agrupados por caso clínico o problema",$A52="Opción de Emparejamiento Ampliado"),COUNTIF($D52:$H52,"?*")&gt;0),IF(COUNTIF($Q52:$AH52,"?*")&gt;0,", ","")&amp;"sin incisos","")</f>
        <v/>
      </c>
      <c r="AJ52">
        <f>IF(AND($A52="Emparejamiento Ampliado",COUNTIF($D52:$H52,"?*")&lt;2),IF(COUNTIF($Q52:$AI52,"?*")&gt;0,", ","")&amp;"minimo 2 claves","")</f>
        <v/>
      </c>
      <c r="AK52">
        <f>IF(AND($A52="Opción de Emparejamiento Ampliado",NOT(OR(LEFT(TRIM($I52),1)="A",LEFT(TRIM($I52),1)="B",LEFT(TRIM($I52),1)="C",LEFT(TRIM($I52),1)="D",LEFT(TRIM($I52),1)="E"))),IF(COUNTIF($Q52:$AJ52,"?*")&gt;0,", ","")&amp;"respuesta A-E","")</f>
        <v/>
      </c>
      <c r="AL52">
        <f>IF(TRIM($K52)="",IF(COUNTIF($M52:$M52,"?*")&gt;0,", ","")&amp;"parcial","")</f>
        <v/>
      </c>
      <c r="AM52">
        <f>IF(AND(TRIM($K52)&lt;&gt;"",TRIM($K52)&lt;&gt;VALIDACIONES!$G$1),IF(COUNTIF($M52:$N52,"?*")&gt;0,", ","")&amp;"parcial distinto a "&amp;VALIDACIONES!$G$1,"")</f>
        <v/>
      </c>
      <c r="AN52">
        <f>IF(AND(OR($A52="Ítems agrupados por caso clínico o problema",$A52="Subítem de caso o problema",$A52="Emparejamiento Ampliado",$A52="Opción de Emparejamiento Ampliado"),TRIM($B52)=""),IF(COUNTIF($M52:$O52,"?*")&gt;0,", ","")&amp;"grupo","")</f>
        <v/>
      </c>
    </row>
    <row r="53" ht="24" customHeight="1">
      <c r="A53" s="346" t="n"/>
      <c r="B53" s="346" t="n"/>
      <c r="C53" s="346" t="n"/>
      <c r="D53" s="346">
        <f>IF($A53="Verdadero o Falso Simple","Verdadero",IF($A53="Respuesta A/B/Ambas/Ninguna","A. Si la primera es verdadera",IF($A53="Verdadero o Falso Complejas","1. ","")))</f>
        <v/>
      </c>
      <c r="E53" s="346">
        <f>IF($A53="Verdadero o Falso Simple","Falso",IF($A53="Respuesta A/B/Ambas/Ninguna","B. Si la segunda es verdadera",IF($A53="Verdadero o Falso Complejas","2. ","")))</f>
        <v/>
      </c>
      <c r="F53" s="346">
        <f>IF($A53="Respuesta A/B/Ambas/Ninguna","C. Si ambas son verdaderas",IF($A53="Verdadero o Falso Complejas","3. ",""))</f>
        <v/>
      </c>
      <c r="G53" s="346">
        <f>IF($A53="Respuesta A/B/Ambas/Ninguna","D. Si ninguna es verdadera",IF($A53="Verdadero o Falso Complejas","4. ",""))</f>
        <v/>
      </c>
      <c r="H53" s="346">
        <f>IF($A53="Verdadero o Falso Simple","",IF($A53="Respuesta A/B/Ambas/Ninguna","",IF($A53="Verdadero o Falso Complejas","","")))</f>
        <v/>
      </c>
      <c r="I53" s="346" t="n"/>
      <c r="J53" s="346" t="n">
        <v>3</v>
      </c>
      <c r="K53" s="346" t="inlineStr">
        <is>
          <t>2P</t>
        </is>
      </c>
      <c r="L53" s="347">
        <f>IF(TRIM($A53)="","",IF(OR($A53="Selección de la mejor respuesta",$A53="SELECCION_MEJOR_RESPUESTA",$A53="Subítem de caso o problema",$A53="SUBITEM_CASO"),IF(TRIM($C53)="","Completar enunciado",IF(SUMPRODUCT(--(LEN(TRIM($D53:$H53&amp;""))&gt;0))&lt;5,"Completar opciones A-E",IF(AND(TRIM($I53)&lt;&gt;"",OR(LEFT(TRIM($I53),1)="A",LEFT(TRIM($I53),1)="B",LEFT(TRIM($I53),1)="C",LEFT(TRIM($I53),1)="D",LEFT(TRIM($I53),1)="E")),"OK","Completar respuesta correcta A-E"))),IF(TRIM($A53)="","",IF(COUNTIF($Q53:$AJ53,"?*")=0,"OK","Falta revisar: "&amp;$Q53&amp;$R53&amp;$S53&amp;$T53&amp;$U53&amp;$V53&amp;$W53&amp;$X53&amp;$Y53&amp;$Z53&amp;$AA53&amp;$AB53&amp;$AC53&amp;$AD53&amp;$AE53&amp;$AF53&amp;$AG53&amp;$AH53&amp;$AI53&amp;$AJ53))))</f>
        <v/>
      </c>
      <c r="M53" s="341" t="n"/>
      <c r="Q53">
        <f>IF(TRIM($C53)="","enunciado","")</f>
        <v/>
      </c>
      <c r="R53">
        <f>IF(TRIM($K53)="",IF(COUNTIF($Q53:$Q53,"?*")&gt;0,", ","")&amp;"parcial","")</f>
        <v/>
      </c>
      <c r="S53">
        <f>IF(AND(TRIM($K53)&lt;&gt;"",TRIM($K53)&lt;&gt;VALIDACIONES!$G$1),IF(COUNTIF($Q53:$R53,"?*")&gt;0,", ","")&amp;"parcial distinto a "&amp;VALIDACIONES!$G$1,"")</f>
        <v/>
      </c>
      <c r="T53">
        <f>IF(AND(OR($A53="Ítems agrupados por caso clínico o problema",$A53="Subítem de caso o problema",$A53="Emparejamiento Ampliado",$A53="Opción de Emparejamiento Ampliado"),TRIM($B53)=""),IF(COUNTIF($Q53:$S53,"?*")&gt;0,", ","")&amp;"grupo","")</f>
        <v/>
      </c>
      <c r="U53">
        <f>IF(AND(OR($A53="Verdadero o Falso Simple",$A53="Respuesta A/B/Ambas/Ninguna",$A53="Verdadero o Falso Complejas",$A53="Selección de la mejor respuesta",$A53="Subítem de caso o problema",$A53="Opción de Emparejamiento Ampliado"),TRIM($I53)=""),IF(COUNTIF($Q53:$T53,"?*")&gt;0,", ","")&amp;"respuesta_correcta","")</f>
        <v/>
      </c>
      <c r="V53">
        <f>IF(AND(OR($A53="Verdadero o Falso Simple",$A53="Respuesta A/B/Ambas/Ninguna",$A53="Verdadero o Falso Complejas",$A53="Selección de la mejor respuesta",$A53="Subítem de caso o problema",$A53="Opción de Emparejamiento Ampliado"),TRIM($J53)=""),IF(COUNTIF($Q53:$U53,"?*")&gt;0,", ","")&amp;"dificultad","")</f>
        <v/>
      </c>
      <c r="W53">
        <f>IF(AND(OR($A53="Ítems agrupados por caso clínico o problema",$A53="Emparejamiento Ampliado"),TRIM($I53)&lt;&gt;""),IF(COUNTIF($Q53:$V53,"?*")&gt;0,", ","")&amp;"respuesta debe ir vacia","")</f>
        <v/>
      </c>
      <c r="X53">
        <f>IF(AND(OR($A53="Ítems agrupados por caso clínico o problema",$A53="Emparejamiento Ampliado"),TRIM($J53)&lt;&gt;""),IF(COUNTIF($Q53:$W53,"?*")&gt;0,", ","")&amp;"dificultad debe ir vacia","")</f>
        <v/>
      </c>
      <c r="Y53">
        <f>IF(AND($A53="Verdadero o Falso Simple",OR(COUNTIF($D53:$E53,"?*")&lt;2,COUNTIF($F53:$H53,"?*")&gt;0)),IF(COUNTIF($Q53:$X53,"?*")&gt;0,", ","")&amp;"incisos A-B","")</f>
        <v/>
      </c>
      <c r="Z53">
        <f>IF(AND($A53="Verdadero o Falso Simple",TRIM($I53)&lt;&gt;"",NOT(OR(LEFT(TRIM($I53),1)="A",LEFT(TRIM($I53),1)="B"))),IF(COUNTIF($Q53:$Y53,"?*")&gt;0,", ","")&amp;"respuesta A-B","")</f>
        <v/>
      </c>
      <c r="AA53">
        <f>IF(AND($A53="Respuesta A/B/Ambas/Ninguna",COUNTIF($D53:$G53,"?*")&lt;4),IF(COUNTIF($Q53:$Z53,"?*")&gt;0,", ","")&amp;"opciones A-D","")</f>
        <v/>
      </c>
      <c r="AB53">
        <f>IF(AND($A53="Respuesta A/B/Ambas/Ninguna",COUNTIF($H53:$H53,"?*")&gt;0),IF(COUNTIF($Q53:$AA53,"?*")&gt;0,", ","")&amp;"opcion E deshabilitada","")</f>
        <v/>
      </c>
      <c r="AC53">
        <f>IF(AND($A53="Respuesta A/B/Ambas/Ninguna",TRIM($I53)&lt;&gt;"",NOT(OR(LEFT(TRIM($I53),1)="A",LEFT(TRIM($I53),1)="B",LEFT(TRIM($I53),1)="C",LEFT(TRIM($I53),1)="D"))),IF(COUNTIF($Q53:$AB53,"?*")&gt;0,", ","")&amp;"respuesta A-D","")</f>
        <v/>
      </c>
      <c r="AD53">
        <f>IF(AND($A53="Verdadero o Falso Complejas",OR(LEN(TRIM(SUBSTITUTE($D53,"1.","")))=0,LEN(TRIM(SUBSTITUTE($E53,"2.","")))=0,LEN(TRIM(SUBSTITUTE($F53,"3.","")))=0,LEN(TRIM(SUBSTITUTE($G53,"4.","")))=0)),IF(COUNTIF($Q53:$AC53,"?*")&gt;0,", ","")&amp;"incisos 1-4","")</f>
        <v/>
      </c>
      <c r="AE53">
        <f>IF(AND($A53="Verdadero o Falso Complejas",COUNTIF($H53:$H53,"?*")&gt;0),IF(COUNTIF($Q53:$AD53,"?*")&gt;0,", ","")&amp;"opcion E deshabilitada","")</f>
        <v/>
      </c>
      <c r="AF53">
        <f>IF(AND($A53="Verdadero o Falso Complejas",TRIM($I53)&lt;&gt;"",NOT(OR(LEFT(TRIM($I53),1)="A",LEFT(TRIM($I53),1)="B",LEFT(TRIM($I53),1)="C",LEFT(TRIM($I53),1)="D",LEFT(TRIM($I53),1)="E"))),IF(COUNTIF($Q53:$AE53,"?*")&gt;0,", ","")&amp;"respuesta A-E","")</f>
        <v/>
      </c>
      <c r="AG53">
        <f>IF(AND(OR($A53="Selección de la mejor respuesta",$A53="Subítem de caso o problema"),COUNTA($D53:$H53)&lt;5),IF(COUNTIF($Q53:$AF53,"?*")&gt;0,", ","")&amp;"incisos A-E","")</f>
        <v/>
      </c>
      <c r="AH53">
        <f>IF(AND(OR($A53="Selección de la mejor respuesta",$A53="Subítem de caso o problema"),TRIM($I53)&lt;&gt;"",NOT(OR(LEFT(TRIM($I53),1)="A",LEFT(TRIM($I53),1)="B",LEFT(TRIM($I53),1)="C",LEFT(TRIM($I53),1)="D",LEFT(TRIM($I53),1)="E"))),IF(COUNTIF($Q53:$AG53,"?*")&gt;0,", ","")&amp;"respuesta A-E","")</f>
        <v/>
      </c>
      <c r="AI53">
        <f>IF(AND(OR($A53="Ítems agrupados por caso clínico o problema",$A53="Opción de Emparejamiento Ampliado"),COUNTIF($D53:$H53,"?*")&gt;0),IF(COUNTIF($Q53:$AH53,"?*")&gt;0,", ","")&amp;"sin incisos","")</f>
        <v/>
      </c>
      <c r="AJ53">
        <f>IF(AND($A53="Emparejamiento Ampliado",COUNTIF($D53:$H53,"?*")&lt;2),IF(COUNTIF($Q53:$AI53,"?*")&gt;0,", ","")&amp;"minimo 2 claves","")</f>
        <v/>
      </c>
      <c r="AK53">
        <f>IF(AND($A53="Opción de Emparejamiento Ampliado",NOT(OR(LEFT(TRIM($I53),1)="A",LEFT(TRIM($I53),1)="B",LEFT(TRIM($I53),1)="C",LEFT(TRIM($I53),1)="D",LEFT(TRIM($I53),1)="E"))),IF(COUNTIF($Q53:$AJ53,"?*")&gt;0,", ","")&amp;"respuesta A-E","")</f>
        <v/>
      </c>
      <c r="AL53">
        <f>IF(TRIM($K53)="",IF(COUNTIF($M53:$M53,"?*")&gt;0,", ","")&amp;"parcial","")</f>
        <v/>
      </c>
      <c r="AM53">
        <f>IF(AND(TRIM($K53)&lt;&gt;"",TRIM($K53)&lt;&gt;VALIDACIONES!$G$1),IF(COUNTIF($M53:$N53,"?*")&gt;0,", ","")&amp;"parcial distinto a "&amp;VALIDACIONES!$G$1,"")</f>
        <v/>
      </c>
      <c r="AN53">
        <f>IF(AND(OR($A53="Ítems agrupados por caso clínico o problema",$A53="Subítem de caso o problema",$A53="Emparejamiento Ampliado",$A53="Opción de Emparejamiento Ampliado"),TRIM($B53)=""),IF(COUNTIF($M53:$O53,"?*")&gt;0,", ","")&amp;"grupo","")</f>
        <v/>
      </c>
    </row>
    <row r="54" ht="24" customHeight="1">
      <c r="A54" s="346" t="n"/>
      <c r="B54" s="346" t="n"/>
      <c r="C54" s="346" t="n"/>
      <c r="D54" s="346">
        <f>IF($A54="Verdadero o Falso Simple","Verdadero",IF($A54="Respuesta A/B/Ambas/Ninguna","A. Si la primera es verdadera",IF($A54="Verdadero o Falso Complejas","1. ","")))</f>
        <v/>
      </c>
      <c r="E54" s="346">
        <f>IF($A54="Verdadero o Falso Simple","Falso",IF($A54="Respuesta A/B/Ambas/Ninguna","B. Si la segunda es verdadera",IF($A54="Verdadero o Falso Complejas","2. ","")))</f>
        <v/>
      </c>
      <c r="F54" s="346">
        <f>IF($A54="Respuesta A/B/Ambas/Ninguna","C. Si ambas son verdaderas",IF($A54="Verdadero o Falso Complejas","3. ",""))</f>
        <v/>
      </c>
      <c r="G54" s="346">
        <f>IF($A54="Respuesta A/B/Ambas/Ninguna","D. Si ninguna es verdadera",IF($A54="Verdadero o Falso Complejas","4. ",""))</f>
        <v/>
      </c>
      <c r="H54" s="346">
        <f>IF($A54="Verdadero o Falso Simple","",IF($A54="Respuesta A/B/Ambas/Ninguna","",IF($A54="Verdadero o Falso Complejas","","")))</f>
        <v/>
      </c>
      <c r="I54" s="346" t="n"/>
      <c r="J54" s="346" t="n">
        <v>3</v>
      </c>
      <c r="K54" s="346" t="inlineStr">
        <is>
          <t>2P</t>
        </is>
      </c>
      <c r="L54" s="347">
        <f>IF(TRIM($A54)="","",IF(OR($A54="Selección de la mejor respuesta",$A54="SELECCION_MEJOR_RESPUESTA",$A54="Subítem de caso o problema",$A54="SUBITEM_CASO"),IF(TRIM($C54)="","Completar enunciado",IF(SUMPRODUCT(--(LEN(TRIM($D54:$H54&amp;""))&gt;0))&lt;5,"Completar opciones A-E",IF(AND(TRIM($I54)&lt;&gt;"",OR(LEFT(TRIM($I54),1)="A",LEFT(TRIM($I54),1)="B",LEFT(TRIM($I54),1)="C",LEFT(TRIM($I54),1)="D",LEFT(TRIM($I54),1)="E")),"OK","Completar respuesta correcta A-E"))),IF(TRIM($A54)="","",IF(COUNTIF($Q54:$AJ54,"?*")=0,"OK","Falta revisar: "&amp;$Q54&amp;$R54&amp;$S54&amp;$T54&amp;$U54&amp;$V54&amp;$W54&amp;$X54&amp;$Y54&amp;$Z54&amp;$AA54&amp;$AB54&amp;$AC54&amp;$AD54&amp;$AE54&amp;$AF54&amp;$AG54&amp;$AH54&amp;$AI54&amp;$AJ54))))</f>
        <v/>
      </c>
      <c r="M54" s="341" t="n"/>
      <c r="Q54">
        <f>IF(TRIM($C54)="","enunciado","")</f>
        <v/>
      </c>
      <c r="R54">
        <f>IF(TRIM($K54)="",IF(COUNTIF($Q54:$Q54,"?*")&gt;0,", ","")&amp;"parcial","")</f>
        <v/>
      </c>
      <c r="S54">
        <f>IF(AND(TRIM($K54)&lt;&gt;"",TRIM($K54)&lt;&gt;VALIDACIONES!$G$1),IF(COUNTIF($Q54:$R54,"?*")&gt;0,", ","")&amp;"parcial distinto a "&amp;VALIDACIONES!$G$1,"")</f>
        <v/>
      </c>
      <c r="T54">
        <f>IF(AND(OR($A54="Ítems agrupados por caso clínico o problema",$A54="Subítem de caso o problema",$A54="Emparejamiento Ampliado",$A54="Opción de Emparejamiento Ampliado"),TRIM($B54)=""),IF(COUNTIF($Q54:$S54,"?*")&gt;0,", ","")&amp;"grupo","")</f>
        <v/>
      </c>
      <c r="U54">
        <f>IF(AND(OR($A54="Verdadero o Falso Simple",$A54="Respuesta A/B/Ambas/Ninguna",$A54="Verdadero o Falso Complejas",$A54="Selección de la mejor respuesta",$A54="Subítem de caso o problema",$A54="Opción de Emparejamiento Ampliado"),TRIM($I54)=""),IF(COUNTIF($Q54:$T54,"?*")&gt;0,", ","")&amp;"respuesta_correcta","")</f>
        <v/>
      </c>
      <c r="V54">
        <f>IF(AND(OR($A54="Verdadero o Falso Simple",$A54="Respuesta A/B/Ambas/Ninguna",$A54="Verdadero o Falso Complejas",$A54="Selección de la mejor respuesta",$A54="Subítem de caso o problema",$A54="Opción de Emparejamiento Ampliado"),TRIM($J54)=""),IF(COUNTIF($Q54:$U54,"?*")&gt;0,", ","")&amp;"dificultad","")</f>
        <v/>
      </c>
      <c r="W54">
        <f>IF(AND(OR($A54="Ítems agrupados por caso clínico o problema",$A54="Emparejamiento Ampliado"),TRIM($I54)&lt;&gt;""),IF(COUNTIF($Q54:$V54,"?*")&gt;0,", ","")&amp;"respuesta debe ir vacia","")</f>
        <v/>
      </c>
      <c r="X54">
        <f>IF(AND(OR($A54="Ítems agrupados por caso clínico o problema",$A54="Emparejamiento Ampliado"),TRIM($J54)&lt;&gt;""),IF(COUNTIF($Q54:$W54,"?*")&gt;0,", ","")&amp;"dificultad debe ir vacia","")</f>
        <v/>
      </c>
      <c r="Y54">
        <f>IF(AND($A54="Verdadero o Falso Simple",OR(COUNTIF($D54:$E54,"?*")&lt;2,COUNTIF($F54:$H54,"?*")&gt;0)),IF(COUNTIF($Q54:$X54,"?*")&gt;0,", ","")&amp;"incisos A-B","")</f>
        <v/>
      </c>
      <c r="Z54">
        <f>IF(AND($A54="Verdadero o Falso Simple",TRIM($I54)&lt;&gt;"",NOT(OR(LEFT(TRIM($I54),1)="A",LEFT(TRIM($I54),1)="B"))),IF(COUNTIF($Q54:$Y54,"?*")&gt;0,", ","")&amp;"respuesta A-B","")</f>
        <v/>
      </c>
      <c r="AA54">
        <f>IF(AND($A54="Respuesta A/B/Ambas/Ninguna",COUNTIF($D54:$G54,"?*")&lt;4),IF(COUNTIF($Q54:$Z54,"?*")&gt;0,", ","")&amp;"opciones A-D","")</f>
        <v/>
      </c>
      <c r="AB54">
        <f>IF(AND($A54="Respuesta A/B/Ambas/Ninguna",COUNTIF($H54:$H54,"?*")&gt;0),IF(COUNTIF($Q54:$AA54,"?*")&gt;0,", ","")&amp;"opcion E deshabilitada","")</f>
        <v/>
      </c>
      <c r="AC54">
        <f>IF(AND($A54="Respuesta A/B/Ambas/Ninguna",TRIM($I54)&lt;&gt;"",NOT(OR(LEFT(TRIM($I54),1)="A",LEFT(TRIM($I54),1)="B",LEFT(TRIM($I54),1)="C",LEFT(TRIM($I54),1)="D"))),IF(COUNTIF($Q54:$AB54,"?*")&gt;0,", ","")&amp;"respuesta A-D","")</f>
        <v/>
      </c>
      <c r="AD54">
        <f>IF(AND($A54="Verdadero o Falso Complejas",OR(LEN(TRIM(SUBSTITUTE($D54,"1.","")))=0,LEN(TRIM(SUBSTITUTE($E54,"2.","")))=0,LEN(TRIM(SUBSTITUTE($F54,"3.","")))=0,LEN(TRIM(SUBSTITUTE($G54,"4.","")))=0)),IF(COUNTIF($Q54:$AC54,"?*")&gt;0,", ","")&amp;"incisos 1-4","")</f>
        <v/>
      </c>
      <c r="AE54">
        <f>IF(AND($A54="Verdadero o Falso Complejas",COUNTIF($H54:$H54,"?*")&gt;0),IF(COUNTIF($Q54:$AD54,"?*")&gt;0,", ","")&amp;"opcion E deshabilitada","")</f>
        <v/>
      </c>
      <c r="AF54">
        <f>IF(AND($A54="Verdadero o Falso Complejas",TRIM($I54)&lt;&gt;"",NOT(OR(LEFT(TRIM($I54),1)="A",LEFT(TRIM($I54),1)="B",LEFT(TRIM($I54),1)="C",LEFT(TRIM($I54),1)="D",LEFT(TRIM($I54),1)="E"))),IF(COUNTIF($Q54:$AE54,"?*")&gt;0,", ","")&amp;"respuesta A-E","")</f>
        <v/>
      </c>
      <c r="AG54">
        <f>IF(AND(OR($A54="Selección de la mejor respuesta",$A54="Subítem de caso o problema"),COUNTA($D54:$H54)&lt;5),IF(COUNTIF($Q54:$AF54,"?*")&gt;0,", ","")&amp;"incisos A-E","")</f>
        <v/>
      </c>
      <c r="AH54">
        <f>IF(AND(OR($A54="Selección de la mejor respuesta",$A54="Subítem de caso o problema"),TRIM($I54)&lt;&gt;"",NOT(OR(LEFT(TRIM($I54),1)="A",LEFT(TRIM($I54),1)="B",LEFT(TRIM($I54),1)="C",LEFT(TRIM($I54),1)="D",LEFT(TRIM($I54),1)="E"))),IF(COUNTIF($Q54:$AG54,"?*")&gt;0,", ","")&amp;"respuesta A-E","")</f>
        <v/>
      </c>
      <c r="AI54">
        <f>IF(AND(OR($A54="Ítems agrupados por caso clínico o problema",$A54="Opción de Emparejamiento Ampliado"),COUNTIF($D54:$H54,"?*")&gt;0),IF(COUNTIF($Q54:$AH54,"?*")&gt;0,", ","")&amp;"sin incisos","")</f>
        <v/>
      </c>
      <c r="AJ54">
        <f>IF(AND($A54="Emparejamiento Ampliado",COUNTIF($D54:$H54,"?*")&lt;2),IF(COUNTIF($Q54:$AI54,"?*")&gt;0,", ","")&amp;"minimo 2 claves","")</f>
        <v/>
      </c>
      <c r="AK54">
        <f>IF(AND($A54="Opción de Emparejamiento Ampliado",NOT(OR(LEFT(TRIM($I54),1)="A",LEFT(TRIM($I54),1)="B",LEFT(TRIM($I54),1)="C",LEFT(TRIM($I54),1)="D",LEFT(TRIM($I54),1)="E"))),IF(COUNTIF($Q54:$AJ54,"?*")&gt;0,", ","")&amp;"respuesta A-E","")</f>
        <v/>
      </c>
      <c r="AL54">
        <f>IF(TRIM($K54)="",IF(COUNTIF($M54:$M54,"?*")&gt;0,", ","")&amp;"parcial","")</f>
        <v/>
      </c>
      <c r="AM54">
        <f>IF(AND(TRIM($K54)&lt;&gt;"",TRIM($K54)&lt;&gt;VALIDACIONES!$G$1),IF(COUNTIF($M54:$N54,"?*")&gt;0,", ","")&amp;"parcial distinto a "&amp;VALIDACIONES!$G$1,"")</f>
        <v/>
      </c>
      <c r="AN54">
        <f>IF(AND(OR($A54="Ítems agrupados por caso clínico o problema",$A54="Subítem de caso o problema",$A54="Emparejamiento Ampliado",$A54="Opción de Emparejamiento Ampliado"),TRIM($B54)=""),IF(COUNTIF($M54:$O54,"?*")&gt;0,", ","")&amp;"grupo","")</f>
        <v/>
      </c>
    </row>
    <row r="55" ht="24" customHeight="1">
      <c r="A55" s="346" t="n"/>
      <c r="B55" s="346" t="n"/>
      <c r="C55" s="346" t="n"/>
      <c r="D55" s="346">
        <f>IF($A55="Verdadero o Falso Simple","Verdadero",IF($A55="Respuesta A/B/Ambas/Ninguna","A. Si la primera es verdadera",IF($A55="Verdadero o Falso Complejas","1. ","")))</f>
        <v/>
      </c>
      <c r="E55" s="346">
        <f>IF($A55="Verdadero o Falso Simple","Falso",IF($A55="Respuesta A/B/Ambas/Ninguna","B. Si la segunda es verdadera",IF($A55="Verdadero o Falso Complejas","2. ","")))</f>
        <v/>
      </c>
      <c r="F55" s="346">
        <f>IF($A55="Respuesta A/B/Ambas/Ninguna","C. Si ambas son verdaderas",IF($A55="Verdadero o Falso Complejas","3. ",""))</f>
        <v/>
      </c>
      <c r="G55" s="346">
        <f>IF($A55="Respuesta A/B/Ambas/Ninguna","D. Si ninguna es verdadera",IF($A55="Verdadero o Falso Complejas","4. ",""))</f>
        <v/>
      </c>
      <c r="H55" s="346">
        <f>IF($A55="Verdadero o Falso Simple","",IF($A55="Respuesta A/B/Ambas/Ninguna","",IF($A55="Verdadero o Falso Complejas","","")))</f>
        <v/>
      </c>
      <c r="I55" s="346" t="n"/>
      <c r="J55" s="346" t="n">
        <v>3</v>
      </c>
      <c r="K55" s="346" t="inlineStr">
        <is>
          <t>2P</t>
        </is>
      </c>
      <c r="L55" s="347">
        <f>IF(TRIM($A55)="","",IF(OR($A55="Selección de la mejor respuesta",$A55="SELECCION_MEJOR_RESPUESTA",$A55="Subítem de caso o problema",$A55="SUBITEM_CASO"),IF(TRIM($C55)="","Completar enunciado",IF(SUMPRODUCT(--(LEN(TRIM($D55:$H55&amp;""))&gt;0))&lt;5,"Completar opciones A-E",IF(AND(TRIM($I55)&lt;&gt;"",OR(LEFT(TRIM($I55),1)="A",LEFT(TRIM($I55),1)="B",LEFT(TRIM($I55),1)="C",LEFT(TRIM($I55),1)="D",LEFT(TRIM($I55),1)="E")),"OK","Completar respuesta correcta A-E"))),IF(TRIM($A55)="","",IF(COUNTIF($Q55:$AJ55,"?*")=0,"OK","Falta revisar: "&amp;$Q55&amp;$R55&amp;$S55&amp;$T55&amp;$U55&amp;$V55&amp;$W55&amp;$X55&amp;$Y55&amp;$Z55&amp;$AA55&amp;$AB55&amp;$AC55&amp;$AD55&amp;$AE55&amp;$AF55&amp;$AG55&amp;$AH55&amp;$AI55&amp;$AJ55))))</f>
        <v/>
      </c>
      <c r="M55" s="341" t="n"/>
      <c r="Q55">
        <f>IF(TRIM($C55)="","enunciado","")</f>
        <v/>
      </c>
      <c r="R55">
        <f>IF(TRIM($K55)="",IF(COUNTIF($Q55:$Q55,"?*")&gt;0,", ","")&amp;"parcial","")</f>
        <v/>
      </c>
      <c r="S55">
        <f>IF(AND(TRIM($K55)&lt;&gt;"",TRIM($K55)&lt;&gt;VALIDACIONES!$G$1),IF(COUNTIF($Q55:$R55,"?*")&gt;0,", ","")&amp;"parcial distinto a "&amp;VALIDACIONES!$G$1,"")</f>
        <v/>
      </c>
      <c r="T55">
        <f>IF(AND(OR($A55="Ítems agrupados por caso clínico o problema",$A55="Subítem de caso o problema",$A55="Emparejamiento Ampliado",$A55="Opción de Emparejamiento Ampliado"),TRIM($B55)=""),IF(COUNTIF($Q55:$S55,"?*")&gt;0,", ","")&amp;"grupo","")</f>
        <v/>
      </c>
      <c r="U55">
        <f>IF(AND(OR($A55="Verdadero o Falso Simple",$A55="Respuesta A/B/Ambas/Ninguna",$A55="Verdadero o Falso Complejas",$A55="Selección de la mejor respuesta",$A55="Subítem de caso o problema",$A55="Opción de Emparejamiento Ampliado"),TRIM($I55)=""),IF(COUNTIF($Q55:$T55,"?*")&gt;0,", ","")&amp;"respuesta_correcta","")</f>
        <v/>
      </c>
      <c r="V55">
        <f>IF(AND(OR($A55="Verdadero o Falso Simple",$A55="Respuesta A/B/Ambas/Ninguna",$A55="Verdadero o Falso Complejas",$A55="Selección de la mejor respuesta",$A55="Subítem de caso o problema",$A55="Opción de Emparejamiento Ampliado"),TRIM($J55)=""),IF(COUNTIF($Q55:$U55,"?*")&gt;0,", ","")&amp;"dificultad","")</f>
        <v/>
      </c>
      <c r="W55">
        <f>IF(AND(OR($A55="Ítems agrupados por caso clínico o problema",$A55="Emparejamiento Ampliado"),TRIM($I55)&lt;&gt;""),IF(COUNTIF($Q55:$V55,"?*")&gt;0,", ","")&amp;"respuesta debe ir vacia","")</f>
        <v/>
      </c>
      <c r="X55">
        <f>IF(AND(OR($A55="Ítems agrupados por caso clínico o problema",$A55="Emparejamiento Ampliado"),TRIM($J55)&lt;&gt;""),IF(COUNTIF($Q55:$W55,"?*")&gt;0,", ","")&amp;"dificultad debe ir vacia","")</f>
        <v/>
      </c>
      <c r="Y55">
        <f>IF(AND($A55="Verdadero o Falso Simple",OR(COUNTIF($D55:$E55,"?*")&lt;2,COUNTIF($F55:$H55,"?*")&gt;0)),IF(COUNTIF($Q55:$X55,"?*")&gt;0,", ","")&amp;"incisos A-B","")</f>
        <v/>
      </c>
      <c r="Z55">
        <f>IF(AND($A55="Verdadero o Falso Simple",TRIM($I55)&lt;&gt;"",NOT(OR(LEFT(TRIM($I55),1)="A",LEFT(TRIM($I55),1)="B"))),IF(COUNTIF($Q55:$Y55,"?*")&gt;0,", ","")&amp;"respuesta A-B","")</f>
        <v/>
      </c>
      <c r="AA55">
        <f>IF(AND($A55="Respuesta A/B/Ambas/Ninguna",COUNTIF($D55:$G55,"?*")&lt;4),IF(COUNTIF($Q55:$Z55,"?*")&gt;0,", ","")&amp;"opciones A-D","")</f>
        <v/>
      </c>
      <c r="AB55">
        <f>IF(AND($A55="Respuesta A/B/Ambas/Ninguna",COUNTIF($H55:$H55,"?*")&gt;0),IF(COUNTIF($Q55:$AA55,"?*")&gt;0,", ","")&amp;"opcion E deshabilitada","")</f>
        <v/>
      </c>
      <c r="AC55">
        <f>IF(AND($A55="Respuesta A/B/Ambas/Ninguna",TRIM($I55)&lt;&gt;"",NOT(OR(LEFT(TRIM($I55),1)="A",LEFT(TRIM($I55),1)="B",LEFT(TRIM($I55),1)="C",LEFT(TRIM($I55),1)="D"))),IF(COUNTIF($Q55:$AB55,"?*")&gt;0,", ","")&amp;"respuesta A-D","")</f>
        <v/>
      </c>
      <c r="AD55">
        <f>IF(AND($A55="Verdadero o Falso Complejas",OR(LEN(TRIM(SUBSTITUTE($D55,"1.","")))=0,LEN(TRIM(SUBSTITUTE($E55,"2.","")))=0,LEN(TRIM(SUBSTITUTE($F55,"3.","")))=0,LEN(TRIM(SUBSTITUTE($G55,"4.","")))=0)),IF(COUNTIF($Q55:$AC55,"?*")&gt;0,", ","")&amp;"incisos 1-4","")</f>
        <v/>
      </c>
      <c r="AE55">
        <f>IF(AND($A55="Verdadero o Falso Complejas",COUNTIF($H55:$H55,"?*")&gt;0),IF(COUNTIF($Q55:$AD55,"?*")&gt;0,", ","")&amp;"opcion E deshabilitada","")</f>
        <v/>
      </c>
      <c r="AF55">
        <f>IF(AND($A55="Verdadero o Falso Complejas",TRIM($I55)&lt;&gt;"",NOT(OR(LEFT(TRIM($I55),1)="A",LEFT(TRIM($I55),1)="B",LEFT(TRIM($I55),1)="C",LEFT(TRIM($I55),1)="D",LEFT(TRIM($I55),1)="E"))),IF(COUNTIF($Q55:$AE55,"?*")&gt;0,", ","")&amp;"respuesta A-E","")</f>
        <v/>
      </c>
      <c r="AG55">
        <f>IF(AND(OR($A55="Selección de la mejor respuesta",$A55="Subítem de caso o problema"),COUNTA($D55:$H55)&lt;5),IF(COUNTIF($Q55:$AF55,"?*")&gt;0,", ","")&amp;"incisos A-E","")</f>
        <v/>
      </c>
      <c r="AH55">
        <f>IF(AND(OR($A55="Selección de la mejor respuesta",$A55="Subítem de caso o problema"),TRIM($I55)&lt;&gt;"",NOT(OR(LEFT(TRIM($I55),1)="A",LEFT(TRIM($I55),1)="B",LEFT(TRIM($I55),1)="C",LEFT(TRIM($I55),1)="D",LEFT(TRIM($I55),1)="E"))),IF(COUNTIF($Q55:$AG55,"?*")&gt;0,", ","")&amp;"respuesta A-E","")</f>
        <v/>
      </c>
      <c r="AI55">
        <f>IF(AND(OR($A55="Ítems agrupados por caso clínico o problema",$A55="Opción de Emparejamiento Ampliado"),COUNTIF($D55:$H55,"?*")&gt;0),IF(COUNTIF($Q55:$AH55,"?*")&gt;0,", ","")&amp;"sin incisos","")</f>
        <v/>
      </c>
      <c r="AJ55">
        <f>IF(AND($A55="Emparejamiento Ampliado",COUNTIF($D55:$H55,"?*")&lt;2),IF(COUNTIF($Q55:$AI55,"?*")&gt;0,", ","")&amp;"minimo 2 claves","")</f>
        <v/>
      </c>
      <c r="AK55">
        <f>IF(AND($A55="Opción de Emparejamiento Ampliado",NOT(OR(LEFT(TRIM($I55),1)="A",LEFT(TRIM($I55),1)="B",LEFT(TRIM($I55),1)="C",LEFT(TRIM($I55),1)="D",LEFT(TRIM($I55),1)="E"))),IF(COUNTIF($Q55:$AJ55,"?*")&gt;0,", ","")&amp;"respuesta A-E","")</f>
        <v/>
      </c>
      <c r="AL55">
        <f>IF(TRIM($K55)="",IF(COUNTIF($M55:$M55,"?*")&gt;0,", ","")&amp;"parcial","")</f>
        <v/>
      </c>
      <c r="AM55">
        <f>IF(AND(TRIM($K55)&lt;&gt;"",TRIM($K55)&lt;&gt;VALIDACIONES!$G$1),IF(COUNTIF($M55:$N55,"?*")&gt;0,", ","")&amp;"parcial distinto a "&amp;VALIDACIONES!$G$1,"")</f>
        <v/>
      </c>
      <c r="AN55">
        <f>IF(AND(OR($A55="Ítems agrupados por caso clínico o problema",$A55="Subítem de caso o problema",$A55="Emparejamiento Ampliado",$A55="Opción de Emparejamiento Ampliado"),TRIM($B55)=""),IF(COUNTIF($M55:$O55,"?*")&gt;0,", ","")&amp;"grupo","")</f>
        <v/>
      </c>
    </row>
    <row r="56" ht="24" customHeight="1">
      <c r="A56" s="346" t="n"/>
      <c r="B56" s="346" t="n"/>
      <c r="C56" s="346" t="n"/>
      <c r="D56" s="346">
        <f>IF($A56="Verdadero o Falso Simple","Verdadero",IF($A56="Respuesta A/B/Ambas/Ninguna","A. Si la primera es verdadera",IF($A56="Verdadero o Falso Complejas","1. ","")))</f>
        <v/>
      </c>
      <c r="E56" s="346">
        <f>IF($A56="Verdadero o Falso Simple","Falso",IF($A56="Respuesta A/B/Ambas/Ninguna","B. Si la segunda es verdadera",IF($A56="Verdadero o Falso Complejas","2. ","")))</f>
        <v/>
      </c>
      <c r="F56" s="346">
        <f>IF($A56="Respuesta A/B/Ambas/Ninguna","C. Si ambas son verdaderas",IF($A56="Verdadero o Falso Complejas","3. ",""))</f>
        <v/>
      </c>
      <c r="G56" s="346">
        <f>IF($A56="Respuesta A/B/Ambas/Ninguna","D. Si ninguna es verdadera",IF($A56="Verdadero o Falso Complejas","4. ",""))</f>
        <v/>
      </c>
      <c r="H56" s="346">
        <f>IF($A56="Verdadero o Falso Simple","",IF($A56="Respuesta A/B/Ambas/Ninguna","",IF($A56="Verdadero o Falso Complejas","","")))</f>
        <v/>
      </c>
      <c r="I56" s="346" t="n"/>
      <c r="J56" s="346" t="n">
        <v>3</v>
      </c>
      <c r="K56" s="346" t="inlineStr">
        <is>
          <t>2P</t>
        </is>
      </c>
      <c r="L56" s="347">
        <f>IF(TRIM($A56)="","",IF(OR($A56="Selección de la mejor respuesta",$A56="SELECCION_MEJOR_RESPUESTA",$A56="Subítem de caso o problema",$A56="SUBITEM_CASO"),IF(TRIM($C56)="","Completar enunciado",IF(SUMPRODUCT(--(LEN(TRIM($D56:$H56&amp;""))&gt;0))&lt;5,"Completar opciones A-E",IF(AND(TRIM($I56)&lt;&gt;"",OR(LEFT(TRIM($I56),1)="A",LEFT(TRIM($I56),1)="B",LEFT(TRIM($I56),1)="C",LEFT(TRIM($I56),1)="D",LEFT(TRIM($I56),1)="E")),"OK","Completar respuesta correcta A-E"))),IF(TRIM($A56)="","",IF(COUNTIF($Q56:$AJ56,"?*")=0,"OK","Falta revisar: "&amp;$Q56&amp;$R56&amp;$S56&amp;$T56&amp;$U56&amp;$V56&amp;$W56&amp;$X56&amp;$Y56&amp;$Z56&amp;$AA56&amp;$AB56&amp;$AC56&amp;$AD56&amp;$AE56&amp;$AF56&amp;$AG56&amp;$AH56&amp;$AI56&amp;$AJ56))))</f>
        <v/>
      </c>
      <c r="M56" s="341" t="n"/>
      <c r="Q56">
        <f>IF(TRIM($C56)="","enunciado","")</f>
        <v/>
      </c>
      <c r="R56">
        <f>IF(TRIM($K56)="",IF(COUNTIF($Q56:$Q56,"?*")&gt;0,", ","")&amp;"parcial","")</f>
        <v/>
      </c>
      <c r="S56">
        <f>IF(AND(TRIM($K56)&lt;&gt;"",TRIM($K56)&lt;&gt;VALIDACIONES!$G$1),IF(COUNTIF($Q56:$R56,"?*")&gt;0,", ","")&amp;"parcial distinto a "&amp;VALIDACIONES!$G$1,"")</f>
        <v/>
      </c>
      <c r="T56">
        <f>IF(AND(OR($A56="Ítems agrupados por caso clínico o problema",$A56="Subítem de caso o problema",$A56="Emparejamiento Ampliado",$A56="Opción de Emparejamiento Ampliado"),TRIM($B56)=""),IF(COUNTIF($Q56:$S56,"?*")&gt;0,", ","")&amp;"grupo","")</f>
        <v/>
      </c>
      <c r="U56">
        <f>IF(AND(OR($A56="Verdadero o Falso Simple",$A56="Respuesta A/B/Ambas/Ninguna",$A56="Verdadero o Falso Complejas",$A56="Selección de la mejor respuesta",$A56="Subítem de caso o problema",$A56="Opción de Emparejamiento Ampliado"),TRIM($I56)=""),IF(COUNTIF($Q56:$T56,"?*")&gt;0,", ","")&amp;"respuesta_correcta","")</f>
        <v/>
      </c>
      <c r="V56">
        <f>IF(AND(OR($A56="Verdadero o Falso Simple",$A56="Respuesta A/B/Ambas/Ninguna",$A56="Verdadero o Falso Complejas",$A56="Selección de la mejor respuesta",$A56="Subítem de caso o problema",$A56="Opción de Emparejamiento Ampliado"),TRIM($J56)=""),IF(COUNTIF($Q56:$U56,"?*")&gt;0,", ","")&amp;"dificultad","")</f>
        <v/>
      </c>
      <c r="W56">
        <f>IF(AND(OR($A56="Ítems agrupados por caso clínico o problema",$A56="Emparejamiento Ampliado"),TRIM($I56)&lt;&gt;""),IF(COUNTIF($Q56:$V56,"?*")&gt;0,", ","")&amp;"respuesta debe ir vacia","")</f>
        <v/>
      </c>
      <c r="X56">
        <f>IF(AND(OR($A56="Ítems agrupados por caso clínico o problema",$A56="Emparejamiento Ampliado"),TRIM($J56)&lt;&gt;""),IF(COUNTIF($Q56:$W56,"?*")&gt;0,", ","")&amp;"dificultad debe ir vacia","")</f>
        <v/>
      </c>
      <c r="Y56">
        <f>IF(AND($A56="Verdadero o Falso Simple",OR(COUNTIF($D56:$E56,"?*")&lt;2,COUNTIF($F56:$H56,"?*")&gt;0)),IF(COUNTIF($Q56:$X56,"?*")&gt;0,", ","")&amp;"incisos A-B","")</f>
        <v/>
      </c>
      <c r="Z56">
        <f>IF(AND($A56="Verdadero o Falso Simple",TRIM($I56)&lt;&gt;"",NOT(OR(LEFT(TRIM($I56),1)="A",LEFT(TRIM($I56),1)="B"))),IF(COUNTIF($Q56:$Y56,"?*")&gt;0,", ","")&amp;"respuesta A-B","")</f>
        <v/>
      </c>
      <c r="AA56">
        <f>IF(AND($A56="Respuesta A/B/Ambas/Ninguna",COUNTIF($D56:$G56,"?*")&lt;4),IF(COUNTIF($Q56:$Z56,"?*")&gt;0,", ","")&amp;"opciones A-D","")</f>
        <v/>
      </c>
      <c r="AB56">
        <f>IF(AND($A56="Respuesta A/B/Ambas/Ninguna",COUNTIF($H56:$H56,"?*")&gt;0),IF(COUNTIF($Q56:$AA56,"?*")&gt;0,", ","")&amp;"opcion E deshabilitada","")</f>
        <v/>
      </c>
      <c r="AC56">
        <f>IF(AND($A56="Respuesta A/B/Ambas/Ninguna",TRIM($I56)&lt;&gt;"",NOT(OR(LEFT(TRIM($I56),1)="A",LEFT(TRIM($I56),1)="B",LEFT(TRIM($I56),1)="C",LEFT(TRIM($I56),1)="D"))),IF(COUNTIF($Q56:$AB56,"?*")&gt;0,", ","")&amp;"respuesta A-D","")</f>
        <v/>
      </c>
      <c r="AD56">
        <f>IF(AND($A56="Verdadero o Falso Complejas",OR(LEN(TRIM(SUBSTITUTE($D56,"1.","")))=0,LEN(TRIM(SUBSTITUTE($E56,"2.","")))=0,LEN(TRIM(SUBSTITUTE($F56,"3.","")))=0,LEN(TRIM(SUBSTITUTE($G56,"4.","")))=0)),IF(COUNTIF($Q56:$AC56,"?*")&gt;0,", ","")&amp;"incisos 1-4","")</f>
        <v/>
      </c>
      <c r="AE56">
        <f>IF(AND($A56="Verdadero o Falso Complejas",COUNTIF($H56:$H56,"?*")&gt;0),IF(COUNTIF($Q56:$AD56,"?*")&gt;0,", ","")&amp;"opcion E deshabilitada","")</f>
        <v/>
      </c>
      <c r="AF56">
        <f>IF(AND($A56="Verdadero o Falso Complejas",TRIM($I56)&lt;&gt;"",NOT(OR(LEFT(TRIM($I56),1)="A",LEFT(TRIM($I56),1)="B",LEFT(TRIM($I56),1)="C",LEFT(TRIM($I56),1)="D",LEFT(TRIM($I56),1)="E"))),IF(COUNTIF($Q56:$AE56,"?*")&gt;0,", ","")&amp;"respuesta A-E","")</f>
        <v/>
      </c>
      <c r="AG56">
        <f>IF(AND(OR($A56="Selección de la mejor respuesta",$A56="Subítem de caso o problema"),COUNTA($D56:$H56)&lt;5),IF(COUNTIF($Q56:$AF56,"?*")&gt;0,", ","")&amp;"incisos A-E","")</f>
        <v/>
      </c>
      <c r="AH56">
        <f>IF(AND(OR($A56="Selección de la mejor respuesta",$A56="Subítem de caso o problema"),TRIM($I56)&lt;&gt;"",NOT(OR(LEFT(TRIM($I56),1)="A",LEFT(TRIM($I56),1)="B",LEFT(TRIM($I56),1)="C",LEFT(TRIM($I56),1)="D",LEFT(TRIM($I56),1)="E"))),IF(COUNTIF($Q56:$AG56,"?*")&gt;0,", ","")&amp;"respuesta A-E","")</f>
        <v/>
      </c>
      <c r="AI56">
        <f>IF(AND(OR($A56="Ítems agrupados por caso clínico o problema",$A56="Opción de Emparejamiento Ampliado"),COUNTIF($D56:$H56,"?*")&gt;0),IF(COUNTIF($Q56:$AH56,"?*")&gt;0,", ","")&amp;"sin incisos","")</f>
        <v/>
      </c>
      <c r="AJ56">
        <f>IF(AND($A56="Emparejamiento Ampliado",COUNTIF($D56:$H56,"?*")&lt;2),IF(COUNTIF($Q56:$AI56,"?*")&gt;0,", ","")&amp;"minimo 2 claves","")</f>
        <v/>
      </c>
      <c r="AK56">
        <f>IF(AND($A56="Opción de Emparejamiento Ampliado",NOT(OR(LEFT(TRIM($I56),1)="A",LEFT(TRIM($I56),1)="B",LEFT(TRIM($I56),1)="C",LEFT(TRIM($I56),1)="D",LEFT(TRIM($I56),1)="E"))),IF(COUNTIF($Q56:$AJ56,"?*")&gt;0,", ","")&amp;"respuesta A-E","")</f>
        <v/>
      </c>
      <c r="AL56">
        <f>IF(TRIM($K56)="",IF(COUNTIF($M56:$M56,"?*")&gt;0,", ","")&amp;"parcial","")</f>
        <v/>
      </c>
      <c r="AM56">
        <f>IF(AND(TRIM($K56)&lt;&gt;"",TRIM($K56)&lt;&gt;VALIDACIONES!$G$1),IF(COUNTIF($M56:$N56,"?*")&gt;0,", ","")&amp;"parcial distinto a "&amp;VALIDACIONES!$G$1,"")</f>
        <v/>
      </c>
      <c r="AN56">
        <f>IF(AND(OR($A56="Ítems agrupados por caso clínico o problema",$A56="Subítem de caso o problema",$A56="Emparejamiento Ampliado",$A56="Opción de Emparejamiento Ampliado"),TRIM($B56)=""),IF(COUNTIF($M56:$O56,"?*")&gt;0,", ","")&amp;"grupo","")</f>
        <v/>
      </c>
    </row>
    <row r="57" ht="24" customHeight="1">
      <c r="A57" s="346" t="n"/>
      <c r="B57" s="346" t="n"/>
      <c r="C57" s="346" t="n"/>
      <c r="D57" s="346">
        <f>IF($A57="Verdadero o Falso Simple","Verdadero",IF($A57="Respuesta A/B/Ambas/Ninguna","A. Si la primera es verdadera",IF($A57="Verdadero o Falso Complejas","1. ","")))</f>
        <v/>
      </c>
      <c r="E57" s="346">
        <f>IF($A57="Verdadero o Falso Simple","Falso",IF($A57="Respuesta A/B/Ambas/Ninguna","B. Si la segunda es verdadera",IF($A57="Verdadero o Falso Complejas","2. ","")))</f>
        <v/>
      </c>
      <c r="F57" s="346">
        <f>IF($A57="Respuesta A/B/Ambas/Ninguna","C. Si ambas son verdaderas",IF($A57="Verdadero o Falso Complejas","3. ",""))</f>
        <v/>
      </c>
      <c r="G57" s="346">
        <f>IF($A57="Respuesta A/B/Ambas/Ninguna","D. Si ninguna es verdadera",IF($A57="Verdadero o Falso Complejas","4. ",""))</f>
        <v/>
      </c>
      <c r="H57" s="346">
        <f>IF($A57="Verdadero o Falso Simple","",IF($A57="Respuesta A/B/Ambas/Ninguna","",IF($A57="Verdadero o Falso Complejas","","")))</f>
        <v/>
      </c>
      <c r="I57" s="346" t="n"/>
      <c r="J57" s="346" t="n">
        <v>3</v>
      </c>
      <c r="K57" s="346" t="inlineStr">
        <is>
          <t>2P</t>
        </is>
      </c>
      <c r="L57" s="347">
        <f>IF(TRIM($A57)="","",IF(OR($A57="Selección de la mejor respuesta",$A57="SELECCION_MEJOR_RESPUESTA",$A57="Subítem de caso o problema",$A57="SUBITEM_CASO"),IF(TRIM($C57)="","Completar enunciado",IF(SUMPRODUCT(--(LEN(TRIM($D57:$H57&amp;""))&gt;0))&lt;5,"Completar opciones A-E",IF(AND(TRIM($I57)&lt;&gt;"",OR(LEFT(TRIM($I57),1)="A",LEFT(TRIM($I57),1)="B",LEFT(TRIM($I57),1)="C",LEFT(TRIM($I57),1)="D",LEFT(TRIM($I57),1)="E")),"OK","Completar respuesta correcta A-E"))),IF(TRIM($A57)="","",IF(COUNTIF($Q57:$AJ57,"?*")=0,"OK","Falta revisar: "&amp;$Q57&amp;$R57&amp;$S57&amp;$T57&amp;$U57&amp;$V57&amp;$W57&amp;$X57&amp;$Y57&amp;$Z57&amp;$AA57&amp;$AB57&amp;$AC57&amp;$AD57&amp;$AE57&amp;$AF57&amp;$AG57&amp;$AH57&amp;$AI57&amp;$AJ57))))</f>
        <v/>
      </c>
      <c r="M57" s="341" t="n"/>
      <c r="Q57">
        <f>IF(TRIM($C57)="","enunciado","")</f>
        <v/>
      </c>
      <c r="R57">
        <f>IF(TRIM($K57)="",IF(COUNTIF($Q57:$Q57,"?*")&gt;0,", ","")&amp;"parcial","")</f>
        <v/>
      </c>
      <c r="S57">
        <f>IF(AND(TRIM($K57)&lt;&gt;"",TRIM($K57)&lt;&gt;VALIDACIONES!$G$1),IF(COUNTIF($Q57:$R57,"?*")&gt;0,", ","")&amp;"parcial distinto a "&amp;VALIDACIONES!$G$1,"")</f>
        <v/>
      </c>
      <c r="T57">
        <f>IF(AND(OR($A57="Ítems agrupados por caso clínico o problema",$A57="Subítem de caso o problema",$A57="Emparejamiento Ampliado",$A57="Opción de Emparejamiento Ampliado"),TRIM($B57)=""),IF(COUNTIF($Q57:$S57,"?*")&gt;0,", ","")&amp;"grupo","")</f>
        <v/>
      </c>
      <c r="U57">
        <f>IF(AND(OR($A57="Verdadero o Falso Simple",$A57="Respuesta A/B/Ambas/Ninguna",$A57="Verdadero o Falso Complejas",$A57="Selección de la mejor respuesta",$A57="Subítem de caso o problema",$A57="Opción de Emparejamiento Ampliado"),TRIM($I57)=""),IF(COUNTIF($Q57:$T57,"?*")&gt;0,", ","")&amp;"respuesta_correcta","")</f>
        <v/>
      </c>
      <c r="V57">
        <f>IF(AND(OR($A57="Verdadero o Falso Simple",$A57="Respuesta A/B/Ambas/Ninguna",$A57="Verdadero o Falso Complejas",$A57="Selección de la mejor respuesta",$A57="Subítem de caso o problema",$A57="Opción de Emparejamiento Ampliado"),TRIM($J57)=""),IF(COUNTIF($Q57:$U57,"?*")&gt;0,", ","")&amp;"dificultad","")</f>
        <v/>
      </c>
      <c r="W57">
        <f>IF(AND(OR($A57="Ítems agrupados por caso clínico o problema",$A57="Emparejamiento Ampliado"),TRIM($I57)&lt;&gt;""),IF(COUNTIF($Q57:$V57,"?*")&gt;0,", ","")&amp;"respuesta debe ir vacia","")</f>
        <v/>
      </c>
      <c r="X57">
        <f>IF(AND(OR($A57="Ítems agrupados por caso clínico o problema",$A57="Emparejamiento Ampliado"),TRIM($J57)&lt;&gt;""),IF(COUNTIF($Q57:$W57,"?*")&gt;0,", ","")&amp;"dificultad debe ir vacia","")</f>
        <v/>
      </c>
      <c r="Y57">
        <f>IF(AND($A57="Verdadero o Falso Simple",OR(COUNTIF($D57:$E57,"?*")&lt;2,COUNTIF($F57:$H57,"?*")&gt;0)),IF(COUNTIF($Q57:$X57,"?*")&gt;0,", ","")&amp;"incisos A-B","")</f>
        <v/>
      </c>
      <c r="Z57">
        <f>IF(AND($A57="Verdadero o Falso Simple",TRIM($I57)&lt;&gt;"",NOT(OR(LEFT(TRIM($I57),1)="A",LEFT(TRIM($I57),1)="B"))),IF(COUNTIF($Q57:$Y57,"?*")&gt;0,", ","")&amp;"respuesta A-B","")</f>
        <v/>
      </c>
      <c r="AA57">
        <f>IF(AND($A57="Respuesta A/B/Ambas/Ninguna",COUNTIF($D57:$G57,"?*")&lt;4),IF(COUNTIF($Q57:$Z57,"?*")&gt;0,", ","")&amp;"opciones A-D","")</f>
        <v/>
      </c>
      <c r="AB57">
        <f>IF(AND($A57="Respuesta A/B/Ambas/Ninguna",COUNTIF($H57:$H57,"?*")&gt;0),IF(COUNTIF($Q57:$AA57,"?*")&gt;0,", ","")&amp;"opcion E deshabilitada","")</f>
        <v/>
      </c>
      <c r="AC57">
        <f>IF(AND($A57="Respuesta A/B/Ambas/Ninguna",TRIM($I57)&lt;&gt;"",NOT(OR(LEFT(TRIM($I57),1)="A",LEFT(TRIM($I57),1)="B",LEFT(TRIM($I57),1)="C",LEFT(TRIM($I57),1)="D"))),IF(COUNTIF($Q57:$AB57,"?*")&gt;0,", ","")&amp;"respuesta A-D","")</f>
        <v/>
      </c>
      <c r="AD57">
        <f>IF(AND($A57="Verdadero o Falso Complejas",OR(LEN(TRIM(SUBSTITUTE($D57,"1.","")))=0,LEN(TRIM(SUBSTITUTE($E57,"2.","")))=0,LEN(TRIM(SUBSTITUTE($F57,"3.","")))=0,LEN(TRIM(SUBSTITUTE($G57,"4.","")))=0)),IF(COUNTIF($Q57:$AC57,"?*")&gt;0,", ","")&amp;"incisos 1-4","")</f>
        <v/>
      </c>
      <c r="AE57">
        <f>IF(AND($A57="Verdadero o Falso Complejas",COUNTIF($H57:$H57,"?*")&gt;0),IF(COUNTIF($Q57:$AD57,"?*")&gt;0,", ","")&amp;"opcion E deshabilitada","")</f>
        <v/>
      </c>
      <c r="AF57">
        <f>IF(AND($A57="Verdadero o Falso Complejas",TRIM($I57)&lt;&gt;"",NOT(OR(LEFT(TRIM($I57),1)="A",LEFT(TRIM($I57),1)="B",LEFT(TRIM($I57),1)="C",LEFT(TRIM($I57),1)="D",LEFT(TRIM($I57),1)="E"))),IF(COUNTIF($Q57:$AE57,"?*")&gt;0,", ","")&amp;"respuesta A-E","")</f>
        <v/>
      </c>
      <c r="AG57">
        <f>IF(AND(OR($A57="Selección de la mejor respuesta",$A57="Subítem de caso o problema"),COUNTA($D57:$H57)&lt;5),IF(COUNTIF($Q57:$AF57,"?*")&gt;0,", ","")&amp;"incisos A-E","")</f>
        <v/>
      </c>
      <c r="AH57">
        <f>IF(AND(OR($A57="Selección de la mejor respuesta",$A57="Subítem de caso o problema"),TRIM($I57)&lt;&gt;"",NOT(OR(LEFT(TRIM($I57),1)="A",LEFT(TRIM($I57),1)="B",LEFT(TRIM($I57),1)="C",LEFT(TRIM($I57),1)="D",LEFT(TRIM($I57),1)="E"))),IF(COUNTIF($Q57:$AG57,"?*")&gt;0,", ","")&amp;"respuesta A-E","")</f>
        <v/>
      </c>
      <c r="AI57">
        <f>IF(AND(OR($A57="Ítems agrupados por caso clínico o problema",$A57="Opción de Emparejamiento Ampliado"),COUNTIF($D57:$H57,"?*")&gt;0),IF(COUNTIF($Q57:$AH57,"?*")&gt;0,", ","")&amp;"sin incisos","")</f>
        <v/>
      </c>
      <c r="AJ57">
        <f>IF(AND($A57="Emparejamiento Ampliado",COUNTIF($D57:$H57,"?*")&lt;2),IF(COUNTIF($Q57:$AI57,"?*")&gt;0,", ","")&amp;"minimo 2 claves","")</f>
        <v/>
      </c>
      <c r="AK57">
        <f>IF(AND($A57="Opción de Emparejamiento Ampliado",NOT(OR(LEFT(TRIM($I57),1)="A",LEFT(TRIM($I57),1)="B",LEFT(TRIM($I57),1)="C",LEFT(TRIM($I57),1)="D",LEFT(TRIM($I57),1)="E"))),IF(COUNTIF($Q57:$AJ57,"?*")&gt;0,", ","")&amp;"respuesta A-E","")</f>
        <v/>
      </c>
      <c r="AL57">
        <f>IF(TRIM($K57)="",IF(COUNTIF($M57:$M57,"?*")&gt;0,", ","")&amp;"parcial","")</f>
        <v/>
      </c>
      <c r="AM57">
        <f>IF(AND(TRIM($K57)&lt;&gt;"",TRIM($K57)&lt;&gt;VALIDACIONES!$G$1),IF(COUNTIF($M57:$N57,"?*")&gt;0,", ","")&amp;"parcial distinto a "&amp;VALIDACIONES!$G$1,"")</f>
        <v/>
      </c>
      <c r="AN57">
        <f>IF(AND(OR($A57="Ítems agrupados por caso clínico o problema",$A57="Subítem de caso o problema",$A57="Emparejamiento Ampliado",$A57="Opción de Emparejamiento Ampliado"),TRIM($B57)=""),IF(COUNTIF($M57:$O57,"?*")&gt;0,", ","")&amp;"grupo","")</f>
        <v/>
      </c>
    </row>
    <row r="58" ht="24" customHeight="1">
      <c r="A58" s="346" t="n"/>
      <c r="B58" s="346" t="n"/>
      <c r="C58" s="346" t="n"/>
      <c r="D58" s="346">
        <f>IF($A58="Verdadero o Falso Simple","Verdadero",IF($A58="Respuesta A/B/Ambas/Ninguna","A. Si la primera es verdadera",IF($A58="Verdadero o Falso Complejas","1. ","")))</f>
        <v/>
      </c>
      <c r="E58" s="346">
        <f>IF($A58="Verdadero o Falso Simple","Falso",IF($A58="Respuesta A/B/Ambas/Ninguna","B. Si la segunda es verdadera",IF($A58="Verdadero o Falso Complejas","2. ","")))</f>
        <v/>
      </c>
      <c r="F58" s="346">
        <f>IF($A58="Respuesta A/B/Ambas/Ninguna","C. Si ambas son verdaderas",IF($A58="Verdadero o Falso Complejas","3. ",""))</f>
        <v/>
      </c>
      <c r="G58" s="346">
        <f>IF($A58="Respuesta A/B/Ambas/Ninguna","D. Si ninguna es verdadera",IF($A58="Verdadero o Falso Complejas","4. ",""))</f>
        <v/>
      </c>
      <c r="H58" s="346">
        <f>IF($A58="Verdadero o Falso Simple","",IF($A58="Respuesta A/B/Ambas/Ninguna","",IF($A58="Verdadero o Falso Complejas","","")))</f>
        <v/>
      </c>
      <c r="I58" s="346" t="n"/>
      <c r="J58" s="346" t="n">
        <v>3</v>
      </c>
      <c r="K58" s="346" t="inlineStr">
        <is>
          <t>2P</t>
        </is>
      </c>
      <c r="L58" s="347">
        <f>IF(TRIM($A58)="","",IF(OR($A58="Selección de la mejor respuesta",$A58="SELECCION_MEJOR_RESPUESTA",$A58="Subítem de caso o problema",$A58="SUBITEM_CASO"),IF(TRIM($C58)="","Completar enunciado",IF(SUMPRODUCT(--(LEN(TRIM($D58:$H58&amp;""))&gt;0))&lt;5,"Completar opciones A-E",IF(AND(TRIM($I58)&lt;&gt;"",OR(LEFT(TRIM($I58),1)="A",LEFT(TRIM($I58),1)="B",LEFT(TRIM($I58),1)="C",LEFT(TRIM($I58),1)="D",LEFT(TRIM($I58),1)="E")),"OK","Completar respuesta correcta A-E"))),IF(TRIM($A58)="","",IF(COUNTIF($Q58:$AJ58,"?*")=0,"OK","Falta revisar: "&amp;$Q58&amp;$R58&amp;$S58&amp;$T58&amp;$U58&amp;$V58&amp;$W58&amp;$X58&amp;$Y58&amp;$Z58&amp;$AA58&amp;$AB58&amp;$AC58&amp;$AD58&amp;$AE58&amp;$AF58&amp;$AG58&amp;$AH58&amp;$AI58&amp;$AJ58))))</f>
        <v/>
      </c>
      <c r="M58" s="341" t="n"/>
      <c r="Q58">
        <f>IF(TRIM($C58)="","enunciado","")</f>
        <v/>
      </c>
      <c r="R58">
        <f>IF(TRIM($K58)="",IF(COUNTIF($Q58:$Q58,"?*")&gt;0,", ","")&amp;"parcial","")</f>
        <v/>
      </c>
      <c r="S58">
        <f>IF(AND(TRIM($K58)&lt;&gt;"",TRIM($K58)&lt;&gt;VALIDACIONES!$G$1),IF(COUNTIF($Q58:$R58,"?*")&gt;0,", ","")&amp;"parcial distinto a "&amp;VALIDACIONES!$G$1,"")</f>
        <v/>
      </c>
      <c r="T58">
        <f>IF(AND(OR($A58="Ítems agrupados por caso clínico o problema",$A58="Subítem de caso o problema",$A58="Emparejamiento Ampliado",$A58="Opción de Emparejamiento Ampliado"),TRIM($B58)=""),IF(COUNTIF($Q58:$S58,"?*")&gt;0,", ","")&amp;"grupo","")</f>
        <v/>
      </c>
      <c r="U58">
        <f>IF(AND(OR($A58="Verdadero o Falso Simple",$A58="Respuesta A/B/Ambas/Ninguna",$A58="Verdadero o Falso Complejas",$A58="Selección de la mejor respuesta",$A58="Subítem de caso o problema",$A58="Opción de Emparejamiento Ampliado"),TRIM($I58)=""),IF(COUNTIF($Q58:$T58,"?*")&gt;0,", ","")&amp;"respuesta_correcta","")</f>
        <v/>
      </c>
      <c r="V58">
        <f>IF(AND(OR($A58="Verdadero o Falso Simple",$A58="Respuesta A/B/Ambas/Ninguna",$A58="Verdadero o Falso Complejas",$A58="Selección de la mejor respuesta",$A58="Subítem de caso o problema",$A58="Opción de Emparejamiento Ampliado"),TRIM($J58)=""),IF(COUNTIF($Q58:$U58,"?*")&gt;0,", ","")&amp;"dificultad","")</f>
        <v/>
      </c>
      <c r="W58">
        <f>IF(AND(OR($A58="Ítems agrupados por caso clínico o problema",$A58="Emparejamiento Ampliado"),TRIM($I58)&lt;&gt;""),IF(COUNTIF($Q58:$V58,"?*")&gt;0,", ","")&amp;"respuesta debe ir vacia","")</f>
        <v/>
      </c>
      <c r="X58">
        <f>IF(AND(OR($A58="Ítems agrupados por caso clínico o problema",$A58="Emparejamiento Ampliado"),TRIM($J58)&lt;&gt;""),IF(COUNTIF($Q58:$W58,"?*")&gt;0,", ","")&amp;"dificultad debe ir vacia","")</f>
        <v/>
      </c>
      <c r="Y58">
        <f>IF(AND($A58="Verdadero o Falso Simple",OR(COUNTIF($D58:$E58,"?*")&lt;2,COUNTIF($F58:$H58,"?*")&gt;0)),IF(COUNTIF($Q58:$X58,"?*")&gt;0,", ","")&amp;"incisos A-B","")</f>
        <v/>
      </c>
      <c r="Z58">
        <f>IF(AND($A58="Verdadero o Falso Simple",TRIM($I58)&lt;&gt;"",NOT(OR(LEFT(TRIM($I58),1)="A",LEFT(TRIM($I58),1)="B"))),IF(COUNTIF($Q58:$Y58,"?*")&gt;0,", ","")&amp;"respuesta A-B","")</f>
        <v/>
      </c>
      <c r="AA58">
        <f>IF(AND($A58="Respuesta A/B/Ambas/Ninguna",COUNTIF($D58:$G58,"?*")&lt;4),IF(COUNTIF($Q58:$Z58,"?*")&gt;0,", ","")&amp;"opciones A-D","")</f>
        <v/>
      </c>
      <c r="AB58">
        <f>IF(AND($A58="Respuesta A/B/Ambas/Ninguna",COUNTIF($H58:$H58,"?*")&gt;0),IF(COUNTIF($Q58:$AA58,"?*")&gt;0,", ","")&amp;"opcion E deshabilitada","")</f>
        <v/>
      </c>
      <c r="AC58">
        <f>IF(AND($A58="Respuesta A/B/Ambas/Ninguna",TRIM($I58)&lt;&gt;"",NOT(OR(LEFT(TRIM($I58),1)="A",LEFT(TRIM($I58),1)="B",LEFT(TRIM($I58),1)="C",LEFT(TRIM($I58),1)="D"))),IF(COUNTIF($Q58:$AB58,"?*")&gt;0,", ","")&amp;"respuesta A-D","")</f>
        <v/>
      </c>
      <c r="AD58">
        <f>IF(AND($A58="Verdadero o Falso Complejas",OR(LEN(TRIM(SUBSTITUTE($D58,"1.","")))=0,LEN(TRIM(SUBSTITUTE($E58,"2.","")))=0,LEN(TRIM(SUBSTITUTE($F58,"3.","")))=0,LEN(TRIM(SUBSTITUTE($G58,"4.","")))=0)),IF(COUNTIF($Q58:$AC58,"?*")&gt;0,", ","")&amp;"incisos 1-4","")</f>
        <v/>
      </c>
      <c r="AE58">
        <f>IF(AND($A58="Verdadero o Falso Complejas",COUNTIF($H58:$H58,"?*")&gt;0),IF(COUNTIF($Q58:$AD58,"?*")&gt;0,", ","")&amp;"opcion E deshabilitada","")</f>
        <v/>
      </c>
      <c r="AF58">
        <f>IF(AND($A58="Verdadero o Falso Complejas",TRIM($I58)&lt;&gt;"",NOT(OR(LEFT(TRIM($I58),1)="A",LEFT(TRIM($I58),1)="B",LEFT(TRIM($I58),1)="C",LEFT(TRIM($I58),1)="D",LEFT(TRIM($I58),1)="E"))),IF(COUNTIF($Q58:$AE58,"?*")&gt;0,", ","")&amp;"respuesta A-E","")</f>
        <v/>
      </c>
      <c r="AG58">
        <f>IF(AND(OR($A58="Selección de la mejor respuesta",$A58="Subítem de caso o problema"),COUNTA($D58:$H58)&lt;5),IF(COUNTIF($Q58:$AF58,"?*")&gt;0,", ","")&amp;"incisos A-E","")</f>
        <v/>
      </c>
      <c r="AH58">
        <f>IF(AND(OR($A58="Selección de la mejor respuesta",$A58="Subítem de caso o problema"),TRIM($I58)&lt;&gt;"",NOT(OR(LEFT(TRIM($I58),1)="A",LEFT(TRIM($I58),1)="B",LEFT(TRIM($I58),1)="C",LEFT(TRIM($I58),1)="D",LEFT(TRIM($I58),1)="E"))),IF(COUNTIF($Q58:$AG58,"?*")&gt;0,", ","")&amp;"respuesta A-E","")</f>
        <v/>
      </c>
      <c r="AI58">
        <f>IF(AND(OR($A58="Ítems agrupados por caso clínico o problema",$A58="Opción de Emparejamiento Ampliado"),COUNTIF($D58:$H58,"?*")&gt;0),IF(COUNTIF($Q58:$AH58,"?*")&gt;0,", ","")&amp;"sin incisos","")</f>
        <v/>
      </c>
      <c r="AJ58">
        <f>IF(AND($A58="Emparejamiento Ampliado",COUNTIF($D58:$H58,"?*")&lt;2),IF(COUNTIF($Q58:$AI58,"?*")&gt;0,", ","")&amp;"minimo 2 claves","")</f>
        <v/>
      </c>
      <c r="AK58">
        <f>IF(AND($A58="Opción de Emparejamiento Ampliado",NOT(OR(LEFT(TRIM($I58),1)="A",LEFT(TRIM($I58),1)="B",LEFT(TRIM($I58),1)="C",LEFT(TRIM($I58),1)="D",LEFT(TRIM($I58),1)="E"))),IF(COUNTIF($Q58:$AJ58,"?*")&gt;0,", ","")&amp;"respuesta A-E","")</f>
        <v/>
      </c>
      <c r="AL58">
        <f>IF(TRIM($K58)="",IF(COUNTIF($M58:$M58,"?*")&gt;0,", ","")&amp;"parcial","")</f>
        <v/>
      </c>
      <c r="AM58">
        <f>IF(AND(TRIM($K58)&lt;&gt;"",TRIM($K58)&lt;&gt;VALIDACIONES!$G$1),IF(COUNTIF($M58:$N58,"?*")&gt;0,", ","")&amp;"parcial distinto a "&amp;VALIDACIONES!$G$1,"")</f>
        <v/>
      </c>
      <c r="AN58">
        <f>IF(AND(OR($A58="Ítems agrupados por caso clínico o problema",$A58="Subítem de caso o problema",$A58="Emparejamiento Ampliado",$A58="Opción de Emparejamiento Ampliado"),TRIM($B58)=""),IF(COUNTIF($M58:$O58,"?*")&gt;0,", ","")&amp;"grupo","")</f>
        <v/>
      </c>
    </row>
    <row r="59" ht="24" customHeight="1">
      <c r="A59" s="346" t="n"/>
      <c r="B59" s="346" t="n"/>
      <c r="C59" s="346" t="n"/>
      <c r="D59" s="346">
        <f>IF($A59="Verdadero o Falso Simple","Verdadero",IF($A59="Respuesta A/B/Ambas/Ninguna","A. Si la primera es verdadera",IF($A59="Verdadero o Falso Complejas","1. ","")))</f>
        <v/>
      </c>
      <c r="E59" s="346">
        <f>IF($A59="Verdadero o Falso Simple","Falso",IF($A59="Respuesta A/B/Ambas/Ninguna","B. Si la segunda es verdadera",IF($A59="Verdadero o Falso Complejas","2. ","")))</f>
        <v/>
      </c>
      <c r="F59" s="346">
        <f>IF($A59="Respuesta A/B/Ambas/Ninguna","C. Si ambas son verdaderas",IF($A59="Verdadero o Falso Complejas","3. ",""))</f>
        <v/>
      </c>
      <c r="G59" s="346">
        <f>IF($A59="Respuesta A/B/Ambas/Ninguna","D. Si ninguna es verdadera",IF($A59="Verdadero o Falso Complejas","4. ",""))</f>
        <v/>
      </c>
      <c r="H59" s="346">
        <f>IF($A59="Verdadero o Falso Simple","",IF($A59="Respuesta A/B/Ambas/Ninguna","",IF($A59="Verdadero o Falso Complejas","","")))</f>
        <v/>
      </c>
      <c r="I59" s="346" t="n"/>
      <c r="J59" s="346" t="n">
        <v>3</v>
      </c>
      <c r="K59" s="346" t="inlineStr">
        <is>
          <t>2P</t>
        </is>
      </c>
      <c r="L59" s="347">
        <f>IF(TRIM($A59)="","",IF(OR($A59="Selección de la mejor respuesta",$A59="SELECCION_MEJOR_RESPUESTA",$A59="Subítem de caso o problema",$A59="SUBITEM_CASO"),IF(TRIM($C59)="","Completar enunciado",IF(SUMPRODUCT(--(LEN(TRIM($D59:$H59&amp;""))&gt;0))&lt;5,"Completar opciones A-E",IF(AND(TRIM($I59)&lt;&gt;"",OR(LEFT(TRIM($I59),1)="A",LEFT(TRIM($I59),1)="B",LEFT(TRIM($I59),1)="C",LEFT(TRIM($I59),1)="D",LEFT(TRIM($I59),1)="E")),"OK","Completar respuesta correcta A-E"))),IF(TRIM($A59)="","",IF(COUNTIF($Q59:$AJ59,"?*")=0,"OK","Falta revisar: "&amp;$Q59&amp;$R59&amp;$S59&amp;$T59&amp;$U59&amp;$V59&amp;$W59&amp;$X59&amp;$Y59&amp;$Z59&amp;$AA59&amp;$AB59&amp;$AC59&amp;$AD59&amp;$AE59&amp;$AF59&amp;$AG59&amp;$AH59&amp;$AI59&amp;$AJ59))))</f>
        <v/>
      </c>
      <c r="M59" s="341" t="n"/>
      <c r="Q59">
        <f>IF(TRIM($C59)="","enunciado","")</f>
        <v/>
      </c>
      <c r="R59">
        <f>IF(TRIM($K59)="",IF(COUNTIF($Q59:$Q59,"?*")&gt;0,", ","")&amp;"parcial","")</f>
        <v/>
      </c>
      <c r="S59">
        <f>IF(AND(TRIM($K59)&lt;&gt;"",TRIM($K59)&lt;&gt;VALIDACIONES!$G$1),IF(COUNTIF($Q59:$R59,"?*")&gt;0,", ","")&amp;"parcial distinto a "&amp;VALIDACIONES!$G$1,"")</f>
        <v/>
      </c>
      <c r="T59">
        <f>IF(AND(OR($A59="Ítems agrupados por caso clínico o problema",$A59="Subítem de caso o problema",$A59="Emparejamiento Ampliado",$A59="Opción de Emparejamiento Ampliado"),TRIM($B59)=""),IF(COUNTIF($Q59:$S59,"?*")&gt;0,", ","")&amp;"grupo","")</f>
        <v/>
      </c>
      <c r="U59">
        <f>IF(AND(OR($A59="Verdadero o Falso Simple",$A59="Respuesta A/B/Ambas/Ninguna",$A59="Verdadero o Falso Complejas",$A59="Selección de la mejor respuesta",$A59="Subítem de caso o problema",$A59="Opción de Emparejamiento Ampliado"),TRIM($I59)=""),IF(COUNTIF($Q59:$T59,"?*")&gt;0,", ","")&amp;"respuesta_correcta","")</f>
        <v/>
      </c>
      <c r="V59">
        <f>IF(AND(OR($A59="Verdadero o Falso Simple",$A59="Respuesta A/B/Ambas/Ninguna",$A59="Verdadero o Falso Complejas",$A59="Selección de la mejor respuesta",$A59="Subítem de caso o problema",$A59="Opción de Emparejamiento Ampliado"),TRIM($J59)=""),IF(COUNTIF($Q59:$U59,"?*")&gt;0,", ","")&amp;"dificultad","")</f>
        <v/>
      </c>
      <c r="W59">
        <f>IF(AND(OR($A59="Ítems agrupados por caso clínico o problema",$A59="Emparejamiento Ampliado"),TRIM($I59)&lt;&gt;""),IF(COUNTIF($Q59:$V59,"?*")&gt;0,", ","")&amp;"respuesta debe ir vacia","")</f>
        <v/>
      </c>
      <c r="X59">
        <f>IF(AND(OR($A59="Ítems agrupados por caso clínico o problema",$A59="Emparejamiento Ampliado"),TRIM($J59)&lt;&gt;""),IF(COUNTIF($Q59:$W59,"?*")&gt;0,", ","")&amp;"dificultad debe ir vacia","")</f>
        <v/>
      </c>
      <c r="Y59">
        <f>IF(AND($A59="Verdadero o Falso Simple",OR(COUNTIF($D59:$E59,"?*")&lt;2,COUNTIF($F59:$H59,"?*")&gt;0)),IF(COUNTIF($Q59:$X59,"?*")&gt;0,", ","")&amp;"incisos A-B","")</f>
        <v/>
      </c>
      <c r="Z59">
        <f>IF(AND($A59="Verdadero o Falso Simple",TRIM($I59)&lt;&gt;"",NOT(OR(LEFT(TRIM($I59),1)="A",LEFT(TRIM($I59),1)="B"))),IF(COUNTIF($Q59:$Y59,"?*")&gt;0,", ","")&amp;"respuesta A-B","")</f>
        <v/>
      </c>
      <c r="AA59">
        <f>IF(AND($A59="Respuesta A/B/Ambas/Ninguna",COUNTIF($D59:$G59,"?*")&lt;4),IF(COUNTIF($Q59:$Z59,"?*")&gt;0,", ","")&amp;"opciones A-D","")</f>
        <v/>
      </c>
      <c r="AB59">
        <f>IF(AND($A59="Respuesta A/B/Ambas/Ninguna",COUNTIF($H59:$H59,"?*")&gt;0),IF(COUNTIF($Q59:$AA59,"?*")&gt;0,", ","")&amp;"opcion E deshabilitada","")</f>
        <v/>
      </c>
      <c r="AC59">
        <f>IF(AND($A59="Respuesta A/B/Ambas/Ninguna",TRIM($I59)&lt;&gt;"",NOT(OR(LEFT(TRIM($I59),1)="A",LEFT(TRIM($I59),1)="B",LEFT(TRIM($I59),1)="C",LEFT(TRIM($I59),1)="D"))),IF(COUNTIF($Q59:$AB59,"?*")&gt;0,", ","")&amp;"respuesta A-D","")</f>
        <v/>
      </c>
      <c r="AD59">
        <f>IF(AND($A59="Verdadero o Falso Complejas",OR(LEN(TRIM(SUBSTITUTE($D59,"1.","")))=0,LEN(TRIM(SUBSTITUTE($E59,"2.","")))=0,LEN(TRIM(SUBSTITUTE($F59,"3.","")))=0,LEN(TRIM(SUBSTITUTE($G59,"4.","")))=0)),IF(COUNTIF($Q59:$AC59,"?*")&gt;0,", ","")&amp;"incisos 1-4","")</f>
        <v/>
      </c>
      <c r="AE59">
        <f>IF(AND($A59="Verdadero o Falso Complejas",COUNTIF($H59:$H59,"?*")&gt;0),IF(COUNTIF($Q59:$AD59,"?*")&gt;0,", ","")&amp;"opcion E deshabilitada","")</f>
        <v/>
      </c>
      <c r="AF59">
        <f>IF(AND($A59="Verdadero o Falso Complejas",TRIM($I59)&lt;&gt;"",NOT(OR(LEFT(TRIM($I59),1)="A",LEFT(TRIM($I59),1)="B",LEFT(TRIM($I59),1)="C",LEFT(TRIM($I59),1)="D",LEFT(TRIM($I59),1)="E"))),IF(COUNTIF($Q59:$AE59,"?*")&gt;0,", ","")&amp;"respuesta A-E","")</f>
        <v/>
      </c>
      <c r="AG59">
        <f>IF(AND(OR($A59="Selección de la mejor respuesta",$A59="Subítem de caso o problema"),COUNTA($D59:$H59)&lt;5),IF(COUNTIF($Q59:$AF59,"?*")&gt;0,", ","")&amp;"incisos A-E","")</f>
        <v/>
      </c>
      <c r="AH59">
        <f>IF(AND(OR($A59="Selección de la mejor respuesta",$A59="Subítem de caso o problema"),TRIM($I59)&lt;&gt;"",NOT(OR(LEFT(TRIM($I59),1)="A",LEFT(TRIM($I59),1)="B",LEFT(TRIM($I59),1)="C",LEFT(TRIM($I59),1)="D",LEFT(TRIM($I59),1)="E"))),IF(COUNTIF($Q59:$AG59,"?*")&gt;0,", ","")&amp;"respuesta A-E","")</f>
        <v/>
      </c>
      <c r="AI59">
        <f>IF(AND(OR($A59="Ítems agrupados por caso clínico o problema",$A59="Opción de Emparejamiento Ampliado"),COUNTIF($D59:$H59,"?*")&gt;0),IF(COUNTIF($Q59:$AH59,"?*")&gt;0,", ","")&amp;"sin incisos","")</f>
        <v/>
      </c>
      <c r="AJ59">
        <f>IF(AND($A59="Emparejamiento Ampliado",COUNTIF($D59:$H59,"?*")&lt;2),IF(COUNTIF($Q59:$AI59,"?*")&gt;0,", ","")&amp;"minimo 2 claves","")</f>
        <v/>
      </c>
      <c r="AK59">
        <f>IF(AND($A59="Opción de Emparejamiento Ampliado",NOT(OR(LEFT(TRIM($I59),1)="A",LEFT(TRIM($I59),1)="B",LEFT(TRIM($I59),1)="C",LEFT(TRIM($I59),1)="D",LEFT(TRIM($I59),1)="E"))),IF(COUNTIF($Q59:$AJ59,"?*")&gt;0,", ","")&amp;"respuesta A-E","")</f>
        <v/>
      </c>
      <c r="AL59">
        <f>IF(TRIM($K59)="",IF(COUNTIF($M59:$M59,"?*")&gt;0,", ","")&amp;"parcial","")</f>
        <v/>
      </c>
      <c r="AM59">
        <f>IF(AND(TRIM($K59)&lt;&gt;"",TRIM($K59)&lt;&gt;VALIDACIONES!$G$1),IF(COUNTIF($M59:$N59,"?*")&gt;0,", ","")&amp;"parcial distinto a "&amp;VALIDACIONES!$G$1,"")</f>
        <v/>
      </c>
      <c r="AN59">
        <f>IF(AND(OR($A59="Ítems agrupados por caso clínico o problema",$A59="Subítem de caso o problema",$A59="Emparejamiento Ampliado",$A59="Opción de Emparejamiento Ampliado"),TRIM($B59)=""),IF(COUNTIF($M59:$O59,"?*")&gt;0,", ","")&amp;"grupo","")</f>
        <v/>
      </c>
    </row>
    <row r="60" ht="24" customHeight="1">
      <c r="A60" s="346" t="n"/>
      <c r="B60" s="346" t="n"/>
      <c r="C60" s="346" t="n"/>
      <c r="D60" s="346">
        <f>IF($A60="Verdadero o Falso Simple","Verdadero",IF($A60="Respuesta A/B/Ambas/Ninguna","A. Si la primera es verdadera",IF($A60="Verdadero o Falso Complejas","1. ","")))</f>
        <v/>
      </c>
      <c r="E60" s="346">
        <f>IF($A60="Verdadero o Falso Simple","Falso",IF($A60="Respuesta A/B/Ambas/Ninguna","B. Si la segunda es verdadera",IF($A60="Verdadero o Falso Complejas","2. ","")))</f>
        <v/>
      </c>
      <c r="F60" s="346">
        <f>IF($A60="Respuesta A/B/Ambas/Ninguna","C. Si ambas son verdaderas",IF($A60="Verdadero o Falso Complejas","3. ",""))</f>
        <v/>
      </c>
      <c r="G60" s="346">
        <f>IF($A60="Respuesta A/B/Ambas/Ninguna","D. Si ninguna es verdadera",IF($A60="Verdadero o Falso Complejas","4. ",""))</f>
        <v/>
      </c>
      <c r="H60" s="346">
        <f>IF($A60="Verdadero o Falso Simple","",IF($A60="Respuesta A/B/Ambas/Ninguna","",IF($A60="Verdadero o Falso Complejas","","")))</f>
        <v/>
      </c>
      <c r="I60" s="346" t="n"/>
      <c r="J60" s="346" t="n">
        <v>3</v>
      </c>
      <c r="K60" s="346" t="inlineStr">
        <is>
          <t>2P</t>
        </is>
      </c>
      <c r="L60" s="347">
        <f>IF(TRIM($A60)="","",IF(OR($A60="Selección de la mejor respuesta",$A60="SELECCION_MEJOR_RESPUESTA",$A60="Subítem de caso o problema",$A60="SUBITEM_CASO"),IF(TRIM($C60)="","Completar enunciado",IF(SUMPRODUCT(--(LEN(TRIM($D60:$H60&amp;""))&gt;0))&lt;5,"Completar opciones A-E",IF(AND(TRIM($I60)&lt;&gt;"",OR(LEFT(TRIM($I60),1)="A",LEFT(TRIM($I60),1)="B",LEFT(TRIM($I60),1)="C",LEFT(TRIM($I60),1)="D",LEFT(TRIM($I60),1)="E")),"OK","Completar respuesta correcta A-E"))),IF(TRIM($A60)="","",IF(COUNTIF($Q60:$AJ60,"?*")=0,"OK","Falta revisar: "&amp;$Q60&amp;$R60&amp;$S60&amp;$T60&amp;$U60&amp;$V60&amp;$W60&amp;$X60&amp;$Y60&amp;$Z60&amp;$AA60&amp;$AB60&amp;$AC60&amp;$AD60&amp;$AE60&amp;$AF60&amp;$AG60&amp;$AH60&amp;$AI60&amp;$AJ60))))</f>
        <v/>
      </c>
      <c r="M60" s="341" t="n"/>
      <c r="Q60">
        <f>IF(TRIM($C60)="","enunciado","")</f>
        <v/>
      </c>
      <c r="R60">
        <f>IF(TRIM($K60)="",IF(COUNTIF($Q60:$Q60,"?*")&gt;0,", ","")&amp;"parcial","")</f>
        <v/>
      </c>
      <c r="S60">
        <f>IF(AND(TRIM($K60)&lt;&gt;"",TRIM($K60)&lt;&gt;VALIDACIONES!$G$1),IF(COUNTIF($Q60:$R60,"?*")&gt;0,", ","")&amp;"parcial distinto a "&amp;VALIDACIONES!$G$1,"")</f>
        <v/>
      </c>
      <c r="T60">
        <f>IF(AND(OR($A60="Ítems agrupados por caso clínico o problema",$A60="Subítem de caso o problema",$A60="Emparejamiento Ampliado",$A60="Opción de Emparejamiento Ampliado"),TRIM($B60)=""),IF(COUNTIF($Q60:$S60,"?*")&gt;0,", ","")&amp;"grupo","")</f>
        <v/>
      </c>
      <c r="U60">
        <f>IF(AND(OR($A60="Verdadero o Falso Simple",$A60="Respuesta A/B/Ambas/Ninguna",$A60="Verdadero o Falso Complejas",$A60="Selección de la mejor respuesta",$A60="Subítem de caso o problema",$A60="Opción de Emparejamiento Ampliado"),TRIM($I60)=""),IF(COUNTIF($Q60:$T60,"?*")&gt;0,", ","")&amp;"respuesta_correcta","")</f>
        <v/>
      </c>
      <c r="V60">
        <f>IF(AND(OR($A60="Verdadero o Falso Simple",$A60="Respuesta A/B/Ambas/Ninguna",$A60="Verdadero o Falso Complejas",$A60="Selección de la mejor respuesta",$A60="Subítem de caso o problema",$A60="Opción de Emparejamiento Ampliado"),TRIM($J60)=""),IF(COUNTIF($Q60:$U60,"?*")&gt;0,", ","")&amp;"dificultad","")</f>
        <v/>
      </c>
      <c r="W60">
        <f>IF(AND(OR($A60="Ítems agrupados por caso clínico o problema",$A60="Emparejamiento Ampliado"),TRIM($I60)&lt;&gt;""),IF(COUNTIF($Q60:$V60,"?*")&gt;0,", ","")&amp;"respuesta debe ir vacia","")</f>
        <v/>
      </c>
      <c r="X60">
        <f>IF(AND(OR($A60="Ítems agrupados por caso clínico o problema",$A60="Emparejamiento Ampliado"),TRIM($J60)&lt;&gt;""),IF(COUNTIF($Q60:$W60,"?*")&gt;0,", ","")&amp;"dificultad debe ir vacia","")</f>
        <v/>
      </c>
      <c r="Y60">
        <f>IF(AND($A60="Verdadero o Falso Simple",OR(COUNTIF($D60:$E60,"?*")&lt;2,COUNTIF($F60:$H60,"?*")&gt;0)),IF(COUNTIF($Q60:$X60,"?*")&gt;0,", ","")&amp;"incisos A-B","")</f>
        <v/>
      </c>
      <c r="Z60">
        <f>IF(AND($A60="Verdadero o Falso Simple",TRIM($I60)&lt;&gt;"",NOT(OR(LEFT(TRIM($I60),1)="A",LEFT(TRIM($I60),1)="B"))),IF(COUNTIF($Q60:$Y60,"?*")&gt;0,", ","")&amp;"respuesta A-B","")</f>
        <v/>
      </c>
      <c r="AA60">
        <f>IF(AND($A60="Respuesta A/B/Ambas/Ninguna",COUNTIF($D60:$G60,"?*")&lt;4),IF(COUNTIF($Q60:$Z60,"?*")&gt;0,", ","")&amp;"opciones A-D","")</f>
        <v/>
      </c>
      <c r="AB60">
        <f>IF(AND($A60="Respuesta A/B/Ambas/Ninguna",COUNTIF($H60:$H60,"?*")&gt;0),IF(COUNTIF($Q60:$AA60,"?*")&gt;0,", ","")&amp;"opcion E deshabilitada","")</f>
        <v/>
      </c>
      <c r="AC60">
        <f>IF(AND($A60="Respuesta A/B/Ambas/Ninguna",TRIM($I60)&lt;&gt;"",NOT(OR(LEFT(TRIM($I60),1)="A",LEFT(TRIM($I60),1)="B",LEFT(TRIM($I60),1)="C",LEFT(TRIM($I60),1)="D"))),IF(COUNTIF($Q60:$AB60,"?*")&gt;0,", ","")&amp;"respuesta A-D","")</f>
        <v/>
      </c>
      <c r="AD60">
        <f>IF(AND($A60="Verdadero o Falso Complejas",OR(LEN(TRIM(SUBSTITUTE($D60,"1.","")))=0,LEN(TRIM(SUBSTITUTE($E60,"2.","")))=0,LEN(TRIM(SUBSTITUTE($F60,"3.","")))=0,LEN(TRIM(SUBSTITUTE($G60,"4.","")))=0)),IF(COUNTIF($Q60:$AC60,"?*")&gt;0,", ","")&amp;"incisos 1-4","")</f>
        <v/>
      </c>
      <c r="AE60">
        <f>IF(AND($A60="Verdadero o Falso Complejas",COUNTIF($H60:$H60,"?*")&gt;0),IF(COUNTIF($Q60:$AD60,"?*")&gt;0,", ","")&amp;"opcion E deshabilitada","")</f>
        <v/>
      </c>
      <c r="AF60">
        <f>IF(AND($A60="Verdadero o Falso Complejas",TRIM($I60)&lt;&gt;"",NOT(OR(LEFT(TRIM($I60),1)="A",LEFT(TRIM($I60),1)="B",LEFT(TRIM($I60),1)="C",LEFT(TRIM($I60),1)="D",LEFT(TRIM($I60),1)="E"))),IF(COUNTIF($Q60:$AE60,"?*")&gt;0,", ","")&amp;"respuesta A-E","")</f>
        <v/>
      </c>
      <c r="AG60">
        <f>IF(AND(OR($A60="Selección de la mejor respuesta",$A60="Subítem de caso o problema"),COUNTA($D60:$H60)&lt;5),IF(COUNTIF($Q60:$AF60,"?*")&gt;0,", ","")&amp;"incisos A-E","")</f>
        <v/>
      </c>
      <c r="AH60">
        <f>IF(AND(OR($A60="Selección de la mejor respuesta",$A60="Subítem de caso o problema"),TRIM($I60)&lt;&gt;"",NOT(OR(LEFT(TRIM($I60),1)="A",LEFT(TRIM($I60),1)="B",LEFT(TRIM($I60),1)="C",LEFT(TRIM($I60),1)="D",LEFT(TRIM($I60),1)="E"))),IF(COUNTIF($Q60:$AG60,"?*")&gt;0,", ","")&amp;"respuesta A-E","")</f>
        <v/>
      </c>
      <c r="AI60">
        <f>IF(AND(OR($A60="Ítems agrupados por caso clínico o problema",$A60="Opción de Emparejamiento Ampliado"),COUNTIF($D60:$H60,"?*")&gt;0),IF(COUNTIF($Q60:$AH60,"?*")&gt;0,", ","")&amp;"sin incisos","")</f>
        <v/>
      </c>
      <c r="AJ60">
        <f>IF(AND($A60="Emparejamiento Ampliado",COUNTIF($D60:$H60,"?*")&lt;2),IF(COUNTIF($Q60:$AI60,"?*")&gt;0,", ","")&amp;"minimo 2 claves","")</f>
        <v/>
      </c>
      <c r="AK60">
        <f>IF(AND($A60="Opción de Emparejamiento Ampliado",NOT(OR(LEFT(TRIM($I60),1)="A",LEFT(TRIM($I60),1)="B",LEFT(TRIM($I60),1)="C",LEFT(TRIM($I60),1)="D",LEFT(TRIM($I60),1)="E"))),IF(COUNTIF($Q60:$AJ60,"?*")&gt;0,", ","")&amp;"respuesta A-E","")</f>
        <v/>
      </c>
      <c r="AL60">
        <f>IF(TRIM($K60)="",IF(COUNTIF($M60:$M60,"?*")&gt;0,", ","")&amp;"parcial","")</f>
        <v/>
      </c>
      <c r="AM60">
        <f>IF(AND(TRIM($K60)&lt;&gt;"",TRIM($K60)&lt;&gt;VALIDACIONES!$G$1),IF(COUNTIF($M60:$N60,"?*")&gt;0,", ","")&amp;"parcial distinto a "&amp;VALIDACIONES!$G$1,"")</f>
        <v/>
      </c>
      <c r="AN60">
        <f>IF(AND(OR($A60="Ítems agrupados por caso clínico o problema",$A60="Subítem de caso o problema",$A60="Emparejamiento Ampliado",$A60="Opción de Emparejamiento Ampliado"),TRIM($B60)=""),IF(COUNTIF($M60:$O60,"?*")&gt;0,", ","")&amp;"grupo","")</f>
        <v/>
      </c>
    </row>
    <row r="61" ht="24" customHeight="1">
      <c r="A61" s="346" t="n"/>
      <c r="B61" s="346" t="n"/>
      <c r="C61" s="346" t="n"/>
      <c r="D61" s="346">
        <f>IF($A61="Verdadero o Falso Simple","Verdadero",IF($A61="Respuesta A/B/Ambas/Ninguna","A. Si la primera es verdadera",IF($A61="Verdadero o Falso Complejas","1. ","")))</f>
        <v/>
      </c>
      <c r="E61" s="346">
        <f>IF($A61="Verdadero o Falso Simple","Falso",IF($A61="Respuesta A/B/Ambas/Ninguna","B. Si la segunda es verdadera",IF($A61="Verdadero o Falso Complejas","2. ","")))</f>
        <v/>
      </c>
      <c r="F61" s="346">
        <f>IF($A61="Respuesta A/B/Ambas/Ninguna","C. Si ambas son verdaderas",IF($A61="Verdadero o Falso Complejas","3. ",""))</f>
        <v/>
      </c>
      <c r="G61" s="346">
        <f>IF($A61="Respuesta A/B/Ambas/Ninguna","D. Si ninguna es verdadera",IF($A61="Verdadero o Falso Complejas","4. ",""))</f>
        <v/>
      </c>
      <c r="H61" s="346">
        <f>IF($A61="Verdadero o Falso Simple","",IF($A61="Respuesta A/B/Ambas/Ninguna","",IF($A61="Verdadero o Falso Complejas","","")))</f>
        <v/>
      </c>
      <c r="I61" s="346" t="n"/>
      <c r="J61" s="346" t="n">
        <v>3</v>
      </c>
      <c r="K61" s="346" t="inlineStr">
        <is>
          <t>2P</t>
        </is>
      </c>
      <c r="L61" s="347">
        <f>IF(TRIM($A61)="","",IF(OR($A61="Selección de la mejor respuesta",$A61="SELECCION_MEJOR_RESPUESTA",$A61="Subítem de caso o problema",$A61="SUBITEM_CASO"),IF(TRIM($C61)="","Completar enunciado",IF(SUMPRODUCT(--(LEN(TRIM($D61:$H61&amp;""))&gt;0))&lt;5,"Completar opciones A-E",IF(AND(TRIM($I61)&lt;&gt;"",OR(LEFT(TRIM($I61),1)="A",LEFT(TRIM($I61),1)="B",LEFT(TRIM($I61),1)="C",LEFT(TRIM($I61),1)="D",LEFT(TRIM($I61),1)="E")),"OK","Completar respuesta correcta A-E"))),IF(TRIM($A61)="","",IF(COUNTIF($Q61:$AJ61,"?*")=0,"OK","Falta revisar: "&amp;$Q61&amp;$R61&amp;$S61&amp;$T61&amp;$U61&amp;$V61&amp;$W61&amp;$X61&amp;$Y61&amp;$Z61&amp;$AA61&amp;$AB61&amp;$AC61&amp;$AD61&amp;$AE61&amp;$AF61&amp;$AG61&amp;$AH61&amp;$AI61&amp;$AJ61))))</f>
        <v/>
      </c>
      <c r="M61" s="341" t="n"/>
      <c r="Q61">
        <f>IF(TRIM($C61)="","enunciado","")</f>
        <v/>
      </c>
      <c r="R61">
        <f>IF(TRIM($K61)="",IF(COUNTIF($Q61:$Q61,"?*")&gt;0,", ","")&amp;"parcial","")</f>
        <v/>
      </c>
      <c r="S61">
        <f>IF(AND(TRIM($K61)&lt;&gt;"",TRIM($K61)&lt;&gt;VALIDACIONES!$G$1),IF(COUNTIF($Q61:$R61,"?*")&gt;0,", ","")&amp;"parcial distinto a "&amp;VALIDACIONES!$G$1,"")</f>
        <v/>
      </c>
      <c r="T61">
        <f>IF(AND(OR($A61="Ítems agrupados por caso clínico o problema",$A61="Subítem de caso o problema",$A61="Emparejamiento Ampliado",$A61="Opción de Emparejamiento Ampliado"),TRIM($B61)=""),IF(COUNTIF($Q61:$S61,"?*")&gt;0,", ","")&amp;"grupo","")</f>
        <v/>
      </c>
      <c r="U61">
        <f>IF(AND(OR($A61="Verdadero o Falso Simple",$A61="Respuesta A/B/Ambas/Ninguna",$A61="Verdadero o Falso Complejas",$A61="Selección de la mejor respuesta",$A61="Subítem de caso o problema",$A61="Opción de Emparejamiento Ampliado"),TRIM($I61)=""),IF(COUNTIF($Q61:$T61,"?*")&gt;0,", ","")&amp;"respuesta_correcta","")</f>
        <v/>
      </c>
      <c r="V61">
        <f>IF(AND(OR($A61="Verdadero o Falso Simple",$A61="Respuesta A/B/Ambas/Ninguna",$A61="Verdadero o Falso Complejas",$A61="Selección de la mejor respuesta",$A61="Subítem de caso o problema",$A61="Opción de Emparejamiento Ampliado"),TRIM($J61)=""),IF(COUNTIF($Q61:$U61,"?*")&gt;0,", ","")&amp;"dificultad","")</f>
        <v/>
      </c>
      <c r="W61">
        <f>IF(AND(OR($A61="Ítems agrupados por caso clínico o problema",$A61="Emparejamiento Ampliado"),TRIM($I61)&lt;&gt;""),IF(COUNTIF($Q61:$V61,"?*")&gt;0,", ","")&amp;"respuesta debe ir vacia","")</f>
        <v/>
      </c>
      <c r="X61">
        <f>IF(AND(OR($A61="Ítems agrupados por caso clínico o problema",$A61="Emparejamiento Ampliado"),TRIM($J61)&lt;&gt;""),IF(COUNTIF($Q61:$W61,"?*")&gt;0,", ","")&amp;"dificultad debe ir vacia","")</f>
        <v/>
      </c>
      <c r="Y61">
        <f>IF(AND($A61="Verdadero o Falso Simple",OR(COUNTIF($D61:$E61,"?*")&lt;2,COUNTIF($F61:$H61,"?*")&gt;0)),IF(COUNTIF($Q61:$X61,"?*")&gt;0,", ","")&amp;"incisos A-B","")</f>
        <v/>
      </c>
      <c r="Z61">
        <f>IF(AND($A61="Verdadero o Falso Simple",TRIM($I61)&lt;&gt;"",NOT(OR(LEFT(TRIM($I61),1)="A",LEFT(TRIM($I61),1)="B"))),IF(COUNTIF($Q61:$Y61,"?*")&gt;0,", ","")&amp;"respuesta A-B","")</f>
        <v/>
      </c>
      <c r="AA61">
        <f>IF(AND($A61="Respuesta A/B/Ambas/Ninguna",COUNTIF($D61:$G61,"?*")&lt;4),IF(COUNTIF($Q61:$Z61,"?*")&gt;0,", ","")&amp;"opciones A-D","")</f>
        <v/>
      </c>
      <c r="AB61">
        <f>IF(AND($A61="Respuesta A/B/Ambas/Ninguna",COUNTIF($H61:$H61,"?*")&gt;0),IF(COUNTIF($Q61:$AA61,"?*")&gt;0,", ","")&amp;"opcion E deshabilitada","")</f>
        <v/>
      </c>
      <c r="AC61">
        <f>IF(AND($A61="Respuesta A/B/Ambas/Ninguna",TRIM($I61)&lt;&gt;"",NOT(OR(LEFT(TRIM($I61),1)="A",LEFT(TRIM($I61),1)="B",LEFT(TRIM($I61),1)="C",LEFT(TRIM($I61),1)="D"))),IF(COUNTIF($Q61:$AB61,"?*")&gt;0,", ","")&amp;"respuesta A-D","")</f>
        <v/>
      </c>
      <c r="AD61">
        <f>IF(AND($A61="Verdadero o Falso Complejas",OR(LEN(TRIM(SUBSTITUTE($D61,"1.","")))=0,LEN(TRIM(SUBSTITUTE($E61,"2.","")))=0,LEN(TRIM(SUBSTITUTE($F61,"3.","")))=0,LEN(TRIM(SUBSTITUTE($G61,"4.","")))=0)),IF(COUNTIF($Q61:$AC61,"?*")&gt;0,", ","")&amp;"incisos 1-4","")</f>
        <v/>
      </c>
      <c r="AE61">
        <f>IF(AND($A61="Verdadero o Falso Complejas",COUNTIF($H61:$H61,"?*")&gt;0),IF(COUNTIF($Q61:$AD61,"?*")&gt;0,", ","")&amp;"opcion E deshabilitada","")</f>
        <v/>
      </c>
      <c r="AF61">
        <f>IF(AND($A61="Verdadero o Falso Complejas",TRIM($I61)&lt;&gt;"",NOT(OR(LEFT(TRIM($I61),1)="A",LEFT(TRIM($I61),1)="B",LEFT(TRIM($I61),1)="C",LEFT(TRIM($I61),1)="D",LEFT(TRIM($I61),1)="E"))),IF(COUNTIF($Q61:$AE61,"?*")&gt;0,", ","")&amp;"respuesta A-E","")</f>
        <v/>
      </c>
      <c r="AG61">
        <f>IF(AND(OR($A61="Selección de la mejor respuesta",$A61="Subítem de caso o problema"),COUNTA($D61:$H61)&lt;5),IF(COUNTIF($Q61:$AF61,"?*")&gt;0,", ","")&amp;"incisos A-E","")</f>
        <v/>
      </c>
      <c r="AH61">
        <f>IF(AND(OR($A61="Selección de la mejor respuesta",$A61="Subítem de caso o problema"),TRIM($I61)&lt;&gt;"",NOT(OR(LEFT(TRIM($I61),1)="A",LEFT(TRIM($I61),1)="B",LEFT(TRIM($I61),1)="C",LEFT(TRIM($I61),1)="D",LEFT(TRIM($I61),1)="E"))),IF(COUNTIF($Q61:$AG61,"?*")&gt;0,", ","")&amp;"respuesta A-E","")</f>
        <v/>
      </c>
      <c r="AI61">
        <f>IF(AND(OR($A61="Ítems agrupados por caso clínico o problema",$A61="Opción de Emparejamiento Ampliado"),COUNTIF($D61:$H61,"?*")&gt;0),IF(COUNTIF($Q61:$AH61,"?*")&gt;0,", ","")&amp;"sin incisos","")</f>
        <v/>
      </c>
      <c r="AJ61">
        <f>IF(AND($A61="Emparejamiento Ampliado",COUNTIF($D61:$H61,"?*")&lt;2),IF(COUNTIF($Q61:$AI61,"?*")&gt;0,", ","")&amp;"minimo 2 claves","")</f>
        <v/>
      </c>
      <c r="AK61">
        <f>IF(AND($A61="Opción de Emparejamiento Ampliado",NOT(OR(LEFT(TRIM($I61),1)="A",LEFT(TRIM($I61),1)="B",LEFT(TRIM($I61),1)="C",LEFT(TRIM($I61),1)="D",LEFT(TRIM($I61),1)="E"))),IF(COUNTIF($Q61:$AJ61,"?*")&gt;0,", ","")&amp;"respuesta A-E","")</f>
        <v/>
      </c>
      <c r="AL61">
        <f>IF(TRIM($K61)="",IF(COUNTIF($M61:$M61,"?*")&gt;0,", ","")&amp;"parcial","")</f>
        <v/>
      </c>
      <c r="AM61">
        <f>IF(AND(TRIM($K61)&lt;&gt;"",TRIM($K61)&lt;&gt;VALIDACIONES!$G$1),IF(COUNTIF($M61:$N61,"?*")&gt;0,", ","")&amp;"parcial distinto a "&amp;VALIDACIONES!$G$1,"")</f>
        <v/>
      </c>
      <c r="AN61">
        <f>IF(AND(OR($A61="Ítems agrupados por caso clínico o problema",$A61="Subítem de caso o problema",$A61="Emparejamiento Ampliado",$A61="Opción de Emparejamiento Ampliado"),TRIM($B61)=""),IF(COUNTIF($M61:$O61,"?*")&gt;0,", ","")&amp;"grupo","")</f>
        <v/>
      </c>
    </row>
    <row r="62" ht="24" customHeight="1">
      <c r="S62">
        <f>IF(AND(TRIM($K62)&lt;&gt;"",TRIM($K62)&lt;&gt;VALIDACIONES!$G$1),IF(COUNTIF($Q62:$R62,"?*")&gt;0,", ","")&amp;"parcial distinto a "&amp;VALIDACIONES!$G$1,"")</f>
        <v/>
      </c>
      <c r="AM62">
        <f>IF(AND(TRIM($K62)&lt;&gt;"",TRIM($K62)&lt;&gt;VALIDACIONES!$G$1),IF(COUNTIF($M62:$N62,"?*")&gt;0,", ","")&amp;"parcial distinto a "&amp;VALIDACIONES!$G$1,"")</f>
        <v/>
      </c>
    </row>
    <row r="63" ht="24" customHeight="1">
      <c r="S63">
        <f>IF(AND(TRIM($K63)&lt;&gt;"",TRIM($K63)&lt;&gt;VALIDACIONES!$G$1),IF(COUNTIF($Q63:$R63,"?*")&gt;0,", ","")&amp;"parcial distinto a "&amp;VALIDACIONES!$G$1,"")</f>
        <v/>
      </c>
      <c r="AM63">
        <f>IF(AND(TRIM($K63)&lt;&gt;"",TRIM($K63)&lt;&gt;VALIDACIONES!$G$1),IF(COUNTIF($M63:$N63,"?*")&gt;0,", ","")&amp;"parcial distinto a "&amp;VALIDACIONES!$G$1,"")</f>
        <v/>
      </c>
    </row>
    <row r="64" ht="24" customHeight="1">
      <c r="S64">
        <f>IF(AND(TRIM($K64)&lt;&gt;"",TRIM($K64)&lt;&gt;VALIDACIONES!$G$1),IF(COUNTIF($Q64:$R64,"?*")&gt;0,", ","")&amp;"parcial distinto a "&amp;VALIDACIONES!$G$1,"")</f>
        <v/>
      </c>
      <c r="AM64">
        <f>IF(AND(TRIM($K64)&lt;&gt;"",TRIM($K64)&lt;&gt;VALIDACIONES!$G$1),IF(COUNTIF($M64:$N64,"?*")&gt;0,", ","")&amp;"parcial distinto a "&amp;VALIDACIONES!$G$1,"")</f>
        <v/>
      </c>
    </row>
    <row r="65" ht="24" customHeight="1">
      <c r="S65">
        <f>IF(AND(TRIM($K65)&lt;&gt;"",TRIM($K65)&lt;&gt;VALIDACIONES!$G$1),IF(COUNTIF($Q65:$R65,"?*")&gt;0,", ","")&amp;"parcial distinto a "&amp;VALIDACIONES!$G$1,"")</f>
        <v/>
      </c>
      <c r="AM65">
        <f>IF(AND(TRIM($K65)&lt;&gt;"",TRIM($K65)&lt;&gt;VALIDACIONES!$G$1),IF(COUNTIF($M65:$N65,"?*")&gt;0,", ","")&amp;"parcial distinto a "&amp;VALIDACIONES!$G$1,"")</f>
        <v/>
      </c>
    </row>
    <row r="66" ht="24" customHeight="1">
      <c r="S66">
        <f>IF(AND(TRIM($K66)&lt;&gt;"",TRIM($K66)&lt;&gt;VALIDACIONES!$G$1),IF(COUNTIF($Q66:$R66,"?*")&gt;0,", ","")&amp;"parcial distinto a "&amp;VALIDACIONES!$G$1,"")</f>
        <v/>
      </c>
      <c r="AM66">
        <f>IF(AND(TRIM($K66)&lt;&gt;"",TRIM($K66)&lt;&gt;VALIDACIONES!$G$1),IF(COUNTIF($M66:$N66,"?*")&gt;0,", ","")&amp;"parcial distinto a "&amp;VALIDACIONES!$G$1,"")</f>
        <v/>
      </c>
    </row>
    <row r="67" ht="24" customHeight="1">
      <c r="S67">
        <f>IF(AND(TRIM($K67)&lt;&gt;"",TRIM($K67)&lt;&gt;VALIDACIONES!$G$1),IF(COUNTIF($Q67:$R67,"?*")&gt;0,", ","")&amp;"parcial distinto a "&amp;VALIDACIONES!$G$1,"")</f>
        <v/>
      </c>
      <c r="AM67">
        <f>IF(AND(TRIM($K67)&lt;&gt;"",TRIM($K67)&lt;&gt;VALIDACIONES!$G$1),IF(COUNTIF($M67:$N67,"?*")&gt;0,", ","")&amp;"parcial distinto a "&amp;VALIDACIONES!$G$1,"")</f>
        <v/>
      </c>
    </row>
    <row r="68" ht="24" customHeight="1">
      <c r="S68">
        <f>IF(AND(TRIM($K68)&lt;&gt;"",TRIM($K68)&lt;&gt;VALIDACIONES!$G$1),IF(COUNTIF($Q68:$R68,"?*")&gt;0,", ","")&amp;"parcial distinto a "&amp;VALIDACIONES!$G$1,"")</f>
        <v/>
      </c>
      <c r="AM68">
        <f>IF(AND(TRIM($K68)&lt;&gt;"",TRIM($K68)&lt;&gt;VALIDACIONES!$G$1),IF(COUNTIF($M68:$N68,"?*")&gt;0,", ","")&amp;"parcial distinto a "&amp;VALIDACIONES!$G$1,"")</f>
        <v/>
      </c>
    </row>
    <row r="69" ht="24" customHeight="1">
      <c r="S69">
        <f>IF(AND(TRIM($K69)&lt;&gt;"",TRIM($K69)&lt;&gt;VALIDACIONES!$G$1),IF(COUNTIF($Q69:$R69,"?*")&gt;0,", ","")&amp;"parcial distinto a "&amp;VALIDACIONES!$G$1,"")</f>
        <v/>
      </c>
      <c r="AM69">
        <f>IF(AND(TRIM($K69)&lt;&gt;"",TRIM($K69)&lt;&gt;VALIDACIONES!$G$1),IF(COUNTIF($M69:$N69,"?*")&gt;0,", ","")&amp;"parcial distinto a "&amp;VALIDACIONES!$G$1,"")</f>
        <v/>
      </c>
    </row>
    <row r="70" ht="24" customHeight="1">
      <c r="S70">
        <f>IF(AND(TRIM($K70)&lt;&gt;"",TRIM($K70)&lt;&gt;VALIDACIONES!$G$1),IF(COUNTIF($Q70:$R70,"?*")&gt;0,", ","")&amp;"parcial distinto a "&amp;VALIDACIONES!$G$1,"")</f>
        <v/>
      </c>
      <c r="AM70">
        <f>IF(AND(TRIM($K70)&lt;&gt;"",TRIM($K70)&lt;&gt;VALIDACIONES!$G$1),IF(COUNTIF($M70:$N70,"?*")&gt;0,", ","")&amp;"parcial distinto a "&amp;VALIDACIONES!$G$1,"")</f>
        <v/>
      </c>
    </row>
    <row r="71" ht="24" customHeight="1">
      <c r="S71">
        <f>IF(AND(TRIM($K71)&lt;&gt;"",TRIM($K71)&lt;&gt;VALIDACIONES!$G$1),IF(COUNTIF($Q71:$R71,"?*")&gt;0,", ","")&amp;"parcial distinto a "&amp;VALIDACIONES!$G$1,"")</f>
        <v/>
      </c>
      <c r="AM71">
        <f>IF(AND(TRIM($K71)&lt;&gt;"",TRIM($K71)&lt;&gt;VALIDACIONES!$G$1),IF(COUNTIF($M71:$N71,"?*")&gt;0,", ","")&amp;"parcial distinto a "&amp;VALIDACIONES!$G$1,"")</f>
        <v/>
      </c>
    </row>
    <row r="72" ht="24" customHeight="1">
      <c r="S72">
        <f>IF(AND(TRIM($K72)&lt;&gt;"",TRIM($K72)&lt;&gt;VALIDACIONES!$G$1),IF(COUNTIF($Q72:$R72,"?*")&gt;0,", ","")&amp;"parcial distinto a "&amp;VALIDACIONES!$G$1,"")</f>
        <v/>
      </c>
      <c r="AM72">
        <f>IF(AND(TRIM($K72)&lt;&gt;"",TRIM($K72)&lt;&gt;VALIDACIONES!$G$1),IF(COUNTIF($M72:$N72,"?*")&gt;0,", ","")&amp;"parcial distinto a "&amp;VALIDACIONES!$G$1,"")</f>
        <v/>
      </c>
    </row>
    <row r="73" ht="24" customHeight="1">
      <c r="S73">
        <f>IF(AND(TRIM($K73)&lt;&gt;"",TRIM($K73)&lt;&gt;VALIDACIONES!$G$1),IF(COUNTIF($Q73:$R73,"?*")&gt;0,", ","")&amp;"parcial distinto a "&amp;VALIDACIONES!$G$1,"")</f>
        <v/>
      </c>
      <c r="AM73">
        <f>IF(AND(TRIM($K73)&lt;&gt;"",TRIM($K73)&lt;&gt;VALIDACIONES!$G$1),IF(COUNTIF($M73:$N73,"?*")&gt;0,", ","")&amp;"parcial distinto a "&amp;VALIDACIONES!$G$1,"")</f>
        <v/>
      </c>
    </row>
    <row r="74" ht="24" customHeight="1">
      <c r="S74">
        <f>IF(AND(TRIM($K74)&lt;&gt;"",TRIM($K74)&lt;&gt;VALIDACIONES!$G$1),IF(COUNTIF($Q74:$R74,"?*")&gt;0,", ","")&amp;"parcial distinto a "&amp;VALIDACIONES!$G$1,"")</f>
        <v/>
      </c>
      <c r="AM74">
        <f>IF(AND(TRIM($K74)&lt;&gt;"",TRIM($K74)&lt;&gt;VALIDACIONES!$G$1),IF(COUNTIF($M74:$N74,"?*")&gt;0,", ","")&amp;"parcial distinto a "&amp;VALIDACIONES!$G$1,"")</f>
        <v/>
      </c>
    </row>
    <row r="75" ht="24" customHeight="1">
      <c r="S75">
        <f>IF(AND(TRIM($K75)&lt;&gt;"",TRIM($K75)&lt;&gt;VALIDACIONES!$G$1),IF(COUNTIF($Q75:$R75,"?*")&gt;0,", ","")&amp;"parcial distinto a "&amp;VALIDACIONES!$G$1,"")</f>
        <v/>
      </c>
      <c r="AM75">
        <f>IF(AND(TRIM($K75)&lt;&gt;"",TRIM($K75)&lt;&gt;VALIDACIONES!$G$1),IF(COUNTIF($M75:$N75,"?*")&gt;0,", ","")&amp;"parcial distinto a "&amp;VALIDACIONES!$G$1,"")</f>
        <v/>
      </c>
    </row>
    <row r="76" ht="24" customHeight="1">
      <c r="S76">
        <f>IF(AND(TRIM($K76)&lt;&gt;"",TRIM($K76)&lt;&gt;VALIDACIONES!$G$1),IF(COUNTIF($Q76:$R76,"?*")&gt;0,", ","")&amp;"parcial distinto a "&amp;VALIDACIONES!$G$1,"")</f>
        <v/>
      </c>
      <c r="AM76">
        <f>IF(AND(TRIM($K76)&lt;&gt;"",TRIM($K76)&lt;&gt;VALIDACIONES!$G$1),IF(COUNTIF($M76:$N76,"?*")&gt;0,", ","")&amp;"parcial distinto a "&amp;VALIDACIONES!$G$1,"")</f>
        <v/>
      </c>
    </row>
    <row r="77" ht="24" customHeight="1">
      <c r="S77">
        <f>IF(AND(TRIM($K77)&lt;&gt;"",TRIM($K77)&lt;&gt;VALIDACIONES!$G$1),IF(COUNTIF($Q77:$R77,"?*")&gt;0,", ","")&amp;"parcial distinto a "&amp;VALIDACIONES!$G$1,"")</f>
        <v/>
      </c>
      <c r="AM77">
        <f>IF(AND(TRIM($K77)&lt;&gt;"",TRIM($K77)&lt;&gt;VALIDACIONES!$G$1),IF(COUNTIF($M77:$N77,"?*")&gt;0,", ","")&amp;"parcial distinto a "&amp;VALIDACIONES!$G$1,"")</f>
        <v/>
      </c>
    </row>
    <row r="78" ht="24" customHeight="1">
      <c r="S78">
        <f>IF(AND(TRIM($K78)&lt;&gt;"",TRIM($K78)&lt;&gt;VALIDACIONES!$G$1),IF(COUNTIF($Q78:$R78,"?*")&gt;0,", ","")&amp;"parcial distinto a "&amp;VALIDACIONES!$G$1,"")</f>
        <v/>
      </c>
      <c r="AM78">
        <f>IF(AND(TRIM($K78)&lt;&gt;"",TRIM($K78)&lt;&gt;VALIDACIONES!$G$1),IF(COUNTIF($M78:$N78,"?*")&gt;0,", ","")&amp;"parcial distinto a "&amp;VALIDACIONES!$G$1,"")</f>
        <v/>
      </c>
    </row>
    <row r="79" ht="24" customHeight="1">
      <c r="S79">
        <f>IF(AND(TRIM($K79)&lt;&gt;"",TRIM($K79)&lt;&gt;VALIDACIONES!$G$1),IF(COUNTIF($Q79:$R79,"?*")&gt;0,", ","")&amp;"parcial distinto a "&amp;VALIDACIONES!$G$1,"")</f>
        <v/>
      </c>
      <c r="AM79">
        <f>IF(AND(TRIM($K79)&lt;&gt;"",TRIM($K79)&lt;&gt;VALIDACIONES!$G$1),IF(COUNTIF($M79:$N79,"?*")&gt;0,", ","")&amp;"parcial distinto a "&amp;VALIDACIONES!$G$1,"")</f>
        <v/>
      </c>
    </row>
    <row r="80" ht="24" customHeight="1">
      <c r="S80">
        <f>IF(AND(TRIM($K80)&lt;&gt;"",TRIM($K80)&lt;&gt;VALIDACIONES!$G$1),IF(COUNTIF($Q80:$R80,"?*")&gt;0,", ","")&amp;"parcial distinto a "&amp;VALIDACIONES!$G$1,"")</f>
        <v/>
      </c>
      <c r="AM80">
        <f>IF(AND(TRIM($K80)&lt;&gt;"",TRIM($K80)&lt;&gt;VALIDACIONES!$G$1),IF(COUNTIF($M80:$N80,"?*")&gt;0,", ","")&amp;"parcial distinto a "&amp;VALIDACIONES!$G$1,"")</f>
        <v/>
      </c>
    </row>
    <row r="81" ht="24" customHeight="1">
      <c r="S81">
        <f>IF(AND(TRIM($K81)&lt;&gt;"",TRIM($K81)&lt;&gt;VALIDACIONES!$G$1),IF(COUNTIF($Q81:$R81,"?*")&gt;0,", ","")&amp;"parcial distinto a "&amp;VALIDACIONES!$G$1,"")</f>
        <v/>
      </c>
      <c r="AM81">
        <f>IF(AND(TRIM($K81)&lt;&gt;"",TRIM($K81)&lt;&gt;VALIDACIONES!$G$1),IF(COUNTIF($M81:$N81,"?*")&gt;0,", ","")&amp;"parcial distinto a "&amp;VALIDACIONES!$G$1,"")</f>
        <v/>
      </c>
    </row>
    <row r="82" ht="24" customHeight="1">
      <c r="S82">
        <f>IF(AND(TRIM($K82)&lt;&gt;"",TRIM($K82)&lt;&gt;VALIDACIONES!$G$1),IF(COUNTIF($Q82:$R82,"?*")&gt;0,", ","")&amp;"parcial distinto a "&amp;VALIDACIONES!$G$1,"")</f>
        <v/>
      </c>
      <c r="AM82">
        <f>IF(AND(TRIM($K82)&lt;&gt;"",TRIM($K82)&lt;&gt;VALIDACIONES!$G$1),IF(COUNTIF($M82:$N82,"?*")&gt;0,", ","")&amp;"parcial distinto a "&amp;VALIDACIONES!$G$1,"")</f>
        <v/>
      </c>
    </row>
    <row r="83" ht="24" customHeight="1">
      <c r="S83">
        <f>IF(AND(TRIM($K83)&lt;&gt;"",TRIM($K83)&lt;&gt;VALIDACIONES!$G$1),IF(COUNTIF($Q83:$R83,"?*")&gt;0,", ","")&amp;"parcial distinto a "&amp;VALIDACIONES!$G$1,"")</f>
        <v/>
      </c>
      <c r="AM83">
        <f>IF(AND(TRIM($K83)&lt;&gt;"",TRIM($K83)&lt;&gt;VALIDACIONES!$G$1),IF(COUNTIF($M83:$N83,"?*")&gt;0,", ","")&amp;"parcial distinto a "&amp;VALIDACIONES!$G$1,"")</f>
        <v/>
      </c>
    </row>
    <row r="84" ht="24" customHeight="1">
      <c r="S84">
        <f>IF(AND(TRIM($K84)&lt;&gt;"",TRIM($K84)&lt;&gt;VALIDACIONES!$G$1),IF(COUNTIF($Q84:$R84,"?*")&gt;0,", ","")&amp;"parcial distinto a "&amp;VALIDACIONES!$G$1,"")</f>
        <v/>
      </c>
      <c r="AM84">
        <f>IF(AND(TRIM($K84)&lt;&gt;"",TRIM($K84)&lt;&gt;VALIDACIONES!$G$1),IF(COUNTIF($M84:$N84,"?*")&gt;0,", ","")&amp;"parcial distinto a "&amp;VALIDACIONES!$G$1,"")</f>
        <v/>
      </c>
    </row>
    <row r="85" ht="24" customHeight="1">
      <c r="S85">
        <f>IF(AND(TRIM($K85)&lt;&gt;"",TRIM($K85)&lt;&gt;VALIDACIONES!$G$1),IF(COUNTIF($Q85:$R85,"?*")&gt;0,", ","")&amp;"parcial distinto a "&amp;VALIDACIONES!$G$1,"")</f>
        <v/>
      </c>
      <c r="AM85">
        <f>IF(AND(TRIM($K85)&lt;&gt;"",TRIM($K85)&lt;&gt;VALIDACIONES!$G$1),IF(COUNTIF($M85:$N85,"?*")&gt;0,", ","")&amp;"parcial distinto a "&amp;VALIDACIONES!$G$1,"")</f>
        <v/>
      </c>
    </row>
    <row r="86" ht="24" customHeight="1">
      <c r="S86">
        <f>IF(AND(TRIM($K86)&lt;&gt;"",TRIM($K86)&lt;&gt;VALIDACIONES!$G$1),IF(COUNTIF($Q86:$R86,"?*")&gt;0,", ","")&amp;"parcial distinto a "&amp;VALIDACIONES!$G$1,"")</f>
        <v/>
      </c>
      <c r="AM86">
        <f>IF(AND(TRIM($K86)&lt;&gt;"",TRIM($K86)&lt;&gt;VALIDACIONES!$G$1),IF(COUNTIF($M86:$N86,"?*")&gt;0,", ","")&amp;"parcial distinto a "&amp;VALIDACIONES!$G$1,"")</f>
        <v/>
      </c>
    </row>
    <row r="87" ht="24" customHeight="1">
      <c r="S87">
        <f>IF(AND(TRIM($K87)&lt;&gt;"",TRIM($K87)&lt;&gt;VALIDACIONES!$G$1),IF(COUNTIF($Q87:$R87,"?*")&gt;0,", ","")&amp;"parcial distinto a "&amp;VALIDACIONES!$G$1,"")</f>
        <v/>
      </c>
      <c r="AM87">
        <f>IF(AND(TRIM($K87)&lt;&gt;"",TRIM($K87)&lt;&gt;VALIDACIONES!$G$1),IF(COUNTIF($M87:$N87,"?*")&gt;0,", ","")&amp;"parcial distinto a "&amp;VALIDACIONES!$G$1,"")</f>
        <v/>
      </c>
    </row>
    <row r="88" ht="24" customHeight="1">
      <c r="S88">
        <f>IF(AND(TRIM($K88)&lt;&gt;"",TRIM($K88)&lt;&gt;VALIDACIONES!$G$1),IF(COUNTIF($Q88:$R88,"?*")&gt;0,", ","")&amp;"parcial distinto a "&amp;VALIDACIONES!$G$1,"")</f>
        <v/>
      </c>
      <c r="AM88">
        <f>IF(AND(TRIM($K88)&lt;&gt;"",TRIM($K88)&lt;&gt;VALIDACIONES!$G$1),IF(COUNTIF($M88:$N88,"?*")&gt;0,", ","")&amp;"parcial distinto a "&amp;VALIDACIONES!$G$1,"")</f>
        <v/>
      </c>
    </row>
    <row r="89" ht="24" customHeight="1">
      <c r="S89">
        <f>IF(AND(TRIM($K89)&lt;&gt;"",TRIM($K89)&lt;&gt;VALIDACIONES!$G$1),IF(COUNTIF($Q89:$R89,"?*")&gt;0,", ","")&amp;"parcial distinto a "&amp;VALIDACIONES!$G$1,"")</f>
        <v/>
      </c>
      <c r="AM89">
        <f>IF(AND(TRIM($K89)&lt;&gt;"",TRIM($K89)&lt;&gt;VALIDACIONES!$G$1),IF(COUNTIF($M89:$N89,"?*")&gt;0,", ","")&amp;"parcial distinto a "&amp;VALIDACIONES!$G$1,"")</f>
        <v/>
      </c>
    </row>
    <row r="90" ht="24" customHeight="1">
      <c r="S90">
        <f>IF(AND(TRIM($K90)&lt;&gt;"",TRIM($K90)&lt;&gt;VALIDACIONES!$G$1),IF(COUNTIF($Q90:$R90,"?*")&gt;0,", ","")&amp;"parcial distinto a "&amp;VALIDACIONES!$G$1,"")</f>
        <v/>
      </c>
      <c r="AM90">
        <f>IF(AND(TRIM($K90)&lt;&gt;"",TRIM($K90)&lt;&gt;VALIDACIONES!$G$1),IF(COUNTIF($M90:$N90,"?*")&gt;0,", ","")&amp;"parcial distinto a "&amp;VALIDACIONES!$G$1,"")</f>
        <v/>
      </c>
    </row>
    <row r="91" ht="24" customHeight="1">
      <c r="S91">
        <f>IF(AND(TRIM($K91)&lt;&gt;"",TRIM($K91)&lt;&gt;VALIDACIONES!$G$1),IF(COUNTIF($Q91:$R91,"?*")&gt;0,", ","")&amp;"parcial distinto a "&amp;VALIDACIONES!$G$1,"")</f>
        <v/>
      </c>
      <c r="AM91">
        <f>IF(AND(TRIM($K91)&lt;&gt;"",TRIM($K91)&lt;&gt;VALIDACIONES!$G$1),IF(COUNTIF($M91:$N91,"?*")&gt;0,", ","")&amp;"parcial distinto a "&amp;VALIDACIONES!$G$1,"")</f>
        <v/>
      </c>
    </row>
    <row r="92" ht="24" customHeight="1">
      <c r="S92">
        <f>IF(AND(TRIM($K92)&lt;&gt;"",TRIM($K92)&lt;&gt;VALIDACIONES!$G$1),IF(COUNTIF($Q92:$R92,"?*")&gt;0,", ","")&amp;"parcial distinto a "&amp;VALIDACIONES!$G$1,"")</f>
        <v/>
      </c>
      <c r="AM92">
        <f>IF(AND(TRIM($K92)&lt;&gt;"",TRIM($K92)&lt;&gt;VALIDACIONES!$G$1),IF(COUNTIF($M92:$N92,"?*")&gt;0,", ","")&amp;"parcial distinto a "&amp;VALIDACIONES!$G$1,"")</f>
        <v/>
      </c>
    </row>
    <row r="93" ht="24" customHeight="1">
      <c r="S93">
        <f>IF(AND(TRIM($K93)&lt;&gt;"",TRIM($K93)&lt;&gt;VALIDACIONES!$G$1),IF(COUNTIF($Q93:$R93,"?*")&gt;0,", ","")&amp;"parcial distinto a "&amp;VALIDACIONES!$G$1,"")</f>
        <v/>
      </c>
      <c r="AM93">
        <f>IF(AND(TRIM($K93)&lt;&gt;"",TRIM($K93)&lt;&gt;VALIDACIONES!$G$1),IF(COUNTIF($M93:$N93,"?*")&gt;0,", ","")&amp;"parcial distinto a "&amp;VALIDACIONES!$G$1,"")</f>
        <v/>
      </c>
    </row>
    <row r="94" ht="24" customHeight="1">
      <c r="S94">
        <f>IF(AND(TRIM($K94)&lt;&gt;"",TRIM($K94)&lt;&gt;VALIDACIONES!$G$1),IF(COUNTIF($Q94:$R94,"?*")&gt;0,", ","")&amp;"parcial distinto a "&amp;VALIDACIONES!$G$1,"")</f>
        <v/>
      </c>
      <c r="AM94">
        <f>IF(AND(TRIM($K94)&lt;&gt;"",TRIM($K94)&lt;&gt;VALIDACIONES!$G$1),IF(COUNTIF($M94:$N94,"?*")&gt;0,", ","")&amp;"parcial distinto a "&amp;VALIDACIONES!$G$1,"")</f>
        <v/>
      </c>
    </row>
    <row r="95" ht="24" customHeight="1">
      <c r="S95">
        <f>IF(AND(TRIM($K95)&lt;&gt;"",TRIM($K95)&lt;&gt;VALIDACIONES!$G$1),IF(COUNTIF($Q95:$R95,"?*")&gt;0,", ","")&amp;"parcial distinto a "&amp;VALIDACIONES!$G$1,"")</f>
        <v/>
      </c>
      <c r="AM95">
        <f>IF(AND(TRIM($K95)&lt;&gt;"",TRIM($K95)&lt;&gt;VALIDACIONES!$G$1),IF(COUNTIF($M95:$N95,"?*")&gt;0,", ","")&amp;"parcial distinto a "&amp;VALIDACIONES!$G$1,"")</f>
        <v/>
      </c>
    </row>
    <row r="96" ht="24" customHeight="1">
      <c r="S96">
        <f>IF(AND(TRIM($K96)&lt;&gt;"",TRIM($K96)&lt;&gt;VALIDACIONES!$G$1),IF(COUNTIF($Q96:$R96,"?*")&gt;0,", ","")&amp;"parcial distinto a "&amp;VALIDACIONES!$G$1,"")</f>
        <v/>
      </c>
      <c r="AM96">
        <f>IF(AND(TRIM($K96)&lt;&gt;"",TRIM($K96)&lt;&gt;VALIDACIONES!$G$1),IF(COUNTIF($M96:$N96,"?*")&gt;0,", ","")&amp;"parcial distinto a "&amp;VALIDACIONES!$G$1,"")</f>
        <v/>
      </c>
    </row>
    <row r="97" ht="24" customHeight="1">
      <c r="S97">
        <f>IF(AND(TRIM($K97)&lt;&gt;"",TRIM($K97)&lt;&gt;VALIDACIONES!$G$1),IF(COUNTIF($Q97:$R97,"?*")&gt;0,", ","")&amp;"parcial distinto a "&amp;VALIDACIONES!$G$1,"")</f>
        <v/>
      </c>
      <c r="AM97">
        <f>IF(AND(TRIM($K97)&lt;&gt;"",TRIM($K97)&lt;&gt;VALIDACIONES!$G$1),IF(COUNTIF($M97:$N97,"?*")&gt;0,", ","")&amp;"parcial distinto a "&amp;VALIDACIONES!$G$1,"")</f>
        <v/>
      </c>
    </row>
    <row r="98" ht="24" customHeight="1">
      <c r="S98">
        <f>IF(AND(TRIM($K98)&lt;&gt;"",TRIM($K98)&lt;&gt;VALIDACIONES!$G$1),IF(COUNTIF($Q98:$R98,"?*")&gt;0,", ","")&amp;"parcial distinto a "&amp;VALIDACIONES!$G$1,"")</f>
        <v/>
      </c>
      <c r="AM98">
        <f>IF(AND(TRIM($K98)&lt;&gt;"",TRIM($K98)&lt;&gt;VALIDACIONES!$G$1),IF(COUNTIF($M98:$N98,"?*")&gt;0,", ","")&amp;"parcial distinto a "&amp;VALIDACIONES!$G$1,"")</f>
        <v/>
      </c>
    </row>
    <row r="99" ht="24" customHeight="1">
      <c r="S99">
        <f>IF(AND(TRIM($K99)&lt;&gt;"",TRIM($K99)&lt;&gt;VALIDACIONES!$G$1),IF(COUNTIF($Q99:$R99,"?*")&gt;0,", ","")&amp;"parcial distinto a "&amp;VALIDACIONES!$G$1,"")</f>
        <v/>
      </c>
      <c r="AM99">
        <f>IF(AND(TRIM($K99)&lt;&gt;"",TRIM($K99)&lt;&gt;VALIDACIONES!$G$1),IF(COUNTIF($M99:$N99,"?*")&gt;0,", ","")&amp;"parcial distinto a "&amp;VALIDACIONES!$G$1,"")</f>
        <v/>
      </c>
    </row>
    <row r="100" ht="24" customHeight="1">
      <c r="S100">
        <f>IF(AND(TRIM($K100)&lt;&gt;"",TRIM($K100)&lt;&gt;VALIDACIONES!$G$1),IF(COUNTIF($Q100:$R100,"?*")&gt;0,", ","")&amp;"parcial distinto a "&amp;VALIDACIONES!$G$1,"")</f>
        <v/>
      </c>
      <c r="AM100">
        <f>IF(AND(TRIM($K100)&lt;&gt;"",TRIM($K100)&lt;&gt;VALIDACIONES!$G$1),IF(COUNTIF($M100:$N100,"?*")&gt;0,", ","")&amp;"parcial distinto a "&amp;VALIDACIONES!$G$1,"")</f>
        <v/>
      </c>
    </row>
    <row r="101" ht="24" customHeight="1">
      <c r="S101">
        <f>IF(AND(TRIM($K101)&lt;&gt;"",TRIM($K101)&lt;&gt;VALIDACIONES!$G$1),IF(COUNTIF($Q101:$R101,"?*")&gt;0,", ","")&amp;"parcial distinto a "&amp;VALIDACIONES!$G$1,"")</f>
        <v/>
      </c>
      <c r="AM101">
        <f>IF(AND(TRIM($K101)&lt;&gt;"",TRIM($K101)&lt;&gt;VALIDACIONES!$G$1),IF(COUNTIF($M101:$N101,"?*")&gt;0,", ","")&amp;"parcial distinto a "&amp;VALIDACIONES!$G$1,"")</f>
        <v/>
      </c>
    </row>
    <row r="102" ht="24" customHeight="1">
      <c r="S102">
        <f>IF(AND(TRIM($K102)&lt;&gt;"",TRIM($K102)&lt;&gt;VALIDACIONES!$G$1),IF(COUNTIF($Q102:$R102,"?*")&gt;0,", ","")&amp;"parcial distinto a "&amp;VALIDACIONES!$G$1,"")</f>
        <v/>
      </c>
      <c r="AM102">
        <f>IF(AND(TRIM($K102)&lt;&gt;"",TRIM($K102)&lt;&gt;VALIDACIONES!$G$1),IF(COUNTIF($M102:$N102,"?*")&gt;0,", ","")&amp;"parcial distinto a "&amp;VALIDACIONES!$G$1,"")</f>
        <v/>
      </c>
    </row>
    <row r="103" ht="24" customHeight="1">
      <c r="S103">
        <f>IF(AND(TRIM($K103)&lt;&gt;"",TRIM($K103)&lt;&gt;VALIDACIONES!$G$1),IF(COUNTIF($Q103:$R103,"?*")&gt;0,", ","")&amp;"parcial distinto a "&amp;VALIDACIONES!$G$1,"")</f>
        <v/>
      </c>
      <c r="AM103">
        <f>IF(AND(TRIM($K103)&lt;&gt;"",TRIM($K103)&lt;&gt;VALIDACIONES!$G$1),IF(COUNTIF($M103:$N103,"?*")&gt;0,", ","")&amp;"parcial distinto a "&amp;VALIDACIONES!$G$1,"")</f>
        <v/>
      </c>
    </row>
    <row r="104" ht="24" customHeight="1">
      <c r="S104">
        <f>IF(AND(TRIM($K104)&lt;&gt;"",TRIM($K104)&lt;&gt;VALIDACIONES!$G$1),IF(COUNTIF($Q104:$R104,"?*")&gt;0,", ","")&amp;"parcial distinto a "&amp;VALIDACIONES!$G$1,"")</f>
        <v/>
      </c>
      <c r="AM104">
        <f>IF(AND(TRIM($K104)&lt;&gt;"",TRIM($K104)&lt;&gt;VALIDACIONES!$G$1),IF(COUNTIF($M104:$N104,"?*")&gt;0,", ","")&amp;"parcial distinto a "&amp;VALIDACIONES!$G$1,"")</f>
        <v/>
      </c>
    </row>
    <row r="105" ht="24" customHeight="1">
      <c r="S105">
        <f>IF(AND(TRIM($K105)&lt;&gt;"",TRIM($K105)&lt;&gt;VALIDACIONES!$G$1),IF(COUNTIF($Q105:$R105,"?*")&gt;0,", ","")&amp;"parcial distinto a "&amp;VALIDACIONES!$G$1,"")</f>
        <v/>
      </c>
      <c r="AM105">
        <f>IF(AND(TRIM($K105)&lt;&gt;"",TRIM($K105)&lt;&gt;VALIDACIONES!$G$1),IF(COUNTIF($M105:$N105,"?*")&gt;0,", ","")&amp;"parcial distinto a "&amp;VALIDACIONES!$G$1,"")</f>
        <v/>
      </c>
    </row>
    <row r="106" ht="24" customHeight="1">
      <c r="S106">
        <f>IF(AND(TRIM($K106)&lt;&gt;"",TRIM($K106)&lt;&gt;VALIDACIONES!$G$1),IF(COUNTIF($Q106:$R106,"?*")&gt;0,", ","")&amp;"parcial distinto a "&amp;VALIDACIONES!$G$1,"")</f>
        <v/>
      </c>
      <c r="AM106">
        <f>IF(AND(TRIM($K106)&lt;&gt;"",TRIM($K106)&lt;&gt;VALIDACIONES!$G$1),IF(COUNTIF($M106:$N106,"?*")&gt;0,", ","")&amp;"parcial distinto a "&amp;VALIDACIONES!$G$1,"")</f>
        <v/>
      </c>
    </row>
    <row r="107" ht="24" customHeight="1">
      <c r="S107">
        <f>IF(AND(TRIM($K107)&lt;&gt;"",TRIM($K107)&lt;&gt;VALIDACIONES!$G$1),IF(COUNTIF($Q107:$R107,"?*")&gt;0,", ","")&amp;"parcial distinto a "&amp;VALIDACIONES!$G$1,"")</f>
        <v/>
      </c>
      <c r="AM107">
        <f>IF(AND(TRIM($K107)&lt;&gt;"",TRIM($K107)&lt;&gt;VALIDACIONES!$G$1),IF(COUNTIF($M107:$N107,"?*")&gt;0,", ","")&amp;"parcial distinto a "&amp;VALIDACIONES!$G$1,"")</f>
        <v/>
      </c>
    </row>
    <row r="108" ht="24" customHeight="1">
      <c r="S108">
        <f>IF(AND(TRIM($K108)&lt;&gt;"",TRIM($K108)&lt;&gt;VALIDACIONES!$G$1),IF(COUNTIF($Q108:$R108,"?*")&gt;0,", ","")&amp;"parcial distinto a "&amp;VALIDACIONES!$G$1,"")</f>
        <v/>
      </c>
      <c r="AM108">
        <f>IF(AND(TRIM($K108)&lt;&gt;"",TRIM($K108)&lt;&gt;VALIDACIONES!$G$1),IF(COUNTIF($M108:$N108,"?*")&gt;0,", ","")&amp;"parcial distinto a "&amp;VALIDACIONES!$G$1,"")</f>
        <v/>
      </c>
    </row>
    <row r="109" ht="24" customHeight="1">
      <c r="S109">
        <f>IF(AND(TRIM($K109)&lt;&gt;"",TRIM($K109)&lt;&gt;VALIDACIONES!$G$1),IF(COUNTIF($Q109:$R109,"?*")&gt;0,", ","")&amp;"parcial distinto a "&amp;VALIDACIONES!$G$1,"")</f>
        <v/>
      </c>
      <c r="AM109">
        <f>IF(AND(TRIM($K109)&lt;&gt;"",TRIM($K109)&lt;&gt;VALIDACIONES!$G$1),IF(COUNTIF($M109:$N109,"?*")&gt;0,", ","")&amp;"parcial distinto a "&amp;VALIDACIONES!$G$1,"")</f>
        <v/>
      </c>
    </row>
    <row r="110" ht="24" customHeight="1">
      <c r="S110">
        <f>IF(AND(TRIM($K110)&lt;&gt;"",TRIM($K110)&lt;&gt;VALIDACIONES!$G$1),IF(COUNTIF($Q110:$R110,"?*")&gt;0,", ","")&amp;"parcial distinto a "&amp;VALIDACIONES!$G$1,"")</f>
        <v/>
      </c>
      <c r="AM110">
        <f>IF(AND(TRIM($K110)&lt;&gt;"",TRIM($K110)&lt;&gt;VALIDACIONES!$G$1),IF(COUNTIF($M110:$N110,"?*")&gt;0,", ","")&amp;"parcial distinto a "&amp;VALIDACIONES!$G$1,"")</f>
        <v/>
      </c>
    </row>
    <row r="111" ht="24" customHeight="1">
      <c r="S111">
        <f>IF(AND(TRIM($K111)&lt;&gt;"",TRIM($K111)&lt;&gt;VALIDACIONES!$G$1),IF(COUNTIF($Q111:$R111,"?*")&gt;0,", ","")&amp;"parcial distinto a "&amp;VALIDACIONES!$G$1,"")</f>
        <v/>
      </c>
      <c r="AM111">
        <f>IF(AND(TRIM($K111)&lt;&gt;"",TRIM($K111)&lt;&gt;VALIDACIONES!$G$1),IF(COUNTIF($M111:$N111,"?*")&gt;0,", ","")&amp;"parcial distinto a "&amp;VALIDACIONES!$G$1,"")</f>
        <v/>
      </c>
    </row>
    <row r="112" ht="24" customHeight="1">
      <c r="S112">
        <f>IF(AND(TRIM($K112)&lt;&gt;"",TRIM($K112)&lt;&gt;VALIDACIONES!$G$1),IF(COUNTIF($Q112:$R112,"?*")&gt;0,", ","")&amp;"parcial distinto a "&amp;VALIDACIONES!$G$1,"")</f>
        <v/>
      </c>
      <c r="AM112">
        <f>IF(AND(TRIM($K112)&lt;&gt;"",TRIM($K112)&lt;&gt;VALIDACIONES!$G$1),IF(COUNTIF($M112:$N112,"?*")&gt;0,", ","")&amp;"parcial distinto a "&amp;VALIDACIONES!$G$1,"")</f>
        <v/>
      </c>
    </row>
    <row r="113" ht="24" customHeight="1">
      <c r="S113">
        <f>IF(AND(TRIM($K113)&lt;&gt;"",TRIM($K113)&lt;&gt;VALIDACIONES!$G$1),IF(COUNTIF($Q113:$R113,"?*")&gt;0,", ","")&amp;"parcial distinto a "&amp;VALIDACIONES!$G$1,"")</f>
        <v/>
      </c>
      <c r="AM113">
        <f>IF(AND(TRIM($K113)&lt;&gt;"",TRIM($K113)&lt;&gt;VALIDACIONES!$G$1),IF(COUNTIF($M113:$N113,"?*")&gt;0,", ","")&amp;"parcial distinto a "&amp;VALIDACIONES!$G$1,"")</f>
        <v/>
      </c>
    </row>
    <row r="114" ht="24" customHeight="1">
      <c r="S114">
        <f>IF(AND(TRIM($K114)&lt;&gt;"",TRIM($K114)&lt;&gt;VALIDACIONES!$G$1),IF(COUNTIF($Q114:$R114,"?*")&gt;0,", ","")&amp;"parcial distinto a "&amp;VALIDACIONES!$G$1,"")</f>
        <v/>
      </c>
      <c r="AM114">
        <f>IF(AND(TRIM($K114)&lt;&gt;"",TRIM($K114)&lt;&gt;VALIDACIONES!$G$1),IF(COUNTIF($M114:$N114,"?*")&gt;0,", ","")&amp;"parcial distinto a "&amp;VALIDACIONES!$G$1,"")</f>
        <v/>
      </c>
    </row>
    <row r="115" ht="24" customHeight="1">
      <c r="S115">
        <f>IF(AND(TRIM($K115)&lt;&gt;"",TRIM($K115)&lt;&gt;VALIDACIONES!$G$1),IF(COUNTIF($Q115:$R115,"?*")&gt;0,", ","")&amp;"parcial distinto a "&amp;VALIDACIONES!$G$1,"")</f>
        <v/>
      </c>
      <c r="AM115">
        <f>IF(AND(TRIM($K115)&lt;&gt;"",TRIM($K115)&lt;&gt;VALIDACIONES!$G$1),IF(COUNTIF($M115:$N115,"?*")&gt;0,", ","")&amp;"parcial distinto a "&amp;VALIDACIONES!$G$1,"")</f>
        <v/>
      </c>
    </row>
    <row r="116" ht="24" customHeight="1">
      <c r="S116">
        <f>IF(AND(TRIM($K116)&lt;&gt;"",TRIM($K116)&lt;&gt;VALIDACIONES!$G$1),IF(COUNTIF($Q116:$R116,"?*")&gt;0,", ","")&amp;"parcial distinto a "&amp;VALIDACIONES!$G$1,"")</f>
        <v/>
      </c>
      <c r="AM116">
        <f>IF(AND(TRIM($K116)&lt;&gt;"",TRIM($K116)&lt;&gt;VALIDACIONES!$G$1),IF(COUNTIF($M116:$N116,"?*")&gt;0,", ","")&amp;"parcial distinto a "&amp;VALIDACIONES!$G$1,"")</f>
        <v/>
      </c>
    </row>
    <row r="117" ht="24" customHeight="1">
      <c r="S117">
        <f>IF(AND(TRIM($K117)&lt;&gt;"",TRIM($K117)&lt;&gt;VALIDACIONES!$G$1),IF(COUNTIF($Q117:$R117,"?*")&gt;0,", ","")&amp;"parcial distinto a "&amp;VALIDACIONES!$G$1,"")</f>
        <v/>
      </c>
      <c r="AM117">
        <f>IF(AND(TRIM($K117)&lt;&gt;"",TRIM($K117)&lt;&gt;VALIDACIONES!$G$1),IF(COUNTIF($M117:$N117,"?*")&gt;0,", ","")&amp;"parcial distinto a "&amp;VALIDACIONES!$G$1,"")</f>
        <v/>
      </c>
    </row>
    <row r="118" ht="24" customHeight="1">
      <c r="S118">
        <f>IF(AND(TRIM($K118)&lt;&gt;"",TRIM($K118)&lt;&gt;VALIDACIONES!$G$1),IF(COUNTIF($Q118:$R118,"?*")&gt;0,", ","")&amp;"parcial distinto a "&amp;VALIDACIONES!$G$1,"")</f>
        <v/>
      </c>
      <c r="AM118">
        <f>IF(AND(TRIM($K118)&lt;&gt;"",TRIM($K118)&lt;&gt;VALIDACIONES!$G$1),IF(COUNTIF($M118:$N118,"?*")&gt;0,", ","")&amp;"parcial distinto a "&amp;VALIDACIONES!$G$1,"")</f>
        <v/>
      </c>
    </row>
    <row r="119" ht="24" customHeight="1">
      <c r="S119">
        <f>IF(AND(TRIM($K119)&lt;&gt;"",TRIM($K119)&lt;&gt;VALIDACIONES!$G$1),IF(COUNTIF($Q119:$R119,"?*")&gt;0,", ","")&amp;"parcial distinto a "&amp;VALIDACIONES!$G$1,"")</f>
        <v/>
      </c>
      <c r="AM119">
        <f>IF(AND(TRIM($K119)&lt;&gt;"",TRIM($K119)&lt;&gt;VALIDACIONES!$G$1),IF(COUNTIF($M119:$N119,"?*")&gt;0,", ","")&amp;"parcial distinto a "&amp;VALIDACIONES!$G$1,"")</f>
        <v/>
      </c>
    </row>
    <row r="120" ht="24" customHeight="1">
      <c r="S120">
        <f>IF(AND(TRIM($K120)&lt;&gt;"",TRIM($K120)&lt;&gt;VALIDACIONES!$G$1),IF(COUNTIF($Q120:$R120,"?*")&gt;0,", ","")&amp;"parcial distinto a "&amp;VALIDACIONES!$G$1,"")</f>
        <v/>
      </c>
      <c r="AM120">
        <f>IF(AND(TRIM($K120)&lt;&gt;"",TRIM($K120)&lt;&gt;VALIDACIONES!$G$1),IF(COUNTIF($M120:$N120,"?*")&gt;0,", ","")&amp;"parcial distinto a "&amp;VALIDACIONES!$G$1,"")</f>
        <v/>
      </c>
    </row>
    <row r="121" ht="24" customHeight="1">
      <c r="S121">
        <f>IF(AND(TRIM($K121)&lt;&gt;"",TRIM($K121)&lt;&gt;VALIDACIONES!$G$1),IF(COUNTIF($Q121:$R121,"?*")&gt;0,", ","")&amp;"parcial distinto a "&amp;VALIDACIONES!$G$1,"")</f>
        <v/>
      </c>
      <c r="AM121">
        <f>IF(AND(TRIM($K121)&lt;&gt;"",TRIM($K121)&lt;&gt;VALIDACIONES!$G$1),IF(COUNTIF($M121:$N121,"?*")&gt;0,", ","")&amp;"parcial distinto a "&amp;VALIDACIONES!$G$1,"")</f>
        <v/>
      </c>
    </row>
    <row r="122" ht="28" customHeight="1">
      <c r="S122">
        <f>IF(AND(TRIM($K122)&lt;&gt;"",TRIM($K122)&lt;&gt;VALIDACIONES!$G$1),IF(COUNTIF($Q122:$R122,"?*")&gt;0,", ","")&amp;"parcial distinto a "&amp;VALIDACIONES!$G$1,"")</f>
        <v/>
      </c>
      <c r="AM122">
        <f>IF(AND(TRIM($K122)&lt;&gt;"",TRIM($K122)&lt;&gt;VALIDACIONES!$G$1),IF(COUNTIF($M122:$N122,"?*")&gt;0,", ","")&amp;"parcial distinto a "&amp;VALIDACIONES!$G$1,"")</f>
        <v/>
      </c>
    </row>
    <row r="123" ht="20" customHeight="1">
      <c r="S123">
        <f>IF(AND(TRIM($K123)&lt;&gt;"",TRIM($K123)&lt;&gt;VALIDACIONES!$G$1),IF(COUNTIF($Q123:$R123,"?*")&gt;0,", ","")&amp;"parcial distinto a "&amp;VALIDACIONES!$G$1,"")</f>
        <v/>
      </c>
      <c r="AM123">
        <f>IF(AND(TRIM($K123)&lt;&gt;"",TRIM($K123)&lt;&gt;VALIDACIONES!$G$1),IF(COUNTIF($M123:$N123,"?*")&gt;0,", ","")&amp;"parcial distinto a "&amp;VALIDACIONES!$G$1,"")</f>
        <v/>
      </c>
    </row>
    <row r="124" ht="20" customHeight="1">
      <c r="S124">
        <f>IF(AND(TRIM($K124)&lt;&gt;"",TRIM($K124)&lt;&gt;VALIDACIONES!$G$1),IF(COUNTIF($Q124:$R124,"?*")&gt;0,", ","")&amp;"parcial distinto a "&amp;VALIDACIONES!$G$1,"")</f>
        <v/>
      </c>
      <c r="AM124">
        <f>IF(AND(TRIM($K124)&lt;&gt;"",TRIM($K124)&lt;&gt;VALIDACIONES!$G$1),IF(COUNTIF($M124:$N124,"?*")&gt;0,", ","")&amp;"parcial distinto a "&amp;VALIDACIONES!$G$1,"")</f>
        <v/>
      </c>
    </row>
    <row r="125" ht="20" customHeight="1">
      <c r="S125">
        <f>IF(AND(TRIM($K125)&lt;&gt;"",TRIM($K125)&lt;&gt;VALIDACIONES!$G$1),IF(COUNTIF($Q125:$R125,"?*")&gt;0,", ","")&amp;"parcial distinto a "&amp;VALIDACIONES!$G$1,"")</f>
        <v/>
      </c>
      <c r="AM125">
        <f>IF(AND(TRIM($K125)&lt;&gt;"",TRIM($K125)&lt;&gt;VALIDACIONES!$G$1),IF(COUNTIF($M125:$N125,"?*")&gt;0,", ","")&amp;"parcial distinto a "&amp;VALIDACIONES!$G$1,"")</f>
        <v/>
      </c>
    </row>
    <row r="126">
      <c r="S126">
        <f>IF(AND(TRIM($K126)&lt;&gt;"",TRIM($K126)&lt;&gt;VALIDACIONES!$G$1),IF(COUNTIF($Q126:$R126,"?*")&gt;0,", ","")&amp;"parcial distinto a "&amp;VALIDACIONES!$G$1,"")</f>
        <v/>
      </c>
      <c r="AM126">
        <f>IF(AND(TRIM($K126)&lt;&gt;"",TRIM($K126)&lt;&gt;VALIDACIONES!$G$1),IF(COUNTIF($M126:$N126,"?*")&gt;0,", ","")&amp;"parcial distinto a "&amp;VALIDACIONES!$G$1,"")</f>
        <v/>
      </c>
    </row>
    <row r="127">
      <c r="S127">
        <f>IF(AND(TRIM($K127)&lt;&gt;"",TRIM($K127)&lt;&gt;VALIDACIONES!$G$1),IF(COUNTIF($Q127:$R127,"?*")&gt;0,", ","")&amp;"parcial distinto a "&amp;VALIDACIONES!$G$1,"")</f>
        <v/>
      </c>
      <c r="AM127">
        <f>IF(AND(TRIM($K127)&lt;&gt;"",TRIM($K127)&lt;&gt;VALIDACIONES!$G$1),IF(COUNTIF($M127:$N127,"?*")&gt;0,", ","")&amp;"parcial distinto a "&amp;VALIDACIONES!$G$1,"")</f>
        <v/>
      </c>
    </row>
    <row r="128">
      <c r="S128">
        <f>IF(AND(TRIM($K128)&lt;&gt;"",TRIM($K128)&lt;&gt;VALIDACIONES!$G$1),IF(COUNTIF($Q128:$R128,"?*")&gt;0,", ","")&amp;"parcial distinto a "&amp;VALIDACIONES!$G$1,"")</f>
        <v/>
      </c>
      <c r="AM128">
        <f>IF(AND(TRIM($K128)&lt;&gt;"",TRIM($K128)&lt;&gt;VALIDACIONES!$G$1),IF(COUNTIF($M128:$N128,"?*")&gt;0,", ","")&amp;"parcial distinto a "&amp;VALIDACIONES!$G$1,"")</f>
        <v/>
      </c>
    </row>
    <row r="129">
      <c r="S129">
        <f>IF(AND(TRIM($K129)&lt;&gt;"",TRIM($K129)&lt;&gt;VALIDACIONES!$G$1),IF(COUNTIF($Q129:$R129,"?*")&gt;0,", ","")&amp;"parcial distinto a "&amp;VALIDACIONES!$G$1,"")</f>
        <v/>
      </c>
      <c r="AM129">
        <f>IF(AND(TRIM($K129)&lt;&gt;"",TRIM($K129)&lt;&gt;VALIDACIONES!$G$1),IF(COUNTIF($M129:$N129,"?*")&gt;0,", ","")&amp;"parcial distinto a "&amp;VALIDACIONES!$G$1,"")</f>
        <v/>
      </c>
    </row>
    <row r="130">
      <c r="S130">
        <f>IF(AND(TRIM($K130)&lt;&gt;"",TRIM($K130)&lt;&gt;VALIDACIONES!$G$1),IF(COUNTIF($Q130:$R130,"?*")&gt;0,", ","")&amp;"parcial distinto a "&amp;VALIDACIONES!$G$1,"")</f>
        <v/>
      </c>
      <c r="AM130">
        <f>IF(AND(TRIM($K130)&lt;&gt;"",TRIM($K130)&lt;&gt;VALIDACIONES!$G$1),IF(COUNTIF($M130:$N130,"?*")&gt;0,", ","")&amp;"parcial distinto a "&amp;VALIDACIONES!$G$1,"")</f>
        <v/>
      </c>
    </row>
    <row r="131">
      <c r="S131">
        <f>IF(AND(TRIM($K131)&lt;&gt;"",TRIM($K131)&lt;&gt;VALIDACIONES!$G$1),IF(COUNTIF($Q131:$R131,"?*")&gt;0,", ","")&amp;"parcial distinto a "&amp;VALIDACIONES!$G$1,"")</f>
        <v/>
      </c>
      <c r="AM131">
        <f>IF(AND(TRIM($K131)&lt;&gt;"",TRIM($K131)&lt;&gt;VALIDACIONES!$G$1),IF(COUNTIF($M131:$N131,"?*")&gt;0,", ","")&amp;"parcial distinto a "&amp;VALIDACIONES!$G$1,"")</f>
        <v/>
      </c>
    </row>
    <row r="132">
      <c r="S132">
        <f>IF(AND(TRIM($K132)&lt;&gt;"",TRIM($K132)&lt;&gt;VALIDACIONES!$G$1),IF(COUNTIF($Q132:$R132,"?*")&gt;0,", ","")&amp;"parcial distinto a "&amp;VALIDACIONES!$G$1,"")</f>
        <v/>
      </c>
      <c r="AM132">
        <f>IF(AND(TRIM($K132)&lt;&gt;"",TRIM($K132)&lt;&gt;VALIDACIONES!$G$1),IF(COUNTIF($M132:$N132,"?*")&gt;0,", ","")&amp;"parcial distinto a "&amp;VALIDACIONES!$G$1,"")</f>
        <v/>
      </c>
    </row>
    <row r="133">
      <c r="S133">
        <f>IF(AND(TRIM($K133)&lt;&gt;"",TRIM($K133)&lt;&gt;VALIDACIONES!$G$1),IF(COUNTIF($Q133:$R133,"?*")&gt;0,", ","")&amp;"parcial distinto a "&amp;VALIDACIONES!$G$1,"")</f>
        <v/>
      </c>
      <c r="AM133">
        <f>IF(AND(TRIM($K133)&lt;&gt;"",TRIM($K133)&lt;&gt;VALIDACIONES!$G$1),IF(COUNTIF($M133:$N133,"?*")&gt;0,", ","")&amp;"parcial distinto a "&amp;VALIDACIONES!$G$1,"")</f>
        <v/>
      </c>
    </row>
    <row r="134">
      <c r="S134">
        <f>IF(AND(TRIM($K134)&lt;&gt;"",TRIM($K134)&lt;&gt;VALIDACIONES!$G$1),IF(COUNTIF($Q134:$R134,"?*")&gt;0,", ","")&amp;"parcial distinto a "&amp;VALIDACIONES!$G$1,"")</f>
        <v/>
      </c>
      <c r="AM134">
        <f>IF(AND(TRIM($K134)&lt;&gt;"",TRIM($K134)&lt;&gt;VALIDACIONES!$G$1),IF(COUNTIF($M134:$N134,"?*")&gt;0,", ","")&amp;"parcial distinto a "&amp;VALIDACIONES!$G$1,"")</f>
        <v/>
      </c>
    </row>
    <row r="135">
      <c r="S135">
        <f>IF(AND(TRIM($K135)&lt;&gt;"",TRIM($K135)&lt;&gt;VALIDACIONES!$G$1),IF(COUNTIF($Q135:$R135,"?*")&gt;0,", ","")&amp;"parcial distinto a "&amp;VALIDACIONES!$G$1,"")</f>
        <v/>
      </c>
      <c r="AM135">
        <f>IF(AND(TRIM($K135)&lt;&gt;"",TRIM($K135)&lt;&gt;VALIDACIONES!$G$1),IF(COUNTIF($M135:$N135,"?*")&gt;0,", ","")&amp;"parcial distinto a "&amp;VALIDACIONES!$G$1,"")</f>
        <v/>
      </c>
    </row>
    <row r="136">
      <c r="S136">
        <f>IF(AND(TRIM($K136)&lt;&gt;"",TRIM($K136)&lt;&gt;VALIDACIONES!$G$1),IF(COUNTIF($Q136:$R136,"?*")&gt;0,", ","")&amp;"parcial distinto a "&amp;VALIDACIONES!$G$1,"")</f>
        <v/>
      </c>
      <c r="AM136">
        <f>IF(AND(TRIM($K136)&lt;&gt;"",TRIM($K136)&lt;&gt;VALIDACIONES!$G$1),IF(COUNTIF($M136:$N136,"?*")&gt;0,", ","")&amp;"parcial distinto a "&amp;VALIDACIONES!$G$1,"")</f>
        <v/>
      </c>
    </row>
    <row r="137">
      <c r="S137">
        <f>IF(AND(TRIM($K137)&lt;&gt;"",TRIM($K137)&lt;&gt;VALIDACIONES!$G$1),IF(COUNTIF($Q137:$R137,"?*")&gt;0,", ","")&amp;"parcial distinto a "&amp;VALIDACIONES!$G$1,"")</f>
        <v/>
      </c>
      <c r="AM137">
        <f>IF(AND(TRIM($K137)&lt;&gt;"",TRIM($K137)&lt;&gt;VALIDACIONES!$G$1),IF(COUNTIF($M137:$N137,"?*")&gt;0,", ","")&amp;"parcial distinto a "&amp;VALIDACIONES!$G$1,"")</f>
        <v/>
      </c>
    </row>
    <row r="138">
      <c r="S138">
        <f>IF(AND(TRIM($K138)&lt;&gt;"",TRIM($K138)&lt;&gt;VALIDACIONES!$G$1),IF(COUNTIF($Q138:$R138,"?*")&gt;0,", ","")&amp;"parcial distinto a "&amp;VALIDACIONES!$G$1,"")</f>
        <v/>
      </c>
      <c r="AM138">
        <f>IF(AND(TRIM($K138)&lt;&gt;"",TRIM($K138)&lt;&gt;VALIDACIONES!$G$1),IF(COUNTIF($M138:$N138,"?*")&gt;0,", ","")&amp;"parcial distinto a "&amp;VALIDACIONES!$G$1,"")</f>
        <v/>
      </c>
    </row>
    <row r="139">
      <c r="S139">
        <f>IF(AND(TRIM($K139)&lt;&gt;"",TRIM($K139)&lt;&gt;VALIDACIONES!$G$1),IF(COUNTIF($Q139:$R139,"?*")&gt;0,", ","")&amp;"parcial distinto a "&amp;VALIDACIONES!$G$1,"")</f>
        <v/>
      </c>
      <c r="AM139">
        <f>IF(AND(TRIM($K139)&lt;&gt;"",TRIM($K139)&lt;&gt;VALIDACIONES!$G$1),IF(COUNTIF($M139:$N139,"?*")&gt;0,", ","")&amp;"parcial distinto a "&amp;VALIDACIONES!$G$1,"")</f>
        <v/>
      </c>
    </row>
    <row r="140">
      <c r="S140">
        <f>IF(AND(TRIM($K140)&lt;&gt;"",TRIM($K140)&lt;&gt;VALIDACIONES!$G$1),IF(COUNTIF($Q140:$R140,"?*")&gt;0,", ","")&amp;"parcial distinto a "&amp;VALIDACIONES!$G$1,"")</f>
        <v/>
      </c>
      <c r="AM140">
        <f>IF(AND(TRIM($K140)&lt;&gt;"",TRIM($K140)&lt;&gt;VALIDACIONES!$G$1),IF(COUNTIF($M140:$N140,"?*")&gt;0,", ","")&amp;"parcial distinto a "&amp;VALIDACIONES!$G$1,"")</f>
        <v/>
      </c>
    </row>
  </sheetData>
  <mergeCells count="3">
    <mergeCell ref="O122:P122"/>
    <mergeCell ref="AO1:AQ1"/>
    <mergeCell ref="AO8:AQ8"/>
  </mergeCells>
  <conditionalFormatting sqref="D2:H61">
    <cfRule type="expression" priority="1" dxfId="0">
      <formula>OR($A2="Ítems agrupados por caso clínico o problema",$A2="Opción de Emparejamiento Ampliado")</formula>
    </cfRule>
  </conditionalFormatting>
  <conditionalFormatting sqref="F2:H61">
    <cfRule type="expression" priority="2" dxfId="0">
      <formula>$A2="Verdadero o Falso Simple"</formula>
    </cfRule>
  </conditionalFormatting>
  <conditionalFormatting sqref="H2:H61">
    <cfRule type="expression" priority="3" dxfId="0">
      <formula>OR($A2="Respuesta A/B/Ambas/Ninguna",$A2="Verdadero o Falso Complejas")</formula>
    </cfRule>
  </conditionalFormatting>
  <conditionalFormatting sqref="I2:J61">
    <cfRule type="expression" priority="4" dxfId="0">
      <formula>OR($A2="Ítems agrupados por caso clínico o problema",$A2="Emparejamiento Ampliado")</formula>
    </cfRule>
  </conditionalFormatting>
  <conditionalFormatting sqref="L2:L61">
    <cfRule type="expression" priority="5" dxfId="4">
      <formula>LEFT($L2,2)="OK"</formula>
    </cfRule>
    <cfRule type="expression" priority="6" dxfId="5">
      <formula>AND($L2&lt;&gt;"",LEFT($L2,2)&lt;&gt;"OK")</formula>
    </cfRule>
  </conditionalFormatting>
  <dataValidations count="481">
    <dataValidation sqref="B10" showDropDown="0" showInputMessage="0" showErrorMessage="1" allowBlank="1" errorTitle="Grupo invalido" error="El grupo solo se llena en casos/problemas, subitems, emparejamiento ampliado y opciones de emparejamiento." type="custom">
      <formula1>IF(OR(ISNUMBER(MATCH($A10,TIPOS_REQUIEREN_GRUPO,0)),OR($A10="CASO_CLINICO_TRONCO",$A10="CASO_CLINICO",$A10="ITEMS_AGRUPADOS_POR_CASO_CLINICO_O_PROBLEMA",$A10="PROBLEMA",$A10="SUBPROBLEMA",$A10="SUBITEM_CASO",$A10="SUBITEM_DE_CASO_O_PROBLEMA",$A10="EMPAREJAMIENTO_TRONCO",$A10="EMPAREJAMIENTO_AMPLIADO",$A10="EMPAREJAMIENTO_DE_CONCEPTOS",$A10="OPCION_EMPAREJAMIENTO",$A10="OPCION_DE_EMPAREJAMIENTO_AMPLIADO")),LEN(TRIM($B10))&gt;0,LEN(TRIM($B10))=0)</formula1>
    </dataValidation>
    <dataValidation sqref="B11" showDropDown="0" showInputMessage="0" showErrorMessage="1" allowBlank="1" errorTitle="Grupo invalido" error="El grupo solo se llena en casos/problemas, subitems, emparejamiento ampliado y opciones de emparejamiento." type="custom">
      <formula1>IF(OR(ISNUMBER(MATCH($A11,TIPOS_REQUIEREN_GRUPO,0)),OR($A11="CASO_CLINICO_TRONCO",$A11="CASO_CLINICO",$A11="ITEMS_AGRUPADOS_POR_CASO_CLINICO_O_PROBLEMA",$A11="PROBLEMA",$A11="SUBPROBLEMA",$A11="SUBITEM_CASO",$A11="SUBITEM_DE_CASO_O_PROBLEMA",$A11="EMPAREJAMIENTO_TRONCO",$A11="EMPAREJAMIENTO_AMPLIADO",$A11="EMPAREJAMIENTO_DE_CONCEPTOS",$A11="OPCION_EMPAREJAMIENTO",$A11="OPCION_DE_EMPAREJAMIENTO_AMPLIADO")),LEN(TRIM($B11))&gt;0,LEN(TRIM($B11))=0)</formula1>
    </dataValidation>
    <dataValidation sqref="B12" showDropDown="0" showInputMessage="0" showErrorMessage="1" allowBlank="1" errorTitle="Grupo invalido" error="El grupo solo se llena en casos/problemas, subitems, emparejamiento ampliado y opciones de emparejamiento." type="custom">
      <formula1>IF(OR(ISNUMBER(MATCH($A12,TIPOS_REQUIEREN_GRUPO,0)),OR($A12="CASO_CLINICO_TRONCO",$A12="CASO_CLINICO",$A12="ITEMS_AGRUPADOS_POR_CASO_CLINICO_O_PROBLEMA",$A12="PROBLEMA",$A12="SUBPROBLEMA",$A12="SUBITEM_CASO",$A12="SUBITEM_DE_CASO_O_PROBLEMA",$A12="EMPAREJAMIENTO_TRONCO",$A12="EMPAREJAMIENTO_AMPLIADO",$A12="EMPAREJAMIENTO_DE_CONCEPTOS",$A12="OPCION_EMPAREJAMIENTO",$A12="OPCION_DE_EMPAREJAMIENTO_AMPLIADO")),LEN(TRIM($B12))&gt;0,LEN(TRIM($B12))=0)</formula1>
    </dataValidation>
    <dataValidation sqref="B13" showDropDown="0" showInputMessage="0" showErrorMessage="1" allowBlank="1" errorTitle="Grupo invalido" error="El grupo solo se llena en casos/problemas, subitems, emparejamiento ampliado y opciones de emparejamiento." type="custom">
      <formula1>IF(OR(ISNUMBER(MATCH($A13,TIPOS_REQUIEREN_GRUPO,0)),OR($A13="CASO_CLINICO_TRONCO",$A13="CASO_CLINICO",$A13="ITEMS_AGRUPADOS_POR_CASO_CLINICO_O_PROBLEMA",$A13="PROBLEMA",$A13="SUBPROBLEMA",$A13="SUBITEM_CASO",$A13="SUBITEM_DE_CASO_O_PROBLEMA",$A13="EMPAREJAMIENTO_TRONCO",$A13="EMPAREJAMIENTO_AMPLIADO",$A13="EMPAREJAMIENTO_DE_CONCEPTOS",$A13="OPCION_EMPAREJAMIENTO",$A13="OPCION_DE_EMPAREJAMIENTO_AMPLIADO")),LEN(TRIM($B13))&gt;0,LEN(TRIM($B13))=0)</formula1>
    </dataValidation>
    <dataValidation sqref="B14" showDropDown="0" showInputMessage="0" showErrorMessage="1" allowBlank="1" errorTitle="Grupo invalido" error="El grupo solo se llena en casos/problemas, subitems, emparejamiento ampliado y opciones de emparejamiento." type="custom">
      <formula1>IF(OR(ISNUMBER(MATCH($A14,TIPOS_REQUIEREN_GRUPO,0)),OR($A14="CASO_CLINICO_TRONCO",$A14="CASO_CLINICO",$A14="ITEMS_AGRUPADOS_POR_CASO_CLINICO_O_PROBLEMA",$A14="PROBLEMA",$A14="SUBPROBLEMA",$A14="SUBITEM_CASO",$A14="SUBITEM_DE_CASO_O_PROBLEMA",$A14="EMPAREJAMIENTO_TRONCO",$A14="EMPAREJAMIENTO_AMPLIADO",$A14="EMPAREJAMIENTO_DE_CONCEPTOS",$A14="OPCION_EMPAREJAMIENTO",$A14="OPCION_DE_EMPAREJAMIENTO_AMPLIADO")),LEN(TRIM($B14))&gt;0,LEN(TRIM($B14))=0)</formula1>
    </dataValidation>
    <dataValidation sqref="B15" showDropDown="0" showInputMessage="0" showErrorMessage="1" allowBlank="1" errorTitle="Grupo invalido" error="El grupo solo se llena en casos/problemas, subitems, emparejamiento ampliado y opciones de emparejamiento." type="custom">
      <formula1>IF(OR(ISNUMBER(MATCH($A15,TIPOS_REQUIEREN_GRUPO,0)),OR($A15="CASO_CLINICO_TRONCO",$A15="CASO_CLINICO",$A15="ITEMS_AGRUPADOS_POR_CASO_CLINICO_O_PROBLEMA",$A15="PROBLEMA",$A15="SUBPROBLEMA",$A15="SUBITEM_CASO",$A15="SUBITEM_DE_CASO_O_PROBLEMA",$A15="EMPAREJAMIENTO_TRONCO",$A15="EMPAREJAMIENTO_AMPLIADO",$A15="EMPAREJAMIENTO_DE_CONCEPTOS",$A15="OPCION_EMPAREJAMIENTO",$A15="OPCION_DE_EMPAREJAMIENTO_AMPLIADO")),LEN(TRIM($B15))&gt;0,LEN(TRIM($B15))=0)</formula1>
    </dataValidation>
    <dataValidation sqref="B16" showDropDown="0" showInputMessage="0" showErrorMessage="1" allowBlank="1" errorTitle="Grupo invalido" error="El grupo solo se llena en casos/problemas, subitems, emparejamiento ampliado y opciones de emparejamiento." type="custom">
      <formula1>IF(OR(ISNUMBER(MATCH($A16,TIPOS_REQUIEREN_GRUPO,0)),OR($A16="CASO_CLINICO_TRONCO",$A16="CASO_CLINICO",$A16="ITEMS_AGRUPADOS_POR_CASO_CLINICO_O_PROBLEMA",$A16="PROBLEMA",$A16="SUBPROBLEMA",$A16="SUBITEM_CASO",$A16="SUBITEM_DE_CASO_O_PROBLEMA",$A16="EMPAREJAMIENTO_TRONCO",$A16="EMPAREJAMIENTO_AMPLIADO",$A16="EMPAREJAMIENTO_DE_CONCEPTOS",$A16="OPCION_EMPAREJAMIENTO",$A16="OPCION_DE_EMPAREJAMIENTO_AMPLIADO")),LEN(TRIM($B16))&gt;0,LEN(TRIM($B16))=0)</formula1>
    </dataValidation>
    <dataValidation sqref="B17" showDropDown="0" showInputMessage="0" showErrorMessage="1" allowBlank="1" errorTitle="Grupo invalido" error="El grupo solo se llena en casos/problemas, subitems, emparejamiento ampliado y opciones de emparejamiento." type="custom">
      <formula1>IF(OR(ISNUMBER(MATCH($A17,TIPOS_REQUIEREN_GRUPO,0)),OR($A17="CASO_CLINICO_TRONCO",$A17="CASO_CLINICO",$A17="ITEMS_AGRUPADOS_POR_CASO_CLINICO_O_PROBLEMA",$A17="PROBLEMA",$A17="SUBPROBLEMA",$A17="SUBITEM_CASO",$A17="SUBITEM_DE_CASO_O_PROBLEMA",$A17="EMPAREJAMIENTO_TRONCO",$A17="EMPAREJAMIENTO_AMPLIADO",$A17="EMPAREJAMIENTO_DE_CONCEPTOS",$A17="OPCION_EMPAREJAMIENTO",$A17="OPCION_DE_EMPAREJAMIENTO_AMPLIADO")),LEN(TRIM($B17))&gt;0,LEN(TRIM($B17))=0)</formula1>
    </dataValidation>
    <dataValidation sqref="B18" showDropDown="0" showInputMessage="0" showErrorMessage="1" allowBlank="1" errorTitle="Grupo invalido" error="El grupo solo se llena en casos/problemas, subitems, emparejamiento ampliado y opciones de emparejamiento." type="custom">
      <formula1>IF(OR(ISNUMBER(MATCH($A18,TIPOS_REQUIEREN_GRUPO,0)),OR($A18="CASO_CLINICO_TRONCO",$A18="CASO_CLINICO",$A18="ITEMS_AGRUPADOS_POR_CASO_CLINICO_O_PROBLEMA",$A18="PROBLEMA",$A18="SUBPROBLEMA",$A18="SUBITEM_CASO",$A18="SUBITEM_DE_CASO_O_PROBLEMA",$A18="EMPAREJAMIENTO_TRONCO",$A18="EMPAREJAMIENTO_AMPLIADO",$A18="EMPAREJAMIENTO_DE_CONCEPTOS",$A18="OPCION_EMPAREJAMIENTO",$A18="OPCION_DE_EMPAREJAMIENTO_AMPLIADO")),LEN(TRIM($B18))&gt;0,LEN(TRIM($B18))=0)</formula1>
    </dataValidation>
    <dataValidation sqref="B19" showDropDown="0" showInputMessage="0" showErrorMessage="1" allowBlank="1" errorTitle="Grupo invalido" error="El grupo solo se llena en casos/problemas, subitems, emparejamiento ampliado y opciones de emparejamiento." type="custom">
      <formula1>IF(OR(ISNUMBER(MATCH($A19,TIPOS_REQUIEREN_GRUPO,0)),OR($A19="CASO_CLINICO_TRONCO",$A19="CASO_CLINICO",$A19="ITEMS_AGRUPADOS_POR_CASO_CLINICO_O_PROBLEMA",$A19="PROBLEMA",$A19="SUBPROBLEMA",$A19="SUBITEM_CASO",$A19="SUBITEM_DE_CASO_O_PROBLEMA",$A19="EMPAREJAMIENTO_TRONCO",$A19="EMPAREJAMIENTO_AMPLIADO",$A19="EMPAREJAMIENTO_DE_CONCEPTOS",$A19="OPCION_EMPAREJAMIENTO",$A19="OPCION_DE_EMPAREJAMIENTO_AMPLIADO")),LEN(TRIM($B19))&gt;0,LEN(TRIM($B19))=0)</formula1>
    </dataValidation>
    <dataValidation sqref="B2" showDropDown="0" showInputMessage="0" showErrorMessage="1" allowBlank="1" errorTitle="Grupo invalido" error="El grupo solo se llena en casos/problemas, subitems, emparejamiento ampliado y opciones de emparejamiento." type="custom">
      <formula1>IF(OR(ISNUMBER(MATCH($A2,TIPOS_REQUIEREN_GRUPO,0)),OR($A2="CASO_CLINICO_TRONCO",$A2="CASO_CLINICO",$A2="ITEMS_AGRUPADOS_POR_CASO_CLINICO_O_PROBLEMA",$A2="PROBLEMA",$A2="SUBPROBLEMA",$A2="SUBITEM_CASO",$A2="SUBITEM_DE_CASO_O_PROBLEMA",$A2="EMPAREJAMIENTO_TRONCO",$A2="EMPAREJAMIENTO_AMPLIADO",$A2="EMPAREJAMIENTO_DE_CONCEPTOS",$A2="OPCION_EMPAREJAMIENTO",$A2="OPCION_DE_EMPAREJAMIENTO_AMPLIADO")),LEN(TRIM($B2))&gt;0,LEN(TRIM($B2))=0)</formula1>
    </dataValidation>
    <dataValidation sqref="B20" showDropDown="0" showInputMessage="0" showErrorMessage="1" allowBlank="1" errorTitle="Grupo invalido" error="El grupo solo se llena en casos/problemas, subitems, emparejamiento ampliado y opciones de emparejamiento." type="custom">
      <formula1>IF(OR(ISNUMBER(MATCH($A20,TIPOS_REQUIEREN_GRUPO,0)),OR($A20="CASO_CLINICO_TRONCO",$A20="CASO_CLINICO",$A20="ITEMS_AGRUPADOS_POR_CASO_CLINICO_O_PROBLEMA",$A20="PROBLEMA",$A20="SUBPROBLEMA",$A20="SUBITEM_CASO",$A20="SUBITEM_DE_CASO_O_PROBLEMA",$A20="EMPAREJAMIENTO_TRONCO",$A20="EMPAREJAMIENTO_AMPLIADO",$A20="EMPAREJAMIENTO_DE_CONCEPTOS",$A20="OPCION_EMPAREJAMIENTO",$A20="OPCION_DE_EMPAREJAMIENTO_AMPLIADO")),LEN(TRIM($B20))&gt;0,LEN(TRIM($B20))=0)</formula1>
    </dataValidation>
    <dataValidation sqref="B21" showDropDown="0" showInputMessage="0" showErrorMessage="1" allowBlank="1" errorTitle="Grupo invalido" error="El grupo solo se llena en casos/problemas, subitems, emparejamiento ampliado y opciones de emparejamiento." type="custom">
      <formula1>IF(OR(ISNUMBER(MATCH($A21,TIPOS_REQUIEREN_GRUPO,0)),OR($A21="CASO_CLINICO_TRONCO",$A21="CASO_CLINICO",$A21="ITEMS_AGRUPADOS_POR_CASO_CLINICO_O_PROBLEMA",$A21="PROBLEMA",$A21="SUBPROBLEMA",$A21="SUBITEM_CASO",$A21="SUBITEM_DE_CASO_O_PROBLEMA",$A21="EMPAREJAMIENTO_TRONCO",$A21="EMPAREJAMIENTO_AMPLIADO",$A21="EMPAREJAMIENTO_DE_CONCEPTOS",$A21="OPCION_EMPAREJAMIENTO",$A21="OPCION_DE_EMPAREJAMIENTO_AMPLIADO")),LEN(TRIM($B21))&gt;0,LEN(TRIM($B21))=0)</formula1>
    </dataValidation>
    <dataValidation sqref="B22" showDropDown="0" showInputMessage="0" showErrorMessage="1" allowBlank="1" errorTitle="Grupo invalido" error="El grupo solo se llena en casos/problemas, subitems, emparejamiento ampliado y opciones de emparejamiento." type="custom">
      <formula1>IF(OR(ISNUMBER(MATCH($A22,TIPOS_REQUIEREN_GRUPO,0)),OR($A22="CASO_CLINICO_TRONCO",$A22="CASO_CLINICO",$A22="ITEMS_AGRUPADOS_POR_CASO_CLINICO_O_PROBLEMA",$A22="PROBLEMA",$A22="SUBPROBLEMA",$A22="SUBITEM_CASO",$A22="SUBITEM_DE_CASO_O_PROBLEMA",$A22="EMPAREJAMIENTO_TRONCO",$A22="EMPAREJAMIENTO_AMPLIADO",$A22="EMPAREJAMIENTO_DE_CONCEPTOS",$A22="OPCION_EMPAREJAMIENTO",$A22="OPCION_DE_EMPAREJAMIENTO_AMPLIADO")),LEN(TRIM($B22))&gt;0,LEN(TRIM($B22))=0)</formula1>
    </dataValidation>
    <dataValidation sqref="B23" showDropDown="0" showInputMessage="0" showErrorMessage="1" allowBlank="1" errorTitle="Grupo invalido" error="El grupo solo se llena en casos/problemas, subitems, emparejamiento ampliado y opciones de emparejamiento." type="custom">
      <formula1>IF(OR(ISNUMBER(MATCH($A23,TIPOS_REQUIEREN_GRUPO,0)),OR($A23="CASO_CLINICO_TRONCO",$A23="CASO_CLINICO",$A23="ITEMS_AGRUPADOS_POR_CASO_CLINICO_O_PROBLEMA",$A23="PROBLEMA",$A23="SUBPROBLEMA",$A23="SUBITEM_CASO",$A23="SUBITEM_DE_CASO_O_PROBLEMA",$A23="EMPAREJAMIENTO_TRONCO",$A23="EMPAREJAMIENTO_AMPLIADO",$A23="EMPAREJAMIENTO_DE_CONCEPTOS",$A23="OPCION_EMPAREJAMIENTO",$A23="OPCION_DE_EMPAREJAMIENTO_AMPLIADO")),LEN(TRIM($B23))&gt;0,LEN(TRIM($B23))=0)</formula1>
    </dataValidation>
    <dataValidation sqref="B24" showDropDown="0" showInputMessage="0" showErrorMessage="1" allowBlank="1" errorTitle="Grupo invalido" error="El grupo solo se llena en casos/problemas, subitems, emparejamiento ampliado y opciones de emparejamiento." type="custom">
      <formula1>IF(OR(ISNUMBER(MATCH($A24,TIPOS_REQUIEREN_GRUPO,0)),OR($A24="CASO_CLINICO_TRONCO",$A24="CASO_CLINICO",$A24="ITEMS_AGRUPADOS_POR_CASO_CLINICO_O_PROBLEMA",$A24="PROBLEMA",$A24="SUBPROBLEMA",$A24="SUBITEM_CASO",$A24="SUBITEM_DE_CASO_O_PROBLEMA",$A24="EMPAREJAMIENTO_TRONCO",$A24="EMPAREJAMIENTO_AMPLIADO",$A24="EMPAREJAMIENTO_DE_CONCEPTOS",$A24="OPCION_EMPAREJAMIENTO",$A24="OPCION_DE_EMPAREJAMIENTO_AMPLIADO")),LEN(TRIM($B24))&gt;0,LEN(TRIM($B24))=0)</formula1>
    </dataValidation>
    <dataValidation sqref="B25" showDropDown="0" showInputMessage="0" showErrorMessage="1" allowBlank="1" errorTitle="Grupo invalido" error="El grupo solo se llena en casos/problemas, subitems, emparejamiento ampliado y opciones de emparejamiento." type="custom">
      <formula1>IF(OR(ISNUMBER(MATCH($A25,TIPOS_REQUIEREN_GRUPO,0)),OR($A25="CASO_CLINICO_TRONCO",$A25="CASO_CLINICO",$A25="ITEMS_AGRUPADOS_POR_CASO_CLINICO_O_PROBLEMA",$A25="PROBLEMA",$A25="SUBPROBLEMA",$A25="SUBITEM_CASO",$A25="SUBITEM_DE_CASO_O_PROBLEMA",$A25="EMPAREJAMIENTO_TRONCO",$A25="EMPAREJAMIENTO_AMPLIADO",$A25="EMPAREJAMIENTO_DE_CONCEPTOS",$A25="OPCION_EMPAREJAMIENTO",$A25="OPCION_DE_EMPAREJAMIENTO_AMPLIADO")),LEN(TRIM($B25))&gt;0,LEN(TRIM($B25))=0)</formula1>
    </dataValidation>
    <dataValidation sqref="B26" showDropDown="0" showInputMessage="0" showErrorMessage="1" allowBlank="1" errorTitle="Grupo invalido" error="El grupo solo se llena en casos/problemas, subitems, emparejamiento ampliado y opciones de emparejamiento." type="custom">
      <formula1>IF(OR(ISNUMBER(MATCH($A26,TIPOS_REQUIEREN_GRUPO,0)),OR($A26="CASO_CLINICO_TRONCO",$A26="CASO_CLINICO",$A26="ITEMS_AGRUPADOS_POR_CASO_CLINICO_O_PROBLEMA",$A26="PROBLEMA",$A26="SUBPROBLEMA",$A26="SUBITEM_CASO",$A26="SUBITEM_DE_CASO_O_PROBLEMA",$A26="EMPAREJAMIENTO_TRONCO",$A26="EMPAREJAMIENTO_AMPLIADO",$A26="EMPAREJAMIENTO_DE_CONCEPTOS",$A26="OPCION_EMPAREJAMIENTO",$A26="OPCION_DE_EMPAREJAMIENTO_AMPLIADO")),LEN(TRIM($B26))&gt;0,LEN(TRIM($B26))=0)</formula1>
    </dataValidation>
    <dataValidation sqref="B27" showDropDown="0" showInputMessage="0" showErrorMessage="1" allowBlank="1" errorTitle="Grupo invalido" error="El grupo solo se llena en casos/problemas, subitems, emparejamiento ampliado y opciones de emparejamiento." type="custom">
      <formula1>IF(OR(ISNUMBER(MATCH($A27,TIPOS_REQUIEREN_GRUPO,0)),OR($A27="CASO_CLINICO_TRONCO",$A27="CASO_CLINICO",$A27="ITEMS_AGRUPADOS_POR_CASO_CLINICO_O_PROBLEMA",$A27="PROBLEMA",$A27="SUBPROBLEMA",$A27="SUBITEM_CASO",$A27="SUBITEM_DE_CASO_O_PROBLEMA",$A27="EMPAREJAMIENTO_TRONCO",$A27="EMPAREJAMIENTO_AMPLIADO",$A27="EMPAREJAMIENTO_DE_CONCEPTOS",$A27="OPCION_EMPAREJAMIENTO",$A27="OPCION_DE_EMPAREJAMIENTO_AMPLIADO")),LEN(TRIM($B27))&gt;0,LEN(TRIM($B27))=0)</formula1>
    </dataValidation>
    <dataValidation sqref="B28" showDropDown="0" showInputMessage="0" showErrorMessage="1" allowBlank="1" errorTitle="Grupo invalido" error="El grupo solo se llena en casos/problemas, subitems, emparejamiento ampliado y opciones de emparejamiento." type="custom">
      <formula1>IF(OR(ISNUMBER(MATCH($A28,TIPOS_REQUIEREN_GRUPO,0)),OR($A28="CASO_CLINICO_TRONCO",$A28="CASO_CLINICO",$A28="ITEMS_AGRUPADOS_POR_CASO_CLINICO_O_PROBLEMA",$A28="PROBLEMA",$A28="SUBPROBLEMA",$A28="SUBITEM_CASO",$A28="SUBITEM_DE_CASO_O_PROBLEMA",$A28="EMPAREJAMIENTO_TRONCO",$A28="EMPAREJAMIENTO_AMPLIADO",$A28="EMPAREJAMIENTO_DE_CONCEPTOS",$A28="OPCION_EMPAREJAMIENTO",$A28="OPCION_DE_EMPAREJAMIENTO_AMPLIADO")),LEN(TRIM($B28))&gt;0,LEN(TRIM($B28))=0)</formula1>
    </dataValidation>
    <dataValidation sqref="B29" showDropDown="0" showInputMessage="0" showErrorMessage="1" allowBlank="1" errorTitle="Grupo invalido" error="El grupo solo se llena en casos/problemas, subitems, emparejamiento ampliado y opciones de emparejamiento." type="custom">
      <formula1>IF(OR(ISNUMBER(MATCH($A29,TIPOS_REQUIEREN_GRUPO,0)),OR($A29="CASO_CLINICO_TRONCO",$A29="CASO_CLINICO",$A29="ITEMS_AGRUPADOS_POR_CASO_CLINICO_O_PROBLEMA",$A29="PROBLEMA",$A29="SUBPROBLEMA",$A29="SUBITEM_CASO",$A29="SUBITEM_DE_CASO_O_PROBLEMA",$A29="EMPAREJAMIENTO_TRONCO",$A29="EMPAREJAMIENTO_AMPLIADO",$A29="EMPAREJAMIENTO_DE_CONCEPTOS",$A29="OPCION_EMPAREJAMIENTO",$A29="OPCION_DE_EMPAREJAMIENTO_AMPLIADO")),LEN(TRIM($B29))&gt;0,LEN(TRIM($B29))=0)</formula1>
    </dataValidation>
    <dataValidation sqref="B3" showDropDown="0" showInputMessage="0" showErrorMessage="1" allowBlank="1" errorTitle="Grupo invalido" error="El grupo solo se llena en casos/problemas, subitems, emparejamiento ampliado y opciones de emparejamiento." type="custom">
      <formula1>IF(OR(ISNUMBER(MATCH($A3,TIPOS_REQUIEREN_GRUPO,0)),OR($A3="CASO_CLINICO_TRONCO",$A3="CASO_CLINICO",$A3="ITEMS_AGRUPADOS_POR_CASO_CLINICO_O_PROBLEMA",$A3="PROBLEMA",$A3="SUBPROBLEMA",$A3="SUBITEM_CASO",$A3="SUBITEM_DE_CASO_O_PROBLEMA",$A3="EMPAREJAMIENTO_TRONCO",$A3="EMPAREJAMIENTO_AMPLIADO",$A3="EMPAREJAMIENTO_DE_CONCEPTOS",$A3="OPCION_EMPAREJAMIENTO",$A3="OPCION_DE_EMPAREJAMIENTO_AMPLIADO")),LEN(TRIM($B3))&gt;0,LEN(TRIM($B3))=0)</formula1>
    </dataValidation>
    <dataValidation sqref="B30" showDropDown="0" showInputMessage="0" showErrorMessage="1" allowBlank="1" errorTitle="Grupo invalido" error="El grupo solo se llena en casos/problemas, subitems, emparejamiento ampliado y opciones de emparejamiento." type="custom">
      <formula1>IF(OR(ISNUMBER(MATCH($A30,TIPOS_REQUIEREN_GRUPO,0)),OR($A30="CASO_CLINICO_TRONCO",$A30="CASO_CLINICO",$A30="ITEMS_AGRUPADOS_POR_CASO_CLINICO_O_PROBLEMA",$A30="PROBLEMA",$A30="SUBPROBLEMA",$A30="SUBITEM_CASO",$A30="SUBITEM_DE_CASO_O_PROBLEMA",$A30="EMPAREJAMIENTO_TRONCO",$A30="EMPAREJAMIENTO_AMPLIADO",$A30="EMPAREJAMIENTO_DE_CONCEPTOS",$A30="OPCION_EMPAREJAMIENTO",$A30="OPCION_DE_EMPAREJAMIENTO_AMPLIADO")),LEN(TRIM($B30))&gt;0,LEN(TRIM($B30))=0)</formula1>
    </dataValidation>
    <dataValidation sqref="B31" showDropDown="0" showInputMessage="0" showErrorMessage="1" allowBlank="1" errorTitle="Grupo invalido" error="El grupo solo se llena en casos/problemas, subitems, emparejamiento ampliado y opciones de emparejamiento." type="custom">
      <formula1>IF(OR(ISNUMBER(MATCH($A31,TIPOS_REQUIEREN_GRUPO,0)),OR($A31="CASO_CLINICO_TRONCO",$A31="CASO_CLINICO",$A31="ITEMS_AGRUPADOS_POR_CASO_CLINICO_O_PROBLEMA",$A31="PROBLEMA",$A31="SUBPROBLEMA",$A31="SUBITEM_CASO",$A31="SUBITEM_DE_CASO_O_PROBLEMA",$A31="EMPAREJAMIENTO_TRONCO",$A31="EMPAREJAMIENTO_AMPLIADO",$A31="EMPAREJAMIENTO_DE_CONCEPTOS",$A31="OPCION_EMPAREJAMIENTO",$A31="OPCION_DE_EMPAREJAMIENTO_AMPLIADO")),LEN(TRIM($B31))&gt;0,LEN(TRIM($B31))=0)</formula1>
    </dataValidation>
    <dataValidation sqref="B32" showDropDown="0" showInputMessage="0" showErrorMessage="1" allowBlank="1" errorTitle="Grupo invalido" error="El grupo solo se llena en casos/problemas, subitems, emparejamiento ampliado y opciones de emparejamiento." type="custom">
      <formula1>IF(OR(ISNUMBER(MATCH($A32,TIPOS_REQUIEREN_GRUPO,0)),OR($A32="CASO_CLINICO_TRONCO",$A32="CASO_CLINICO",$A32="ITEMS_AGRUPADOS_POR_CASO_CLINICO_O_PROBLEMA",$A32="PROBLEMA",$A32="SUBPROBLEMA",$A32="SUBITEM_CASO",$A32="SUBITEM_DE_CASO_O_PROBLEMA",$A32="EMPAREJAMIENTO_TRONCO",$A32="EMPAREJAMIENTO_AMPLIADO",$A32="EMPAREJAMIENTO_DE_CONCEPTOS",$A32="OPCION_EMPAREJAMIENTO",$A32="OPCION_DE_EMPAREJAMIENTO_AMPLIADO")),LEN(TRIM($B32))&gt;0,LEN(TRIM($B32))=0)</formula1>
    </dataValidation>
    <dataValidation sqref="B33" showDropDown="0" showInputMessage="0" showErrorMessage="1" allowBlank="1" errorTitle="Grupo invalido" error="El grupo solo se llena en casos/problemas, subitems, emparejamiento ampliado y opciones de emparejamiento." type="custom">
      <formula1>IF(OR(ISNUMBER(MATCH($A33,TIPOS_REQUIEREN_GRUPO,0)),OR($A33="CASO_CLINICO_TRONCO",$A33="CASO_CLINICO",$A33="ITEMS_AGRUPADOS_POR_CASO_CLINICO_O_PROBLEMA",$A33="PROBLEMA",$A33="SUBPROBLEMA",$A33="SUBITEM_CASO",$A33="SUBITEM_DE_CASO_O_PROBLEMA",$A33="EMPAREJAMIENTO_TRONCO",$A33="EMPAREJAMIENTO_AMPLIADO",$A33="EMPAREJAMIENTO_DE_CONCEPTOS",$A33="OPCION_EMPAREJAMIENTO",$A33="OPCION_DE_EMPAREJAMIENTO_AMPLIADO")),LEN(TRIM($B33))&gt;0,LEN(TRIM($B33))=0)</formula1>
    </dataValidation>
    <dataValidation sqref="B34" showDropDown="0" showInputMessage="0" showErrorMessage="1" allowBlank="1" errorTitle="Grupo invalido" error="El grupo solo se llena en casos/problemas, subitems, emparejamiento ampliado y opciones de emparejamiento." type="custom">
      <formula1>IF(OR(ISNUMBER(MATCH($A34,TIPOS_REQUIEREN_GRUPO,0)),OR($A34="CASO_CLINICO_TRONCO",$A34="CASO_CLINICO",$A34="ITEMS_AGRUPADOS_POR_CASO_CLINICO_O_PROBLEMA",$A34="PROBLEMA",$A34="SUBPROBLEMA",$A34="SUBITEM_CASO",$A34="SUBITEM_DE_CASO_O_PROBLEMA",$A34="EMPAREJAMIENTO_TRONCO",$A34="EMPAREJAMIENTO_AMPLIADO",$A34="EMPAREJAMIENTO_DE_CONCEPTOS",$A34="OPCION_EMPAREJAMIENTO",$A34="OPCION_DE_EMPAREJAMIENTO_AMPLIADO")),LEN(TRIM($B34))&gt;0,LEN(TRIM($B34))=0)</formula1>
    </dataValidation>
    <dataValidation sqref="B35" showDropDown="0" showInputMessage="0" showErrorMessage="1" allowBlank="1" errorTitle="Grupo invalido" error="El grupo solo se llena en casos/problemas, subitems, emparejamiento ampliado y opciones de emparejamiento." type="custom">
      <formula1>IF(OR(ISNUMBER(MATCH($A35,TIPOS_REQUIEREN_GRUPO,0)),OR($A35="CASO_CLINICO_TRONCO",$A35="CASO_CLINICO",$A35="ITEMS_AGRUPADOS_POR_CASO_CLINICO_O_PROBLEMA",$A35="PROBLEMA",$A35="SUBPROBLEMA",$A35="SUBITEM_CASO",$A35="SUBITEM_DE_CASO_O_PROBLEMA",$A35="EMPAREJAMIENTO_TRONCO",$A35="EMPAREJAMIENTO_AMPLIADO",$A35="EMPAREJAMIENTO_DE_CONCEPTOS",$A35="OPCION_EMPAREJAMIENTO",$A35="OPCION_DE_EMPAREJAMIENTO_AMPLIADO")),LEN(TRIM($B35))&gt;0,LEN(TRIM($B35))=0)</formula1>
    </dataValidation>
    <dataValidation sqref="B36" showDropDown="0" showInputMessage="0" showErrorMessage="1" allowBlank="1" errorTitle="Grupo invalido" error="El grupo solo se llena en casos/problemas, subitems, emparejamiento ampliado y opciones de emparejamiento." type="custom">
      <formula1>IF(OR(ISNUMBER(MATCH($A36,TIPOS_REQUIEREN_GRUPO,0)),OR($A36="CASO_CLINICO_TRONCO",$A36="CASO_CLINICO",$A36="ITEMS_AGRUPADOS_POR_CASO_CLINICO_O_PROBLEMA",$A36="PROBLEMA",$A36="SUBPROBLEMA",$A36="SUBITEM_CASO",$A36="SUBITEM_DE_CASO_O_PROBLEMA",$A36="EMPAREJAMIENTO_TRONCO",$A36="EMPAREJAMIENTO_AMPLIADO",$A36="EMPAREJAMIENTO_DE_CONCEPTOS",$A36="OPCION_EMPAREJAMIENTO",$A36="OPCION_DE_EMPAREJAMIENTO_AMPLIADO")),LEN(TRIM($B36))&gt;0,LEN(TRIM($B36))=0)</formula1>
    </dataValidation>
    <dataValidation sqref="B37" showDropDown="0" showInputMessage="0" showErrorMessage="1" allowBlank="1" errorTitle="Grupo invalido" error="El grupo solo se llena en casos/problemas, subitems, emparejamiento ampliado y opciones de emparejamiento." type="custom">
      <formula1>IF(OR(ISNUMBER(MATCH($A37,TIPOS_REQUIEREN_GRUPO,0)),OR($A37="CASO_CLINICO_TRONCO",$A37="CASO_CLINICO",$A37="ITEMS_AGRUPADOS_POR_CASO_CLINICO_O_PROBLEMA",$A37="PROBLEMA",$A37="SUBPROBLEMA",$A37="SUBITEM_CASO",$A37="SUBITEM_DE_CASO_O_PROBLEMA",$A37="EMPAREJAMIENTO_TRONCO",$A37="EMPAREJAMIENTO_AMPLIADO",$A37="EMPAREJAMIENTO_DE_CONCEPTOS",$A37="OPCION_EMPAREJAMIENTO",$A37="OPCION_DE_EMPAREJAMIENTO_AMPLIADO")),LEN(TRIM($B37))&gt;0,LEN(TRIM($B37))=0)</formula1>
    </dataValidation>
    <dataValidation sqref="B38" showDropDown="0" showInputMessage="0" showErrorMessage="1" allowBlank="1" errorTitle="Grupo invalido" error="El grupo solo se llena en casos/problemas, subitems, emparejamiento ampliado y opciones de emparejamiento." type="custom">
      <formula1>IF(OR(ISNUMBER(MATCH($A38,TIPOS_REQUIEREN_GRUPO,0)),OR($A38="CASO_CLINICO_TRONCO",$A38="CASO_CLINICO",$A38="ITEMS_AGRUPADOS_POR_CASO_CLINICO_O_PROBLEMA",$A38="PROBLEMA",$A38="SUBPROBLEMA",$A38="SUBITEM_CASO",$A38="SUBITEM_DE_CASO_O_PROBLEMA",$A38="EMPAREJAMIENTO_TRONCO",$A38="EMPAREJAMIENTO_AMPLIADO",$A38="EMPAREJAMIENTO_DE_CONCEPTOS",$A38="OPCION_EMPAREJAMIENTO",$A38="OPCION_DE_EMPAREJAMIENTO_AMPLIADO")),LEN(TRIM($B38))&gt;0,LEN(TRIM($B38))=0)</formula1>
    </dataValidation>
    <dataValidation sqref="B39" showDropDown="0" showInputMessage="0" showErrorMessage="1" allowBlank="1" errorTitle="Grupo invalido" error="El grupo solo se llena en casos/problemas, subitems, emparejamiento ampliado y opciones de emparejamiento." type="custom">
      <formula1>IF(OR(ISNUMBER(MATCH($A39,TIPOS_REQUIEREN_GRUPO,0)),OR($A39="CASO_CLINICO_TRONCO",$A39="CASO_CLINICO",$A39="ITEMS_AGRUPADOS_POR_CASO_CLINICO_O_PROBLEMA",$A39="PROBLEMA",$A39="SUBPROBLEMA",$A39="SUBITEM_CASO",$A39="SUBITEM_DE_CASO_O_PROBLEMA",$A39="EMPAREJAMIENTO_TRONCO",$A39="EMPAREJAMIENTO_AMPLIADO",$A39="EMPAREJAMIENTO_DE_CONCEPTOS",$A39="OPCION_EMPAREJAMIENTO",$A39="OPCION_DE_EMPAREJAMIENTO_AMPLIADO")),LEN(TRIM($B39))&gt;0,LEN(TRIM($B39))=0)</formula1>
    </dataValidation>
    <dataValidation sqref="B4" showDropDown="0" showInputMessage="0" showErrorMessage="1" allowBlank="1" errorTitle="Grupo invalido" error="El grupo solo se llena en casos/problemas, subitems, emparejamiento ampliado y opciones de emparejamiento." type="custom">
      <formula1>IF(OR(ISNUMBER(MATCH($A4,TIPOS_REQUIEREN_GRUPO,0)),OR($A4="CASO_CLINICO_TRONCO",$A4="CASO_CLINICO",$A4="ITEMS_AGRUPADOS_POR_CASO_CLINICO_O_PROBLEMA",$A4="PROBLEMA",$A4="SUBPROBLEMA",$A4="SUBITEM_CASO",$A4="SUBITEM_DE_CASO_O_PROBLEMA",$A4="EMPAREJAMIENTO_TRONCO",$A4="EMPAREJAMIENTO_AMPLIADO",$A4="EMPAREJAMIENTO_DE_CONCEPTOS",$A4="OPCION_EMPAREJAMIENTO",$A4="OPCION_DE_EMPAREJAMIENTO_AMPLIADO")),LEN(TRIM($B4))&gt;0,LEN(TRIM($B4))=0)</formula1>
    </dataValidation>
    <dataValidation sqref="B40" showDropDown="0" showInputMessage="0" showErrorMessage="1" allowBlank="1" errorTitle="Grupo invalido" error="El grupo solo se llena en casos/problemas, subitems, emparejamiento ampliado y opciones de emparejamiento." type="custom">
      <formula1>IF(OR(ISNUMBER(MATCH($A40,TIPOS_REQUIEREN_GRUPO,0)),OR($A40="CASO_CLINICO_TRONCO",$A40="CASO_CLINICO",$A40="ITEMS_AGRUPADOS_POR_CASO_CLINICO_O_PROBLEMA",$A40="PROBLEMA",$A40="SUBPROBLEMA",$A40="SUBITEM_CASO",$A40="SUBITEM_DE_CASO_O_PROBLEMA",$A40="EMPAREJAMIENTO_TRONCO",$A40="EMPAREJAMIENTO_AMPLIADO",$A40="EMPAREJAMIENTO_DE_CONCEPTOS",$A40="OPCION_EMPAREJAMIENTO",$A40="OPCION_DE_EMPAREJAMIENTO_AMPLIADO")),LEN(TRIM($B40))&gt;0,LEN(TRIM($B40))=0)</formula1>
    </dataValidation>
    <dataValidation sqref="B41" showDropDown="0" showInputMessage="0" showErrorMessage="1" allowBlank="1" errorTitle="Grupo invalido" error="El grupo solo se llena en casos/problemas, subitems, emparejamiento ampliado y opciones de emparejamiento." type="custom">
      <formula1>IF(OR(ISNUMBER(MATCH($A41,TIPOS_REQUIEREN_GRUPO,0)),OR($A41="CASO_CLINICO_TRONCO",$A41="CASO_CLINICO",$A41="ITEMS_AGRUPADOS_POR_CASO_CLINICO_O_PROBLEMA",$A41="PROBLEMA",$A41="SUBPROBLEMA",$A41="SUBITEM_CASO",$A41="SUBITEM_DE_CASO_O_PROBLEMA",$A41="EMPAREJAMIENTO_TRONCO",$A41="EMPAREJAMIENTO_AMPLIADO",$A41="EMPAREJAMIENTO_DE_CONCEPTOS",$A41="OPCION_EMPAREJAMIENTO",$A41="OPCION_DE_EMPAREJAMIENTO_AMPLIADO")),LEN(TRIM($B41))&gt;0,LEN(TRIM($B41))=0)</formula1>
    </dataValidation>
    <dataValidation sqref="B42" showDropDown="0" showInputMessage="0" showErrorMessage="1" allowBlank="1" errorTitle="Grupo invalido" error="El grupo solo se llena en casos/problemas, subitems, emparejamiento ampliado y opciones de emparejamiento." type="custom">
      <formula1>IF(OR(ISNUMBER(MATCH($A42,TIPOS_REQUIEREN_GRUPO,0)),OR($A42="CASO_CLINICO_TRONCO",$A42="CASO_CLINICO",$A42="ITEMS_AGRUPADOS_POR_CASO_CLINICO_O_PROBLEMA",$A42="PROBLEMA",$A42="SUBPROBLEMA",$A42="SUBITEM_CASO",$A42="SUBITEM_DE_CASO_O_PROBLEMA",$A42="EMPAREJAMIENTO_TRONCO",$A42="EMPAREJAMIENTO_AMPLIADO",$A42="EMPAREJAMIENTO_DE_CONCEPTOS",$A42="OPCION_EMPAREJAMIENTO",$A42="OPCION_DE_EMPAREJAMIENTO_AMPLIADO")),LEN(TRIM($B42))&gt;0,LEN(TRIM($B42))=0)</formula1>
    </dataValidation>
    <dataValidation sqref="B43" showDropDown="0" showInputMessage="0" showErrorMessage="1" allowBlank="1" errorTitle="Grupo invalido" error="El grupo solo se llena en casos/problemas, subitems, emparejamiento ampliado y opciones de emparejamiento." type="custom">
      <formula1>IF(OR(ISNUMBER(MATCH($A43,TIPOS_REQUIEREN_GRUPO,0)),OR($A43="CASO_CLINICO_TRONCO",$A43="CASO_CLINICO",$A43="ITEMS_AGRUPADOS_POR_CASO_CLINICO_O_PROBLEMA",$A43="PROBLEMA",$A43="SUBPROBLEMA",$A43="SUBITEM_CASO",$A43="SUBITEM_DE_CASO_O_PROBLEMA",$A43="EMPAREJAMIENTO_TRONCO",$A43="EMPAREJAMIENTO_AMPLIADO",$A43="EMPAREJAMIENTO_DE_CONCEPTOS",$A43="OPCION_EMPAREJAMIENTO",$A43="OPCION_DE_EMPAREJAMIENTO_AMPLIADO")),LEN(TRIM($B43))&gt;0,LEN(TRIM($B43))=0)</formula1>
    </dataValidation>
    <dataValidation sqref="B44" showDropDown="0" showInputMessage="0" showErrorMessage="1" allowBlank="1" errorTitle="Grupo invalido" error="El grupo solo se llena en casos/problemas, subitems, emparejamiento ampliado y opciones de emparejamiento." type="custom">
      <formula1>IF(OR(ISNUMBER(MATCH($A44,TIPOS_REQUIEREN_GRUPO,0)),OR($A44="CASO_CLINICO_TRONCO",$A44="CASO_CLINICO",$A44="ITEMS_AGRUPADOS_POR_CASO_CLINICO_O_PROBLEMA",$A44="PROBLEMA",$A44="SUBPROBLEMA",$A44="SUBITEM_CASO",$A44="SUBITEM_DE_CASO_O_PROBLEMA",$A44="EMPAREJAMIENTO_TRONCO",$A44="EMPAREJAMIENTO_AMPLIADO",$A44="EMPAREJAMIENTO_DE_CONCEPTOS",$A44="OPCION_EMPAREJAMIENTO",$A44="OPCION_DE_EMPAREJAMIENTO_AMPLIADO")),LEN(TRIM($B44))&gt;0,LEN(TRIM($B44))=0)</formula1>
    </dataValidation>
    <dataValidation sqref="B45" showDropDown="0" showInputMessage="0" showErrorMessage="1" allowBlank="1" errorTitle="Grupo invalido" error="El grupo solo se llena en casos/problemas, subitems, emparejamiento ampliado y opciones de emparejamiento." type="custom">
      <formula1>IF(OR(ISNUMBER(MATCH($A45,TIPOS_REQUIEREN_GRUPO,0)),OR($A45="CASO_CLINICO_TRONCO",$A45="CASO_CLINICO",$A45="ITEMS_AGRUPADOS_POR_CASO_CLINICO_O_PROBLEMA",$A45="PROBLEMA",$A45="SUBPROBLEMA",$A45="SUBITEM_CASO",$A45="SUBITEM_DE_CASO_O_PROBLEMA",$A45="EMPAREJAMIENTO_TRONCO",$A45="EMPAREJAMIENTO_AMPLIADO",$A45="EMPAREJAMIENTO_DE_CONCEPTOS",$A45="OPCION_EMPAREJAMIENTO",$A45="OPCION_DE_EMPAREJAMIENTO_AMPLIADO")),LEN(TRIM($B45))&gt;0,LEN(TRIM($B45))=0)</formula1>
    </dataValidation>
    <dataValidation sqref="B46" showDropDown="0" showInputMessage="0" showErrorMessage="1" allowBlank="1" errorTitle="Grupo invalido" error="El grupo solo se llena en casos/problemas, subitems, emparejamiento ampliado y opciones de emparejamiento." type="custom">
      <formula1>IF(OR(ISNUMBER(MATCH($A46,TIPOS_REQUIEREN_GRUPO,0)),OR($A46="CASO_CLINICO_TRONCO",$A46="CASO_CLINICO",$A46="ITEMS_AGRUPADOS_POR_CASO_CLINICO_O_PROBLEMA",$A46="PROBLEMA",$A46="SUBPROBLEMA",$A46="SUBITEM_CASO",$A46="SUBITEM_DE_CASO_O_PROBLEMA",$A46="EMPAREJAMIENTO_TRONCO",$A46="EMPAREJAMIENTO_AMPLIADO",$A46="EMPAREJAMIENTO_DE_CONCEPTOS",$A46="OPCION_EMPAREJAMIENTO",$A46="OPCION_DE_EMPAREJAMIENTO_AMPLIADO")),LEN(TRIM($B46))&gt;0,LEN(TRIM($B46))=0)</formula1>
    </dataValidation>
    <dataValidation sqref="B47" showDropDown="0" showInputMessage="0" showErrorMessage="1" allowBlank="1" errorTitle="Grupo invalido" error="El grupo solo se llena en casos/problemas, subitems, emparejamiento ampliado y opciones de emparejamiento." type="custom">
      <formula1>IF(OR(ISNUMBER(MATCH($A47,TIPOS_REQUIEREN_GRUPO,0)),OR($A47="CASO_CLINICO_TRONCO",$A47="CASO_CLINICO",$A47="ITEMS_AGRUPADOS_POR_CASO_CLINICO_O_PROBLEMA",$A47="PROBLEMA",$A47="SUBPROBLEMA",$A47="SUBITEM_CASO",$A47="SUBITEM_DE_CASO_O_PROBLEMA",$A47="EMPAREJAMIENTO_TRONCO",$A47="EMPAREJAMIENTO_AMPLIADO",$A47="EMPAREJAMIENTO_DE_CONCEPTOS",$A47="OPCION_EMPAREJAMIENTO",$A47="OPCION_DE_EMPAREJAMIENTO_AMPLIADO")),LEN(TRIM($B47))&gt;0,LEN(TRIM($B47))=0)</formula1>
    </dataValidation>
    <dataValidation sqref="B48" showDropDown="0" showInputMessage="0" showErrorMessage="1" allowBlank="1" errorTitle="Grupo invalido" error="El grupo solo se llena en casos/problemas, subitems, emparejamiento ampliado y opciones de emparejamiento." type="custom">
      <formula1>IF(OR(ISNUMBER(MATCH($A48,TIPOS_REQUIEREN_GRUPO,0)),OR($A48="CASO_CLINICO_TRONCO",$A48="CASO_CLINICO",$A48="ITEMS_AGRUPADOS_POR_CASO_CLINICO_O_PROBLEMA",$A48="PROBLEMA",$A48="SUBPROBLEMA",$A48="SUBITEM_CASO",$A48="SUBITEM_DE_CASO_O_PROBLEMA",$A48="EMPAREJAMIENTO_TRONCO",$A48="EMPAREJAMIENTO_AMPLIADO",$A48="EMPAREJAMIENTO_DE_CONCEPTOS",$A48="OPCION_EMPAREJAMIENTO",$A48="OPCION_DE_EMPAREJAMIENTO_AMPLIADO")),LEN(TRIM($B48))&gt;0,LEN(TRIM($B48))=0)</formula1>
    </dataValidation>
    <dataValidation sqref="B49" showDropDown="0" showInputMessage="0" showErrorMessage="1" allowBlank="1" errorTitle="Grupo invalido" error="El grupo solo se llena en casos/problemas, subitems, emparejamiento ampliado y opciones de emparejamiento." type="custom">
      <formula1>IF(OR(ISNUMBER(MATCH($A49,TIPOS_REQUIEREN_GRUPO,0)),OR($A49="CASO_CLINICO_TRONCO",$A49="CASO_CLINICO",$A49="ITEMS_AGRUPADOS_POR_CASO_CLINICO_O_PROBLEMA",$A49="PROBLEMA",$A49="SUBPROBLEMA",$A49="SUBITEM_CASO",$A49="SUBITEM_DE_CASO_O_PROBLEMA",$A49="EMPAREJAMIENTO_TRONCO",$A49="EMPAREJAMIENTO_AMPLIADO",$A49="EMPAREJAMIENTO_DE_CONCEPTOS",$A49="OPCION_EMPAREJAMIENTO",$A49="OPCION_DE_EMPAREJAMIENTO_AMPLIADO")),LEN(TRIM($B49))&gt;0,LEN(TRIM($B49))=0)</formula1>
    </dataValidation>
    <dataValidation sqref="B5" showDropDown="0" showInputMessage="0" showErrorMessage="1" allowBlank="1" errorTitle="Grupo invalido" error="El grupo solo se llena en casos/problemas, subitems, emparejamiento ampliado y opciones de emparejamiento." type="custom">
      <formula1>IF(OR(ISNUMBER(MATCH($A5,TIPOS_REQUIEREN_GRUPO,0)),OR($A5="CASO_CLINICO_TRONCO",$A5="CASO_CLINICO",$A5="ITEMS_AGRUPADOS_POR_CASO_CLINICO_O_PROBLEMA",$A5="PROBLEMA",$A5="SUBPROBLEMA",$A5="SUBITEM_CASO",$A5="SUBITEM_DE_CASO_O_PROBLEMA",$A5="EMPAREJAMIENTO_TRONCO",$A5="EMPAREJAMIENTO_AMPLIADO",$A5="EMPAREJAMIENTO_DE_CONCEPTOS",$A5="OPCION_EMPAREJAMIENTO",$A5="OPCION_DE_EMPAREJAMIENTO_AMPLIADO")),LEN(TRIM($B5))&gt;0,LEN(TRIM($B5))=0)</formula1>
    </dataValidation>
    <dataValidation sqref="B50" showDropDown="0" showInputMessage="0" showErrorMessage="1" allowBlank="1" errorTitle="Grupo invalido" error="El grupo solo se llena en casos/problemas, subitems, emparejamiento ampliado y opciones de emparejamiento." type="custom">
      <formula1>IF(OR(ISNUMBER(MATCH($A50,TIPOS_REQUIEREN_GRUPO,0)),OR($A50="CASO_CLINICO_TRONCO",$A50="CASO_CLINICO",$A50="ITEMS_AGRUPADOS_POR_CASO_CLINICO_O_PROBLEMA",$A50="PROBLEMA",$A50="SUBPROBLEMA",$A50="SUBITEM_CASO",$A50="SUBITEM_DE_CASO_O_PROBLEMA",$A50="EMPAREJAMIENTO_TRONCO",$A50="EMPAREJAMIENTO_AMPLIADO",$A50="EMPAREJAMIENTO_DE_CONCEPTOS",$A50="OPCION_EMPAREJAMIENTO",$A50="OPCION_DE_EMPAREJAMIENTO_AMPLIADO")),LEN(TRIM($B50))&gt;0,LEN(TRIM($B50))=0)</formula1>
    </dataValidation>
    <dataValidation sqref="B51" showDropDown="0" showInputMessage="0" showErrorMessage="1" allowBlank="1" errorTitle="Grupo invalido" error="El grupo solo se llena en casos/problemas, subitems, emparejamiento ampliado y opciones de emparejamiento." type="custom">
      <formula1>IF(OR(ISNUMBER(MATCH($A51,TIPOS_REQUIEREN_GRUPO,0)),OR($A51="CASO_CLINICO_TRONCO",$A51="CASO_CLINICO",$A51="ITEMS_AGRUPADOS_POR_CASO_CLINICO_O_PROBLEMA",$A51="PROBLEMA",$A51="SUBPROBLEMA",$A51="SUBITEM_CASO",$A51="SUBITEM_DE_CASO_O_PROBLEMA",$A51="EMPAREJAMIENTO_TRONCO",$A51="EMPAREJAMIENTO_AMPLIADO",$A51="EMPAREJAMIENTO_DE_CONCEPTOS",$A51="OPCION_EMPAREJAMIENTO",$A51="OPCION_DE_EMPAREJAMIENTO_AMPLIADO")),LEN(TRIM($B51))&gt;0,LEN(TRIM($B51))=0)</formula1>
    </dataValidation>
    <dataValidation sqref="B52" showDropDown="0" showInputMessage="0" showErrorMessage="1" allowBlank="1" errorTitle="Grupo invalido" error="El grupo solo se llena en casos/problemas, subitems, emparejamiento ampliado y opciones de emparejamiento." type="custom">
      <formula1>IF(OR(ISNUMBER(MATCH($A52,TIPOS_REQUIEREN_GRUPO,0)),OR($A52="CASO_CLINICO_TRONCO",$A52="CASO_CLINICO",$A52="ITEMS_AGRUPADOS_POR_CASO_CLINICO_O_PROBLEMA",$A52="PROBLEMA",$A52="SUBPROBLEMA",$A52="SUBITEM_CASO",$A52="SUBITEM_DE_CASO_O_PROBLEMA",$A52="EMPAREJAMIENTO_TRONCO",$A52="EMPAREJAMIENTO_AMPLIADO",$A52="EMPAREJAMIENTO_DE_CONCEPTOS",$A52="OPCION_EMPAREJAMIENTO",$A52="OPCION_DE_EMPAREJAMIENTO_AMPLIADO")),LEN(TRIM($B52))&gt;0,LEN(TRIM($B52))=0)</formula1>
    </dataValidation>
    <dataValidation sqref="B53" showDropDown="0" showInputMessage="0" showErrorMessage="1" allowBlank="1" errorTitle="Grupo invalido" error="El grupo solo se llena en casos/problemas, subitems, emparejamiento ampliado y opciones de emparejamiento." type="custom">
      <formula1>IF(OR(ISNUMBER(MATCH($A53,TIPOS_REQUIEREN_GRUPO,0)),OR($A53="CASO_CLINICO_TRONCO",$A53="CASO_CLINICO",$A53="ITEMS_AGRUPADOS_POR_CASO_CLINICO_O_PROBLEMA",$A53="PROBLEMA",$A53="SUBPROBLEMA",$A53="SUBITEM_CASO",$A53="SUBITEM_DE_CASO_O_PROBLEMA",$A53="EMPAREJAMIENTO_TRONCO",$A53="EMPAREJAMIENTO_AMPLIADO",$A53="EMPAREJAMIENTO_DE_CONCEPTOS",$A53="OPCION_EMPAREJAMIENTO",$A53="OPCION_DE_EMPAREJAMIENTO_AMPLIADO")),LEN(TRIM($B53))&gt;0,LEN(TRIM($B53))=0)</formula1>
    </dataValidation>
    <dataValidation sqref="B54" showDropDown="0" showInputMessage="0" showErrorMessage="1" allowBlank="1" errorTitle="Grupo invalido" error="El grupo solo se llena en casos/problemas, subitems, emparejamiento ampliado y opciones de emparejamiento." type="custom">
      <formula1>IF(OR(ISNUMBER(MATCH($A54,TIPOS_REQUIEREN_GRUPO,0)),OR($A54="CASO_CLINICO_TRONCO",$A54="CASO_CLINICO",$A54="ITEMS_AGRUPADOS_POR_CASO_CLINICO_O_PROBLEMA",$A54="PROBLEMA",$A54="SUBPROBLEMA",$A54="SUBITEM_CASO",$A54="SUBITEM_DE_CASO_O_PROBLEMA",$A54="EMPAREJAMIENTO_TRONCO",$A54="EMPAREJAMIENTO_AMPLIADO",$A54="EMPAREJAMIENTO_DE_CONCEPTOS",$A54="OPCION_EMPAREJAMIENTO",$A54="OPCION_DE_EMPAREJAMIENTO_AMPLIADO")),LEN(TRIM($B54))&gt;0,LEN(TRIM($B54))=0)</formula1>
    </dataValidation>
    <dataValidation sqref="B55" showDropDown="0" showInputMessage="0" showErrorMessage="1" allowBlank="1" errorTitle="Grupo invalido" error="El grupo solo se llena en casos/problemas, subitems, emparejamiento ampliado y opciones de emparejamiento." type="custom">
      <formula1>IF(OR(ISNUMBER(MATCH($A55,TIPOS_REQUIEREN_GRUPO,0)),OR($A55="CASO_CLINICO_TRONCO",$A55="CASO_CLINICO",$A55="ITEMS_AGRUPADOS_POR_CASO_CLINICO_O_PROBLEMA",$A55="PROBLEMA",$A55="SUBPROBLEMA",$A55="SUBITEM_CASO",$A55="SUBITEM_DE_CASO_O_PROBLEMA",$A55="EMPAREJAMIENTO_TRONCO",$A55="EMPAREJAMIENTO_AMPLIADO",$A55="EMPAREJAMIENTO_DE_CONCEPTOS",$A55="OPCION_EMPAREJAMIENTO",$A55="OPCION_DE_EMPAREJAMIENTO_AMPLIADO")),LEN(TRIM($B55))&gt;0,LEN(TRIM($B55))=0)</formula1>
    </dataValidation>
    <dataValidation sqref="B56" showDropDown="0" showInputMessage="0" showErrorMessage="1" allowBlank="1" errorTitle="Grupo invalido" error="El grupo solo se llena en casos/problemas, subitems, emparejamiento ampliado y opciones de emparejamiento." type="custom">
      <formula1>IF(OR(ISNUMBER(MATCH($A56,TIPOS_REQUIEREN_GRUPO,0)),OR($A56="CASO_CLINICO_TRONCO",$A56="CASO_CLINICO",$A56="ITEMS_AGRUPADOS_POR_CASO_CLINICO_O_PROBLEMA",$A56="PROBLEMA",$A56="SUBPROBLEMA",$A56="SUBITEM_CASO",$A56="SUBITEM_DE_CASO_O_PROBLEMA",$A56="EMPAREJAMIENTO_TRONCO",$A56="EMPAREJAMIENTO_AMPLIADO",$A56="EMPAREJAMIENTO_DE_CONCEPTOS",$A56="OPCION_EMPAREJAMIENTO",$A56="OPCION_DE_EMPAREJAMIENTO_AMPLIADO")),LEN(TRIM($B56))&gt;0,LEN(TRIM($B56))=0)</formula1>
    </dataValidation>
    <dataValidation sqref="B57" showDropDown="0" showInputMessage="0" showErrorMessage="1" allowBlank="1" errorTitle="Grupo invalido" error="El grupo solo se llena en casos/problemas, subitems, emparejamiento ampliado y opciones de emparejamiento." type="custom">
      <formula1>IF(OR(ISNUMBER(MATCH($A57,TIPOS_REQUIEREN_GRUPO,0)),OR($A57="CASO_CLINICO_TRONCO",$A57="CASO_CLINICO",$A57="ITEMS_AGRUPADOS_POR_CASO_CLINICO_O_PROBLEMA",$A57="PROBLEMA",$A57="SUBPROBLEMA",$A57="SUBITEM_CASO",$A57="SUBITEM_DE_CASO_O_PROBLEMA",$A57="EMPAREJAMIENTO_TRONCO",$A57="EMPAREJAMIENTO_AMPLIADO",$A57="EMPAREJAMIENTO_DE_CONCEPTOS",$A57="OPCION_EMPAREJAMIENTO",$A57="OPCION_DE_EMPAREJAMIENTO_AMPLIADO")),LEN(TRIM($B57))&gt;0,LEN(TRIM($B57))=0)</formula1>
    </dataValidation>
    <dataValidation sqref="B58" showDropDown="0" showInputMessage="0" showErrorMessage="1" allowBlank="1" errorTitle="Grupo invalido" error="El grupo solo se llena en casos/problemas, subitems, emparejamiento ampliado y opciones de emparejamiento." type="custom">
      <formula1>IF(OR(ISNUMBER(MATCH($A58,TIPOS_REQUIEREN_GRUPO,0)),OR($A58="CASO_CLINICO_TRONCO",$A58="CASO_CLINICO",$A58="ITEMS_AGRUPADOS_POR_CASO_CLINICO_O_PROBLEMA",$A58="PROBLEMA",$A58="SUBPROBLEMA",$A58="SUBITEM_CASO",$A58="SUBITEM_DE_CASO_O_PROBLEMA",$A58="EMPAREJAMIENTO_TRONCO",$A58="EMPAREJAMIENTO_AMPLIADO",$A58="EMPAREJAMIENTO_DE_CONCEPTOS",$A58="OPCION_EMPAREJAMIENTO",$A58="OPCION_DE_EMPAREJAMIENTO_AMPLIADO")),LEN(TRIM($B58))&gt;0,LEN(TRIM($B58))=0)</formula1>
    </dataValidation>
    <dataValidation sqref="B59" showDropDown="0" showInputMessage="0" showErrorMessage="1" allowBlank="1" errorTitle="Grupo invalido" error="El grupo solo se llena en casos/problemas, subitems, emparejamiento ampliado y opciones de emparejamiento." type="custom">
      <formula1>IF(OR(ISNUMBER(MATCH($A59,TIPOS_REQUIEREN_GRUPO,0)),OR($A59="CASO_CLINICO_TRONCO",$A59="CASO_CLINICO",$A59="ITEMS_AGRUPADOS_POR_CASO_CLINICO_O_PROBLEMA",$A59="PROBLEMA",$A59="SUBPROBLEMA",$A59="SUBITEM_CASO",$A59="SUBITEM_DE_CASO_O_PROBLEMA",$A59="EMPAREJAMIENTO_TRONCO",$A59="EMPAREJAMIENTO_AMPLIADO",$A59="EMPAREJAMIENTO_DE_CONCEPTOS",$A59="OPCION_EMPAREJAMIENTO",$A59="OPCION_DE_EMPAREJAMIENTO_AMPLIADO")),LEN(TRIM($B59))&gt;0,LEN(TRIM($B59))=0)</formula1>
    </dataValidation>
    <dataValidation sqref="B6" showDropDown="0" showInputMessage="0" showErrorMessage="1" allowBlank="1" errorTitle="Grupo invalido" error="El grupo solo se llena en casos/problemas, subitems, emparejamiento ampliado y opciones de emparejamiento." type="custom">
      <formula1>IF(OR(ISNUMBER(MATCH($A6,TIPOS_REQUIEREN_GRUPO,0)),OR($A6="CASO_CLINICO_TRONCO",$A6="CASO_CLINICO",$A6="ITEMS_AGRUPADOS_POR_CASO_CLINICO_O_PROBLEMA",$A6="PROBLEMA",$A6="SUBPROBLEMA",$A6="SUBITEM_CASO",$A6="SUBITEM_DE_CASO_O_PROBLEMA",$A6="EMPAREJAMIENTO_TRONCO",$A6="EMPAREJAMIENTO_AMPLIADO",$A6="EMPAREJAMIENTO_DE_CONCEPTOS",$A6="OPCION_EMPAREJAMIENTO",$A6="OPCION_DE_EMPAREJAMIENTO_AMPLIADO")),LEN(TRIM($B6))&gt;0,LEN(TRIM($B6))=0)</formula1>
    </dataValidation>
    <dataValidation sqref="B60" showDropDown="0" showInputMessage="0" showErrorMessage="1" allowBlank="1" errorTitle="Grupo invalido" error="El grupo solo se llena en casos/problemas, subitems, emparejamiento ampliado y opciones de emparejamiento." type="custom">
      <formula1>IF(OR(ISNUMBER(MATCH($A60,TIPOS_REQUIEREN_GRUPO,0)),OR($A60="CASO_CLINICO_TRONCO",$A60="CASO_CLINICO",$A60="ITEMS_AGRUPADOS_POR_CASO_CLINICO_O_PROBLEMA",$A60="PROBLEMA",$A60="SUBPROBLEMA",$A60="SUBITEM_CASO",$A60="SUBITEM_DE_CASO_O_PROBLEMA",$A60="EMPAREJAMIENTO_TRONCO",$A60="EMPAREJAMIENTO_AMPLIADO",$A60="EMPAREJAMIENTO_DE_CONCEPTOS",$A60="OPCION_EMPAREJAMIENTO",$A60="OPCION_DE_EMPAREJAMIENTO_AMPLIADO")),LEN(TRIM($B60))&gt;0,LEN(TRIM($B60))=0)</formula1>
    </dataValidation>
    <dataValidation sqref="B61" showDropDown="0" showInputMessage="0" showErrorMessage="1" allowBlank="1" errorTitle="Grupo invalido" error="El grupo solo se llena en casos/problemas, subitems, emparejamiento ampliado y opciones de emparejamiento." type="custom">
      <formula1>IF(OR(ISNUMBER(MATCH($A61,TIPOS_REQUIEREN_GRUPO,0)),OR($A61="CASO_CLINICO_TRONCO",$A61="CASO_CLINICO",$A61="ITEMS_AGRUPADOS_POR_CASO_CLINICO_O_PROBLEMA",$A61="PROBLEMA",$A61="SUBPROBLEMA",$A61="SUBITEM_CASO",$A61="SUBITEM_DE_CASO_O_PROBLEMA",$A61="EMPAREJAMIENTO_TRONCO",$A61="EMPAREJAMIENTO_AMPLIADO",$A61="EMPAREJAMIENTO_DE_CONCEPTOS",$A61="OPCION_EMPAREJAMIENTO",$A61="OPCION_DE_EMPAREJAMIENTO_AMPLIADO")),LEN(TRIM($B61))&gt;0,LEN(TRIM($B61))=0)</formula1>
    </dataValidation>
    <dataValidation sqref="B7" showDropDown="0" showInputMessage="0" showErrorMessage="1" allowBlank="1" errorTitle="Grupo invalido" error="El grupo solo se llena en casos/problemas, subitems, emparejamiento ampliado y opciones de emparejamiento." type="custom">
      <formula1>IF(OR(ISNUMBER(MATCH($A7,TIPOS_REQUIEREN_GRUPO,0)),OR($A7="CASO_CLINICO_TRONCO",$A7="CASO_CLINICO",$A7="ITEMS_AGRUPADOS_POR_CASO_CLINICO_O_PROBLEMA",$A7="PROBLEMA",$A7="SUBPROBLEMA",$A7="SUBITEM_CASO",$A7="SUBITEM_DE_CASO_O_PROBLEMA",$A7="EMPAREJAMIENTO_TRONCO",$A7="EMPAREJAMIENTO_AMPLIADO",$A7="EMPAREJAMIENTO_DE_CONCEPTOS",$A7="OPCION_EMPAREJAMIENTO",$A7="OPCION_DE_EMPAREJAMIENTO_AMPLIADO")),LEN(TRIM($B7))&gt;0,LEN(TRIM($B7))=0)</formula1>
    </dataValidation>
    <dataValidation sqref="B8" showDropDown="0" showInputMessage="0" showErrorMessage="1" allowBlank="1" errorTitle="Grupo invalido" error="El grupo solo se llena en casos/problemas, subitems, emparejamiento ampliado y opciones de emparejamiento." type="custom">
      <formula1>IF(OR(ISNUMBER(MATCH($A8,TIPOS_REQUIEREN_GRUPO,0)),OR($A8="CASO_CLINICO_TRONCO",$A8="CASO_CLINICO",$A8="ITEMS_AGRUPADOS_POR_CASO_CLINICO_O_PROBLEMA",$A8="PROBLEMA",$A8="SUBPROBLEMA",$A8="SUBITEM_CASO",$A8="SUBITEM_DE_CASO_O_PROBLEMA",$A8="EMPAREJAMIENTO_TRONCO",$A8="EMPAREJAMIENTO_AMPLIADO",$A8="EMPAREJAMIENTO_DE_CONCEPTOS",$A8="OPCION_EMPAREJAMIENTO",$A8="OPCION_DE_EMPAREJAMIENTO_AMPLIADO")),LEN(TRIM($B8))&gt;0,LEN(TRIM($B8))=0)</formula1>
    </dataValidation>
    <dataValidation sqref="B9" showDropDown="0" showInputMessage="0" showErrorMessage="1" allowBlank="1" errorTitle="Grupo invalido" error="El grupo solo se llena en casos/problemas, subitems, emparejamiento ampliado y opciones de emparejamiento." type="custom">
      <formula1>IF(OR(ISNUMBER(MATCH($A9,TIPOS_REQUIEREN_GRUPO,0)),OR($A9="CASO_CLINICO_TRONCO",$A9="CASO_CLINICO",$A9="ITEMS_AGRUPADOS_POR_CASO_CLINICO_O_PROBLEMA",$A9="PROBLEMA",$A9="SUBPROBLEMA",$A9="SUBITEM_CASO",$A9="SUBITEM_DE_CASO_O_PROBLEMA",$A9="EMPAREJAMIENTO_TRONCO",$A9="EMPAREJAMIENTO_AMPLIADO",$A9="EMPAREJAMIENTO_DE_CONCEPTOS",$A9="OPCION_EMPAREJAMIENTO",$A9="OPCION_DE_EMPAREJAMIENTO_AMPLIADO")),LEN(TRIM($B9))&gt;0,LEN(TRIM($B9))=0)</formula1>
    </dataValidation>
    <dataValidation sqref="D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IF(OR(ISNUMBER(MATCH($A10,TIPOS_OPCION_D,0)),OR($A10="SELECCION_MEJOR_RESPUESTA",$A10="SELECCION_SIMPLE",$A10="SELECCION_UNICA",$A10="SELECCION_DE_LA_MEJOR_RESPUESTA",$A10="SUBITEM_CASO",$A10="SUBITEM_DE_CASO_O_PROBLEMA")),TRUE,LEN(TRIM($D10))=0)</formula1>
    </dataValidation>
    <dataValidation sqref="D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IF(OR(ISNUMBER(MATCH($A11,TIPOS_OPCION_D,0)),OR($A11="SELECCION_MEJOR_RESPUESTA",$A11="SELECCION_SIMPLE",$A11="SELECCION_UNICA",$A11="SELECCION_DE_LA_MEJOR_RESPUESTA",$A11="SUBITEM_CASO",$A11="SUBITEM_DE_CASO_O_PROBLEMA")),TRUE,LEN(TRIM($D11))=0)</formula1>
    </dataValidation>
    <dataValidation sqref="D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IF(OR(ISNUMBER(MATCH($A12,TIPOS_OPCION_D,0)),OR($A12="SELECCION_MEJOR_RESPUESTA",$A12="SELECCION_SIMPLE",$A12="SELECCION_UNICA",$A12="SELECCION_DE_LA_MEJOR_RESPUESTA",$A12="SUBITEM_CASO",$A12="SUBITEM_DE_CASO_O_PROBLEMA")),TRUE,LEN(TRIM($D12))=0)</formula1>
    </dataValidation>
    <dataValidation sqref="D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IF(OR(ISNUMBER(MATCH($A13,TIPOS_OPCION_D,0)),OR($A13="SELECCION_MEJOR_RESPUESTA",$A13="SELECCION_SIMPLE",$A13="SELECCION_UNICA",$A13="SELECCION_DE_LA_MEJOR_RESPUESTA",$A13="SUBITEM_CASO",$A13="SUBITEM_DE_CASO_O_PROBLEMA")),TRUE,LEN(TRIM($D13))=0)</formula1>
    </dataValidation>
    <dataValidation sqref="D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IF(OR(ISNUMBER(MATCH($A14,TIPOS_OPCION_D,0)),OR($A14="SELECCION_MEJOR_RESPUESTA",$A14="SELECCION_SIMPLE",$A14="SELECCION_UNICA",$A14="SELECCION_DE_LA_MEJOR_RESPUESTA",$A14="SUBITEM_CASO",$A14="SUBITEM_DE_CASO_O_PROBLEMA")),TRUE,LEN(TRIM($D14))=0)</formula1>
    </dataValidation>
    <dataValidation sqref="D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IF(OR(ISNUMBER(MATCH($A15,TIPOS_OPCION_D,0)),OR($A15="SELECCION_MEJOR_RESPUESTA",$A15="SELECCION_SIMPLE",$A15="SELECCION_UNICA",$A15="SELECCION_DE_LA_MEJOR_RESPUESTA",$A15="SUBITEM_CASO",$A15="SUBITEM_DE_CASO_O_PROBLEMA")),TRUE,LEN(TRIM($D15))=0)</formula1>
    </dataValidation>
    <dataValidation sqref="D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IF(OR(ISNUMBER(MATCH($A16,TIPOS_OPCION_D,0)),OR($A16="SELECCION_MEJOR_RESPUESTA",$A16="SELECCION_SIMPLE",$A16="SELECCION_UNICA",$A16="SELECCION_DE_LA_MEJOR_RESPUESTA",$A16="SUBITEM_CASO",$A16="SUBITEM_DE_CASO_O_PROBLEMA")),TRUE,LEN(TRIM($D16))=0)</formula1>
    </dataValidation>
    <dataValidation sqref="D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IF(OR(ISNUMBER(MATCH($A17,TIPOS_OPCION_D,0)),OR($A17="SELECCION_MEJOR_RESPUESTA",$A17="SELECCION_SIMPLE",$A17="SELECCION_UNICA",$A17="SELECCION_DE_LA_MEJOR_RESPUESTA",$A17="SUBITEM_CASO",$A17="SUBITEM_DE_CASO_O_PROBLEMA")),TRUE,LEN(TRIM($D17))=0)</formula1>
    </dataValidation>
    <dataValidation sqref="D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IF(OR(ISNUMBER(MATCH($A18,TIPOS_OPCION_D,0)),OR($A18="SELECCION_MEJOR_RESPUESTA",$A18="SELECCION_SIMPLE",$A18="SELECCION_UNICA",$A18="SELECCION_DE_LA_MEJOR_RESPUESTA",$A18="SUBITEM_CASO",$A18="SUBITEM_DE_CASO_O_PROBLEMA")),TRUE,LEN(TRIM($D18))=0)</formula1>
    </dataValidation>
    <dataValidation sqref="D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IF(OR(ISNUMBER(MATCH($A19,TIPOS_OPCION_D,0)),OR($A19="SELECCION_MEJOR_RESPUESTA",$A19="SELECCION_SIMPLE",$A19="SELECCION_UNICA",$A19="SELECCION_DE_LA_MEJOR_RESPUESTA",$A19="SUBITEM_CASO",$A19="SUBITEM_DE_CASO_O_PROBLEMA")),TRUE,LEN(TRIM($D19))=0)</formula1>
    </dataValidation>
    <dataValidation sqref="D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IF(OR(ISNUMBER(MATCH($A2,TIPOS_OPCION_D,0)),OR($A2="SELECCION_MEJOR_RESPUESTA",$A2="SELECCION_SIMPLE",$A2="SELECCION_UNICA",$A2="SELECCION_DE_LA_MEJOR_RESPUESTA",$A2="SUBITEM_CASO",$A2="SUBITEM_DE_CASO_O_PROBLEMA")),TRUE,LEN(TRIM($D2))=0)</formula1>
    </dataValidation>
    <dataValidation sqref="D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IF(OR(ISNUMBER(MATCH($A20,TIPOS_OPCION_D,0)),OR($A20="SELECCION_MEJOR_RESPUESTA",$A20="SELECCION_SIMPLE",$A20="SELECCION_UNICA",$A20="SELECCION_DE_LA_MEJOR_RESPUESTA",$A20="SUBITEM_CASO",$A20="SUBITEM_DE_CASO_O_PROBLEMA")),TRUE,LEN(TRIM($D20))=0)</formula1>
    </dataValidation>
    <dataValidation sqref="D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IF(OR(ISNUMBER(MATCH($A21,TIPOS_OPCION_D,0)),OR($A21="SELECCION_MEJOR_RESPUESTA",$A21="SELECCION_SIMPLE",$A21="SELECCION_UNICA",$A21="SELECCION_DE_LA_MEJOR_RESPUESTA",$A21="SUBITEM_CASO",$A21="SUBITEM_DE_CASO_O_PROBLEMA")),TRUE,LEN(TRIM($D21))=0)</formula1>
    </dataValidation>
    <dataValidation sqref="D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IF(OR(ISNUMBER(MATCH($A22,TIPOS_OPCION_D,0)),OR($A22="SELECCION_MEJOR_RESPUESTA",$A22="SELECCION_SIMPLE",$A22="SELECCION_UNICA",$A22="SELECCION_DE_LA_MEJOR_RESPUESTA",$A22="SUBITEM_CASO",$A22="SUBITEM_DE_CASO_O_PROBLEMA")),TRUE,LEN(TRIM($D22))=0)</formula1>
    </dataValidation>
    <dataValidation sqref="D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IF(OR(ISNUMBER(MATCH($A23,TIPOS_OPCION_D,0)),OR($A23="SELECCION_MEJOR_RESPUESTA",$A23="SELECCION_SIMPLE",$A23="SELECCION_UNICA",$A23="SELECCION_DE_LA_MEJOR_RESPUESTA",$A23="SUBITEM_CASO",$A23="SUBITEM_DE_CASO_O_PROBLEMA")),TRUE,LEN(TRIM($D23))=0)</formula1>
    </dataValidation>
    <dataValidation sqref="D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IF(OR(ISNUMBER(MATCH($A24,TIPOS_OPCION_D,0)),OR($A24="SELECCION_MEJOR_RESPUESTA",$A24="SELECCION_SIMPLE",$A24="SELECCION_UNICA",$A24="SELECCION_DE_LA_MEJOR_RESPUESTA",$A24="SUBITEM_CASO",$A24="SUBITEM_DE_CASO_O_PROBLEMA")),TRUE,LEN(TRIM($D24))=0)</formula1>
    </dataValidation>
    <dataValidation sqref="D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IF(OR(ISNUMBER(MATCH($A25,TIPOS_OPCION_D,0)),OR($A25="SELECCION_MEJOR_RESPUESTA",$A25="SELECCION_SIMPLE",$A25="SELECCION_UNICA",$A25="SELECCION_DE_LA_MEJOR_RESPUESTA",$A25="SUBITEM_CASO",$A25="SUBITEM_DE_CASO_O_PROBLEMA")),TRUE,LEN(TRIM($D25))=0)</formula1>
    </dataValidation>
    <dataValidation sqref="D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IF(OR(ISNUMBER(MATCH($A26,TIPOS_OPCION_D,0)),OR($A26="SELECCION_MEJOR_RESPUESTA",$A26="SELECCION_SIMPLE",$A26="SELECCION_UNICA",$A26="SELECCION_DE_LA_MEJOR_RESPUESTA",$A26="SUBITEM_CASO",$A26="SUBITEM_DE_CASO_O_PROBLEMA")),TRUE,LEN(TRIM($D26))=0)</formula1>
    </dataValidation>
    <dataValidation sqref="D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IF(OR(ISNUMBER(MATCH($A27,TIPOS_OPCION_D,0)),OR($A27="SELECCION_MEJOR_RESPUESTA",$A27="SELECCION_SIMPLE",$A27="SELECCION_UNICA",$A27="SELECCION_DE_LA_MEJOR_RESPUESTA",$A27="SUBITEM_CASO",$A27="SUBITEM_DE_CASO_O_PROBLEMA")),TRUE,LEN(TRIM($D27))=0)</formula1>
    </dataValidation>
    <dataValidation sqref="D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IF(OR(ISNUMBER(MATCH($A28,TIPOS_OPCION_D,0)),OR($A28="SELECCION_MEJOR_RESPUESTA",$A28="SELECCION_SIMPLE",$A28="SELECCION_UNICA",$A28="SELECCION_DE_LA_MEJOR_RESPUESTA",$A28="SUBITEM_CASO",$A28="SUBITEM_DE_CASO_O_PROBLEMA")),TRUE,LEN(TRIM($D28))=0)</formula1>
    </dataValidation>
    <dataValidation sqref="D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IF(OR(ISNUMBER(MATCH($A29,TIPOS_OPCION_D,0)),OR($A29="SELECCION_MEJOR_RESPUESTA",$A29="SELECCION_SIMPLE",$A29="SELECCION_UNICA",$A29="SELECCION_DE_LA_MEJOR_RESPUESTA",$A29="SUBITEM_CASO",$A29="SUBITEM_DE_CASO_O_PROBLEMA")),TRUE,LEN(TRIM($D29))=0)</formula1>
    </dataValidation>
    <dataValidation sqref="D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IF(OR(ISNUMBER(MATCH($A3,TIPOS_OPCION_D,0)),OR($A3="SELECCION_MEJOR_RESPUESTA",$A3="SELECCION_SIMPLE",$A3="SELECCION_UNICA",$A3="SELECCION_DE_LA_MEJOR_RESPUESTA",$A3="SUBITEM_CASO",$A3="SUBITEM_DE_CASO_O_PROBLEMA")),TRUE,LEN(TRIM($D3))=0)</formula1>
    </dataValidation>
    <dataValidation sqref="D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IF(OR(ISNUMBER(MATCH($A30,TIPOS_OPCION_D,0)),OR($A30="SELECCION_MEJOR_RESPUESTA",$A30="SELECCION_SIMPLE",$A30="SELECCION_UNICA",$A30="SELECCION_DE_LA_MEJOR_RESPUESTA",$A30="SUBITEM_CASO",$A30="SUBITEM_DE_CASO_O_PROBLEMA")),TRUE,LEN(TRIM($D30))=0)</formula1>
    </dataValidation>
    <dataValidation sqref="D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IF(OR(ISNUMBER(MATCH($A31,TIPOS_OPCION_D,0)),OR($A31="SELECCION_MEJOR_RESPUESTA",$A31="SELECCION_SIMPLE",$A31="SELECCION_UNICA",$A31="SELECCION_DE_LA_MEJOR_RESPUESTA",$A31="SUBITEM_CASO",$A31="SUBITEM_DE_CASO_O_PROBLEMA")),TRUE,LEN(TRIM($D31))=0)</formula1>
    </dataValidation>
    <dataValidation sqref="D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IF(OR(ISNUMBER(MATCH($A32,TIPOS_OPCION_D,0)),OR($A32="SELECCION_MEJOR_RESPUESTA",$A32="SELECCION_SIMPLE",$A32="SELECCION_UNICA",$A32="SELECCION_DE_LA_MEJOR_RESPUESTA",$A32="SUBITEM_CASO",$A32="SUBITEM_DE_CASO_O_PROBLEMA")),TRUE,LEN(TRIM($D32))=0)</formula1>
    </dataValidation>
    <dataValidation sqref="D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IF(OR(ISNUMBER(MATCH($A33,TIPOS_OPCION_D,0)),OR($A33="SELECCION_MEJOR_RESPUESTA",$A33="SELECCION_SIMPLE",$A33="SELECCION_UNICA",$A33="SELECCION_DE_LA_MEJOR_RESPUESTA",$A33="SUBITEM_CASO",$A33="SUBITEM_DE_CASO_O_PROBLEMA")),TRUE,LEN(TRIM($D33))=0)</formula1>
    </dataValidation>
    <dataValidation sqref="D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IF(OR(ISNUMBER(MATCH($A34,TIPOS_OPCION_D,0)),OR($A34="SELECCION_MEJOR_RESPUESTA",$A34="SELECCION_SIMPLE",$A34="SELECCION_UNICA",$A34="SELECCION_DE_LA_MEJOR_RESPUESTA",$A34="SUBITEM_CASO",$A34="SUBITEM_DE_CASO_O_PROBLEMA")),TRUE,LEN(TRIM($D34))=0)</formula1>
    </dataValidation>
    <dataValidation sqref="D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IF(OR(ISNUMBER(MATCH($A35,TIPOS_OPCION_D,0)),OR($A35="SELECCION_MEJOR_RESPUESTA",$A35="SELECCION_SIMPLE",$A35="SELECCION_UNICA",$A35="SELECCION_DE_LA_MEJOR_RESPUESTA",$A35="SUBITEM_CASO",$A35="SUBITEM_DE_CASO_O_PROBLEMA")),TRUE,LEN(TRIM($D35))=0)</formula1>
    </dataValidation>
    <dataValidation sqref="D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IF(OR(ISNUMBER(MATCH($A36,TIPOS_OPCION_D,0)),OR($A36="SELECCION_MEJOR_RESPUESTA",$A36="SELECCION_SIMPLE",$A36="SELECCION_UNICA",$A36="SELECCION_DE_LA_MEJOR_RESPUESTA",$A36="SUBITEM_CASO",$A36="SUBITEM_DE_CASO_O_PROBLEMA")),TRUE,LEN(TRIM($D36))=0)</formula1>
    </dataValidation>
    <dataValidation sqref="D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IF(OR(ISNUMBER(MATCH($A37,TIPOS_OPCION_D,0)),OR($A37="SELECCION_MEJOR_RESPUESTA",$A37="SELECCION_SIMPLE",$A37="SELECCION_UNICA",$A37="SELECCION_DE_LA_MEJOR_RESPUESTA",$A37="SUBITEM_CASO",$A37="SUBITEM_DE_CASO_O_PROBLEMA")),TRUE,LEN(TRIM($D37))=0)</formula1>
    </dataValidation>
    <dataValidation sqref="D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IF(OR(ISNUMBER(MATCH($A38,TIPOS_OPCION_D,0)),OR($A38="SELECCION_MEJOR_RESPUESTA",$A38="SELECCION_SIMPLE",$A38="SELECCION_UNICA",$A38="SELECCION_DE_LA_MEJOR_RESPUESTA",$A38="SUBITEM_CASO",$A38="SUBITEM_DE_CASO_O_PROBLEMA")),TRUE,LEN(TRIM($D38))=0)</formula1>
    </dataValidation>
    <dataValidation sqref="D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IF(OR(ISNUMBER(MATCH($A39,TIPOS_OPCION_D,0)),OR($A39="SELECCION_MEJOR_RESPUESTA",$A39="SELECCION_SIMPLE",$A39="SELECCION_UNICA",$A39="SELECCION_DE_LA_MEJOR_RESPUESTA",$A39="SUBITEM_CASO",$A39="SUBITEM_DE_CASO_O_PROBLEMA")),TRUE,LEN(TRIM($D39))=0)</formula1>
    </dataValidation>
    <dataValidation sqref="D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IF(OR(ISNUMBER(MATCH($A4,TIPOS_OPCION_D,0)),OR($A4="SELECCION_MEJOR_RESPUESTA",$A4="SELECCION_SIMPLE",$A4="SELECCION_UNICA",$A4="SELECCION_DE_LA_MEJOR_RESPUESTA",$A4="SUBITEM_CASO",$A4="SUBITEM_DE_CASO_O_PROBLEMA")),TRUE,LEN(TRIM($D4))=0)</formula1>
    </dataValidation>
    <dataValidation sqref="D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IF(OR(ISNUMBER(MATCH($A40,TIPOS_OPCION_D,0)),OR($A40="SELECCION_MEJOR_RESPUESTA",$A40="SELECCION_SIMPLE",$A40="SELECCION_UNICA",$A40="SELECCION_DE_LA_MEJOR_RESPUESTA",$A40="SUBITEM_CASO",$A40="SUBITEM_DE_CASO_O_PROBLEMA")),TRUE,LEN(TRIM($D40))=0)</formula1>
    </dataValidation>
    <dataValidation sqref="D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IF(OR(ISNUMBER(MATCH($A41,TIPOS_OPCION_D,0)),OR($A41="SELECCION_MEJOR_RESPUESTA",$A41="SELECCION_SIMPLE",$A41="SELECCION_UNICA",$A41="SELECCION_DE_LA_MEJOR_RESPUESTA",$A41="SUBITEM_CASO",$A41="SUBITEM_DE_CASO_O_PROBLEMA")),TRUE,LEN(TRIM($D41))=0)</formula1>
    </dataValidation>
    <dataValidation sqref="D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IF(OR(ISNUMBER(MATCH($A42,TIPOS_OPCION_D,0)),OR($A42="SELECCION_MEJOR_RESPUESTA",$A42="SELECCION_SIMPLE",$A42="SELECCION_UNICA",$A42="SELECCION_DE_LA_MEJOR_RESPUESTA",$A42="SUBITEM_CASO",$A42="SUBITEM_DE_CASO_O_PROBLEMA")),TRUE,LEN(TRIM($D42))=0)</formula1>
    </dataValidation>
    <dataValidation sqref="D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IF(OR(ISNUMBER(MATCH($A43,TIPOS_OPCION_D,0)),OR($A43="SELECCION_MEJOR_RESPUESTA",$A43="SELECCION_SIMPLE",$A43="SELECCION_UNICA",$A43="SELECCION_DE_LA_MEJOR_RESPUESTA",$A43="SUBITEM_CASO",$A43="SUBITEM_DE_CASO_O_PROBLEMA")),TRUE,LEN(TRIM($D43))=0)</formula1>
    </dataValidation>
    <dataValidation sqref="D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IF(OR(ISNUMBER(MATCH($A44,TIPOS_OPCION_D,0)),OR($A44="SELECCION_MEJOR_RESPUESTA",$A44="SELECCION_SIMPLE",$A44="SELECCION_UNICA",$A44="SELECCION_DE_LA_MEJOR_RESPUESTA",$A44="SUBITEM_CASO",$A44="SUBITEM_DE_CASO_O_PROBLEMA")),TRUE,LEN(TRIM($D44))=0)</formula1>
    </dataValidation>
    <dataValidation sqref="D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IF(OR(ISNUMBER(MATCH($A45,TIPOS_OPCION_D,0)),OR($A45="SELECCION_MEJOR_RESPUESTA",$A45="SELECCION_SIMPLE",$A45="SELECCION_UNICA",$A45="SELECCION_DE_LA_MEJOR_RESPUESTA",$A45="SUBITEM_CASO",$A45="SUBITEM_DE_CASO_O_PROBLEMA")),TRUE,LEN(TRIM($D45))=0)</formula1>
    </dataValidation>
    <dataValidation sqref="D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IF(OR(ISNUMBER(MATCH($A46,TIPOS_OPCION_D,0)),OR($A46="SELECCION_MEJOR_RESPUESTA",$A46="SELECCION_SIMPLE",$A46="SELECCION_UNICA",$A46="SELECCION_DE_LA_MEJOR_RESPUESTA",$A46="SUBITEM_CASO",$A46="SUBITEM_DE_CASO_O_PROBLEMA")),TRUE,LEN(TRIM($D46))=0)</formula1>
    </dataValidation>
    <dataValidation sqref="D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IF(OR(ISNUMBER(MATCH($A47,TIPOS_OPCION_D,0)),OR($A47="SELECCION_MEJOR_RESPUESTA",$A47="SELECCION_SIMPLE",$A47="SELECCION_UNICA",$A47="SELECCION_DE_LA_MEJOR_RESPUESTA",$A47="SUBITEM_CASO",$A47="SUBITEM_DE_CASO_O_PROBLEMA")),TRUE,LEN(TRIM($D47))=0)</formula1>
    </dataValidation>
    <dataValidation sqref="D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IF(OR(ISNUMBER(MATCH($A48,TIPOS_OPCION_D,0)),OR($A48="SELECCION_MEJOR_RESPUESTA",$A48="SELECCION_SIMPLE",$A48="SELECCION_UNICA",$A48="SELECCION_DE_LA_MEJOR_RESPUESTA",$A48="SUBITEM_CASO",$A48="SUBITEM_DE_CASO_O_PROBLEMA")),TRUE,LEN(TRIM($D48))=0)</formula1>
    </dataValidation>
    <dataValidation sqref="D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IF(OR(ISNUMBER(MATCH($A49,TIPOS_OPCION_D,0)),OR($A49="SELECCION_MEJOR_RESPUESTA",$A49="SELECCION_SIMPLE",$A49="SELECCION_UNICA",$A49="SELECCION_DE_LA_MEJOR_RESPUESTA",$A49="SUBITEM_CASO",$A49="SUBITEM_DE_CASO_O_PROBLEMA")),TRUE,LEN(TRIM($D49))=0)</formula1>
    </dataValidation>
    <dataValidation sqref="D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IF(OR(ISNUMBER(MATCH($A5,TIPOS_OPCION_D,0)),OR($A5="SELECCION_MEJOR_RESPUESTA",$A5="SELECCION_SIMPLE",$A5="SELECCION_UNICA",$A5="SELECCION_DE_LA_MEJOR_RESPUESTA",$A5="SUBITEM_CASO",$A5="SUBITEM_DE_CASO_O_PROBLEMA")),TRUE,LEN(TRIM($D5))=0)</formula1>
    </dataValidation>
    <dataValidation sqref="D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IF(OR(ISNUMBER(MATCH($A50,TIPOS_OPCION_D,0)),OR($A50="SELECCION_MEJOR_RESPUESTA",$A50="SELECCION_SIMPLE",$A50="SELECCION_UNICA",$A50="SELECCION_DE_LA_MEJOR_RESPUESTA",$A50="SUBITEM_CASO",$A50="SUBITEM_DE_CASO_O_PROBLEMA")),TRUE,LEN(TRIM($D50))=0)</formula1>
    </dataValidation>
    <dataValidation sqref="D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IF(OR(ISNUMBER(MATCH($A51,TIPOS_OPCION_D,0)),OR($A51="SELECCION_MEJOR_RESPUESTA",$A51="SELECCION_SIMPLE",$A51="SELECCION_UNICA",$A51="SELECCION_DE_LA_MEJOR_RESPUESTA",$A51="SUBITEM_CASO",$A51="SUBITEM_DE_CASO_O_PROBLEMA")),TRUE,LEN(TRIM($D51))=0)</formula1>
    </dataValidation>
    <dataValidation sqref="D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IF(OR(ISNUMBER(MATCH($A52,TIPOS_OPCION_D,0)),OR($A52="SELECCION_MEJOR_RESPUESTA",$A52="SELECCION_SIMPLE",$A52="SELECCION_UNICA",$A52="SELECCION_DE_LA_MEJOR_RESPUESTA",$A52="SUBITEM_CASO",$A52="SUBITEM_DE_CASO_O_PROBLEMA")),TRUE,LEN(TRIM($D52))=0)</formula1>
    </dataValidation>
    <dataValidation sqref="D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IF(OR(ISNUMBER(MATCH($A53,TIPOS_OPCION_D,0)),OR($A53="SELECCION_MEJOR_RESPUESTA",$A53="SELECCION_SIMPLE",$A53="SELECCION_UNICA",$A53="SELECCION_DE_LA_MEJOR_RESPUESTA",$A53="SUBITEM_CASO",$A53="SUBITEM_DE_CASO_O_PROBLEMA")),TRUE,LEN(TRIM($D53))=0)</formula1>
    </dataValidation>
    <dataValidation sqref="D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IF(OR(ISNUMBER(MATCH($A54,TIPOS_OPCION_D,0)),OR($A54="SELECCION_MEJOR_RESPUESTA",$A54="SELECCION_SIMPLE",$A54="SELECCION_UNICA",$A54="SELECCION_DE_LA_MEJOR_RESPUESTA",$A54="SUBITEM_CASO",$A54="SUBITEM_DE_CASO_O_PROBLEMA")),TRUE,LEN(TRIM($D54))=0)</formula1>
    </dataValidation>
    <dataValidation sqref="D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IF(OR(ISNUMBER(MATCH($A55,TIPOS_OPCION_D,0)),OR($A55="SELECCION_MEJOR_RESPUESTA",$A55="SELECCION_SIMPLE",$A55="SELECCION_UNICA",$A55="SELECCION_DE_LA_MEJOR_RESPUESTA",$A55="SUBITEM_CASO",$A55="SUBITEM_DE_CASO_O_PROBLEMA")),TRUE,LEN(TRIM($D55))=0)</formula1>
    </dataValidation>
    <dataValidation sqref="D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IF(OR(ISNUMBER(MATCH($A56,TIPOS_OPCION_D,0)),OR($A56="SELECCION_MEJOR_RESPUESTA",$A56="SELECCION_SIMPLE",$A56="SELECCION_UNICA",$A56="SELECCION_DE_LA_MEJOR_RESPUESTA",$A56="SUBITEM_CASO",$A56="SUBITEM_DE_CASO_O_PROBLEMA")),TRUE,LEN(TRIM($D56))=0)</formula1>
    </dataValidation>
    <dataValidation sqref="D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IF(OR(ISNUMBER(MATCH($A57,TIPOS_OPCION_D,0)),OR($A57="SELECCION_MEJOR_RESPUESTA",$A57="SELECCION_SIMPLE",$A57="SELECCION_UNICA",$A57="SELECCION_DE_LA_MEJOR_RESPUESTA",$A57="SUBITEM_CASO",$A57="SUBITEM_DE_CASO_O_PROBLEMA")),TRUE,LEN(TRIM($D57))=0)</formula1>
    </dataValidation>
    <dataValidation sqref="D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IF(OR(ISNUMBER(MATCH($A58,TIPOS_OPCION_D,0)),OR($A58="SELECCION_MEJOR_RESPUESTA",$A58="SELECCION_SIMPLE",$A58="SELECCION_UNICA",$A58="SELECCION_DE_LA_MEJOR_RESPUESTA",$A58="SUBITEM_CASO",$A58="SUBITEM_DE_CASO_O_PROBLEMA")),TRUE,LEN(TRIM($D58))=0)</formula1>
    </dataValidation>
    <dataValidation sqref="D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IF(OR(ISNUMBER(MATCH($A59,TIPOS_OPCION_D,0)),OR($A59="SELECCION_MEJOR_RESPUESTA",$A59="SELECCION_SIMPLE",$A59="SELECCION_UNICA",$A59="SELECCION_DE_LA_MEJOR_RESPUESTA",$A59="SUBITEM_CASO",$A59="SUBITEM_DE_CASO_O_PROBLEMA")),TRUE,LEN(TRIM($D59))=0)</formula1>
    </dataValidation>
    <dataValidation sqref="D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IF(OR(ISNUMBER(MATCH($A6,TIPOS_OPCION_D,0)),OR($A6="SELECCION_MEJOR_RESPUESTA",$A6="SELECCION_SIMPLE",$A6="SELECCION_UNICA",$A6="SELECCION_DE_LA_MEJOR_RESPUESTA",$A6="SUBITEM_CASO",$A6="SUBITEM_DE_CASO_O_PROBLEMA")),TRUE,LEN(TRIM($D6))=0)</formula1>
    </dataValidation>
    <dataValidation sqref="D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IF(OR(ISNUMBER(MATCH($A60,TIPOS_OPCION_D,0)),OR($A60="SELECCION_MEJOR_RESPUESTA",$A60="SELECCION_SIMPLE",$A60="SELECCION_UNICA",$A60="SELECCION_DE_LA_MEJOR_RESPUESTA",$A60="SUBITEM_CASO",$A60="SUBITEM_DE_CASO_O_PROBLEMA")),TRUE,LEN(TRIM($D60))=0)</formula1>
    </dataValidation>
    <dataValidation sqref="D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IF(OR(ISNUMBER(MATCH($A61,TIPOS_OPCION_D,0)),OR($A61="SELECCION_MEJOR_RESPUESTA",$A61="SELECCION_SIMPLE",$A61="SELECCION_UNICA",$A61="SELECCION_DE_LA_MEJOR_RESPUESTA",$A61="SUBITEM_CASO",$A61="SUBITEM_DE_CASO_O_PROBLEMA")),TRUE,LEN(TRIM($D61))=0)</formula1>
    </dataValidation>
    <dataValidation sqref="D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IF(OR(ISNUMBER(MATCH($A7,TIPOS_OPCION_D,0)),OR($A7="SELECCION_MEJOR_RESPUESTA",$A7="SELECCION_SIMPLE",$A7="SELECCION_UNICA",$A7="SELECCION_DE_LA_MEJOR_RESPUESTA",$A7="SUBITEM_CASO",$A7="SUBITEM_DE_CASO_O_PROBLEMA")),TRUE,LEN(TRIM($D7))=0)</formula1>
    </dataValidation>
    <dataValidation sqref="D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IF(OR(ISNUMBER(MATCH($A8,TIPOS_OPCION_D,0)),OR($A8="SELECCION_MEJOR_RESPUESTA",$A8="SELECCION_SIMPLE",$A8="SELECCION_UNICA",$A8="SELECCION_DE_LA_MEJOR_RESPUESTA",$A8="SUBITEM_CASO",$A8="SUBITEM_DE_CASO_O_PROBLEMA")),TRUE,LEN(TRIM($D8))=0)</formula1>
    </dataValidation>
    <dataValidation sqref="D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IF(OR(ISNUMBER(MATCH($A9,TIPOS_OPCION_D,0)),OR($A9="SELECCION_MEJOR_RESPUESTA",$A9="SELECCION_SIMPLE",$A9="SELECCION_UNICA",$A9="SELECCION_DE_LA_MEJOR_RESPUESTA",$A9="SUBITEM_CASO",$A9="SUBITEM_DE_CASO_O_PROBLEMA")),TRUE,LEN(TRIM($D9))=0)</formula1>
    </dataValidation>
    <dataValidation sqref="E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IF(OR(ISNUMBER(MATCH($A10,TIPOS_OPCION_E,0)),OR($A10="SELECCION_MEJOR_RESPUESTA",$A10="SELECCION_SIMPLE",$A10="SELECCION_UNICA",$A10="SELECCION_DE_LA_MEJOR_RESPUESTA",$A10="SUBITEM_CASO",$A10="SUBITEM_DE_CASO_O_PROBLEMA")),TRUE,LEN(TRIM($E10))=0)</formula1>
    </dataValidation>
    <dataValidation sqref="E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IF(OR(ISNUMBER(MATCH($A11,TIPOS_OPCION_E,0)),OR($A11="SELECCION_MEJOR_RESPUESTA",$A11="SELECCION_SIMPLE",$A11="SELECCION_UNICA",$A11="SELECCION_DE_LA_MEJOR_RESPUESTA",$A11="SUBITEM_CASO",$A11="SUBITEM_DE_CASO_O_PROBLEMA")),TRUE,LEN(TRIM($E11))=0)</formula1>
    </dataValidation>
    <dataValidation sqref="E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IF(OR(ISNUMBER(MATCH($A12,TIPOS_OPCION_E,0)),OR($A12="SELECCION_MEJOR_RESPUESTA",$A12="SELECCION_SIMPLE",$A12="SELECCION_UNICA",$A12="SELECCION_DE_LA_MEJOR_RESPUESTA",$A12="SUBITEM_CASO",$A12="SUBITEM_DE_CASO_O_PROBLEMA")),TRUE,LEN(TRIM($E12))=0)</formula1>
    </dataValidation>
    <dataValidation sqref="E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IF(OR(ISNUMBER(MATCH($A13,TIPOS_OPCION_E,0)),OR($A13="SELECCION_MEJOR_RESPUESTA",$A13="SELECCION_SIMPLE",$A13="SELECCION_UNICA",$A13="SELECCION_DE_LA_MEJOR_RESPUESTA",$A13="SUBITEM_CASO",$A13="SUBITEM_DE_CASO_O_PROBLEMA")),TRUE,LEN(TRIM($E13))=0)</formula1>
    </dataValidation>
    <dataValidation sqref="E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IF(OR(ISNUMBER(MATCH($A14,TIPOS_OPCION_E,0)),OR($A14="SELECCION_MEJOR_RESPUESTA",$A14="SELECCION_SIMPLE",$A14="SELECCION_UNICA",$A14="SELECCION_DE_LA_MEJOR_RESPUESTA",$A14="SUBITEM_CASO",$A14="SUBITEM_DE_CASO_O_PROBLEMA")),TRUE,LEN(TRIM($E14))=0)</formula1>
    </dataValidation>
    <dataValidation sqref="E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IF(OR(ISNUMBER(MATCH($A15,TIPOS_OPCION_E,0)),OR($A15="SELECCION_MEJOR_RESPUESTA",$A15="SELECCION_SIMPLE",$A15="SELECCION_UNICA",$A15="SELECCION_DE_LA_MEJOR_RESPUESTA",$A15="SUBITEM_CASO",$A15="SUBITEM_DE_CASO_O_PROBLEMA")),TRUE,LEN(TRIM($E15))=0)</formula1>
    </dataValidation>
    <dataValidation sqref="E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IF(OR(ISNUMBER(MATCH($A16,TIPOS_OPCION_E,0)),OR($A16="SELECCION_MEJOR_RESPUESTA",$A16="SELECCION_SIMPLE",$A16="SELECCION_UNICA",$A16="SELECCION_DE_LA_MEJOR_RESPUESTA",$A16="SUBITEM_CASO",$A16="SUBITEM_DE_CASO_O_PROBLEMA")),TRUE,LEN(TRIM($E16))=0)</formula1>
    </dataValidation>
    <dataValidation sqref="E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IF(OR(ISNUMBER(MATCH($A17,TIPOS_OPCION_E,0)),OR($A17="SELECCION_MEJOR_RESPUESTA",$A17="SELECCION_SIMPLE",$A17="SELECCION_UNICA",$A17="SELECCION_DE_LA_MEJOR_RESPUESTA",$A17="SUBITEM_CASO",$A17="SUBITEM_DE_CASO_O_PROBLEMA")),TRUE,LEN(TRIM($E17))=0)</formula1>
    </dataValidation>
    <dataValidation sqref="E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IF(OR(ISNUMBER(MATCH($A18,TIPOS_OPCION_E,0)),OR($A18="SELECCION_MEJOR_RESPUESTA",$A18="SELECCION_SIMPLE",$A18="SELECCION_UNICA",$A18="SELECCION_DE_LA_MEJOR_RESPUESTA",$A18="SUBITEM_CASO",$A18="SUBITEM_DE_CASO_O_PROBLEMA")),TRUE,LEN(TRIM($E18))=0)</formula1>
    </dataValidation>
    <dataValidation sqref="E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IF(OR(ISNUMBER(MATCH($A19,TIPOS_OPCION_E,0)),OR($A19="SELECCION_MEJOR_RESPUESTA",$A19="SELECCION_SIMPLE",$A19="SELECCION_UNICA",$A19="SELECCION_DE_LA_MEJOR_RESPUESTA",$A19="SUBITEM_CASO",$A19="SUBITEM_DE_CASO_O_PROBLEMA")),TRUE,LEN(TRIM($E19))=0)</formula1>
    </dataValidation>
    <dataValidation sqref="E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IF(OR(ISNUMBER(MATCH($A2,TIPOS_OPCION_E,0)),OR($A2="SELECCION_MEJOR_RESPUESTA",$A2="SELECCION_SIMPLE",$A2="SELECCION_UNICA",$A2="SELECCION_DE_LA_MEJOR_RESPUESTA",$A2="SUBITEM_CASO",$A2="SUBITEM_DE_CASO_O_PROBLEMA")),TRUE,LEN(TRIM($E2))=0)</formula1>
    </dataValidation>
    <dataValidation sqref="E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IF(OR(ISNUMBER(MATCH($A20,TIPOS_OPCION_E,0)),OR($A20="SELECCION_MEJOR_RESPUESTA",$A20="SELECCION_SIMPLE",$A20="SELECCION_UNICA",$A20="SELECCION_DE_LA_MEJOR_RESPUESTA",$A20="SUBITEM_CASO",$A20="SUBITEM_DE_CASO_O_PROBLEMA")),TRUE,LEN(TRIM($E20))=0)</formula1>
    </dataValidation>
    <dataValidation sqref="E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IF(OR(ISNUMBER(MATCH($A21,TIPOS_OPCION_E,0)),OR($A21="SELECCION_MEJOR_RESPUESTA",$A21="SELECCION_SIMPLE",$A21="SELECCION_UNICA",$A21="SELECCION_DE_LA_MEJOR_RESPUESTA",$A21="SUBITEM_CASO",$A21="SUBITEM_DE_CASO_O_PROBLEMA")),TRUE,LEN(TRIM($E21))=0)</formula1>
    </dataValidation>
    <dataValidation sqref="E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IF(OR(ISNUMBER(MATCH($A22,TIPOS_OPCION_E,0)),OR($A22="SELECCION_MEJOR_RESPUESTA",$A22="SELECCION_SIMPLE",$A22="SELECCION_UNICA",$A22="SELECCION_DE_LA_MEJOR_RESPUESTA",$A22="SUBITEM_CASO",$A22="SUBITEM_DE_CASO_O_PROBLEMA")),TRUE,LEN(TRIM($E22))=0)</formula1>
    </dataValidation>
    <dataValidation sqref="E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IF(OR(ISNUMBER(MATCH($A23,TIPOS_OPCION_E,0)),OR($A23="SELECCION_MEJOR_RESPUESTA",$A23="SELECCION_SIMPLE",$A23="SELECCION_UNICA",$A23="SELECCION_DE_LA_MEJOR_RESPUESTA",$A23="SUBITEM_CASO",$A23="SUBITEM_DE_CASO_O_PROBLEMA")),TRUE,LEN(TRIM($E23))=0)</formula1>
    </dataValidation>
    <dataValidation sqref="E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IF(OR(ISNUMBER(MATCH($A24,TIPOS_OPCION_E,0)),OR($A24="SELECCION_MEJOR_RESPUESTA",$A24="SELECCION_SIMPLE",$A24="SELECCION_UNICA",$A24="SELECCION_DE_LA_MEJOR_RESPUESTA",$A24="SUBITEM_CASO",$A24="SUBITEM_DE_CASO_O_PROBLEMA")),TRUE,LEN(TRIM($E24))=0)</formula1>
    </dataValidation>
    <dataValidation sqref="E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IF(OR(ISNUMBER(MATCH($A25,TIPOS_OPCION_E,0)),OR($A25="SELECCION_MEJOR_RESPUESTA",$A25="SELECCION_SIMPLE",$A25="SELECCION_UNICA",$A25="SELECCION_DE_LA_MEJOR_RESPUESTA",$A25="SUBITEM_CASO",$A25="SUBITEM_DE_CASO_O_PROBLEMA")),TRUE,LEN(TRIM($E25))=0)</formula1>
    </dataValidation>
    <dataValidation sqref="E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IF(OR(ISNUMBER(MATCH($A26,TIPOS_OPCION_E,0)),OR($A26="SELECCION_MEJOR_RESPUESTA",$A26="SELECCION_SIMPLE",$A26="SELECCION_UNICA",$A26="SELECCION_DE_LA_MEJOR_RESPUESTA",$A26="SUBITEM_CASO",$A26="SUBITEM_DE_CASO_O_PROBLEMA")),TRUE,LEN(TRIM($E26))=0)</formula1>
    </dataValidation>
    <dataValidation sqref="E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IF(OR(ISNUMBER(MATCH($A27,TIPOS_OPCION_E,0)),OR($A27="SELECCION_MEJOR_RESPUESTA",$A27="SELECCION_SIMPLE",$A27="SELECCION_UNICA",$A27="SELECCION_DE_LA_MEJOR_RESPUESTA",$A27="SUBITEM_CASO",$A27="SUBITEM_DE_CASO_O_PROBLEMA")),TRUE,LEN(TRIM($E27))=0)</formula1>
    </dataValidation>
    <dataValidation sqref="E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IF(OR(ISNUMBER(MATCH($A28,TIPOS_OPCION_E,0)),OR($A28="SELECCION_MEJOR_RESPUESTA",$A28="SELECCION_SIMPLE",$A28="SELECCION_UNICA",$A28="SELECCION_DE_LA_MEJOR_RESPUESTA",$A28="SUBITEM_CASO",$A28="SUBITEM_DE_CASO_O_PROBLEMA")),TRUE,LEN(TRIM($E28))=0)</formula1>
    </dataValidation>
    <dataValidation sqref="E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IF(OR(ISNUMBER(MATCH($A29,TIPOS_OPCION_E,0)),OR($A29="SELECCION_MEJOR_RESPUESTA",$A29="SELECCION_SIMPLE",$A29="SELECCION_UNICA",$A29="SELECCION_DE_LA_MEJOR_RESPUESTA",$A29="SUBITEM_CASO",$A29="SUBITEM_DE_CASO_O_PROBLEMA")),TRUE,LEN(TRIM($E29))=0)</formula1>
    </dataValidation>
    <dataValidation sqref="E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IF(OR(ISNUMBER(MATCH($A3,TIPOS_OPCION_E,0)),OR($A3="SELECCION_MEJOR_RESPUESTA",$A3="SELECCION_SIMPLE",$A3="SELECCION_UNICA",$A3="SELECCION_DE_LA_MEJOR_RESPUESTA",$A3="SUBITEM_CASO",$A3="SUBITEM_DE_CASO_O_PROBLEMA")),TRUE,LEN(TRIM($E3))=0)</formula1>
    </dataValidation>
    <dataValidation sqref="E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IF(OR(ISNUMBER(MATCH($A30,TIPOS_OPCION_E,0)),OR($A30="SELECCION_MEJOR_RESPUESTA",$A30="SELECCION_SIMPLE",$A30="SELECCION_UNICA",$A30="SELECCION_DE_LA_MEJOR_RESPUESTA",$A30="SUBITEM_CASO",$A30="SUBITEM_DE_CASO_O_PROBLEMA")),TRUE,LEN(TRIM($E30))=0)</formula1>
    </dataValidation>
    <dataValidation sqref="E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IF(OR(ISNUMBER(MATCH($A31,TIPOS_OPCION_E,0)),OR($A31="SELECCION_MEJOR_RESPUESTA",$A31="SELECCION_SIMPLE",$A31="SELECCION_UNICA",$A31="SELECCION_DE_LA_MEJOR_RESPUESTA",$A31="SUBITEM_CASO",$A31="SUBITEM_DE_CASO_O_PROBLEMA")),TRUE,LEN(TRIM($E31))=0)</formula1>
    </dataValidation>
    <dataValidation sqref="E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IF(OR(ISNUMBER(MATCH($A32,TIPOS_OPCION_E,0)),OR($A32="SELECCION_MEJOR_RESPUESTA",$A32="SELECCION_SIMPLE",$A32="SELECCION_UNICA",$A32="SELECCION_DE_LA_MEJOR_RESPUESTA",$A32="SUBITEM_CASO",$A32="SUBITEM_DE_CASO_O_PROBLEMA")),TRUE,LEN(TRIM($E32))=0)</formula1>
    </dataValidation>
    <dataValidation sqref="E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IF(OR(ISNUMBER(MATCH($A33,TIPOS_OPCION_E,0)),OR($A33="SELECCION_MEJOR_RESPUESTA",$A33="SELECCION_SIMPLE",$A33="SELECCION_UNICA",$A33="SELECCION_DE_LA_MEJOR_RESPUESTA",$A33="SUBITEM_CASO",$A33="SUBITEM_DE_CASO_O_PROBLEMA")),TRUE,LEN(TRIM($E33))=0)</formula1>
    </dataValidation>
    <dataValidation sqref="E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IF(OR(ISNUMBER(MATCH($A34,TIPOS_OPCION_E,0)),OR($A34="SELECCION_MEJOR_RESPUESTA",$A34="SELECCION_SIMPLE",$A34="SELECCION_UNICA",$A34="SELECCION_DE_LA_MEJOR_RESPUESTA",$A34="SUBITEM_CASO",$A34="SUBITEM_DE_CASO_O_PROBLEMA")),TRUE,LEN(TRIM($E34))=0)</formula1>
    </dataValidation>
    <dataValidation sqref="E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IF(OR(ISNUMBER(MATCH($A35,TIPOS_OPCION_E,0)),OR($A35="SELECCION_MEJOR_RESPUESTA",$A35="SELECCION_SIMPLE",$A35="SELECCION_UNICA",$A35="SELECCION_DE_LA_MEJOR_RESPUESTA",$A35="SUBITEM_CASO",$A35="SUBITEM_DE_CASO_O_PROBLEMA")),TRUE,LEN(TRIM($E35))=0)</formula1>
    </dataValidation>
    <dataValidation sqref="E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IF(OR(ISNUMBER(MATCH($A36,TIPOS_OPCION_E,0)),OR($A36="SELECCION_MEJOR_RESPUESTA",$A36="SELECCION_SIMPLE",$A36="SELECCION_UNICA",$A36="SELECCION_DE_LA_MEJOR_RESPUESTA",$A36="SUBITEM_CASO",$A36="SUBITEM_DE_CASO_O_PROBLEMA")),TRUE,LEN(TRIM($E36))=0)</formula1>
    </dataValidation>
    <dataValidation sqref="E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IF(OR(ISNUMBER(MATCH($A37,TIPOS_OPCION_E,0)),OR($A37="SELECCION_MEJOR_RESPUESTA",$A37="SELECCION_SIMPLE",$A37="SELECCION_UNICA",$A37="SELECCION_DE_LA_MEJOR_RESPUESTA",$A37="SUBITEM_CASO",$A37="SUBITEM_DE_CASO_O_PROBLEMA")),TRUE,LEN(TRIM($E37))=0)</formula1>
    </dataValidation>
    <dataValidation sqref="E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IF(OR(ISNUMBER(MATCH($A38,TIPOS_OPCION_E,0)),OR($A38="SELECCION_MEJOR_RESPUESTA",$A38="SELECCION_SIMPLE",$A38="SELECCION_UNICA",$A38="SELECCION_DE_LA_MEJOR_RESPUESTA",$A38="SUBITEM_CASO",$A38="SUBITEM_DE_CASO_O_PROBLEMA")),TRUE,LEN(TRIM($E38))=0)</formula1>
    </dataValidation>
    <dataValidation sqref="E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IF(OR(ISNUMBER(MATCH($A39,TIPOS_OPCION_E,0)),OR($A39="SELECCION_MEJOR_RESPUESTA",$A39="SELECCION_SIMPLE",$A39="SELECCION_UNICA",$A39="SELECCION_DE_LA_MEJOR_RESPUESTA",$A39="SUBITEM_CASO",$A39="SUBITEM_DE_CASO_O_PROBLEMA")),TRUE,LEN(TRIM($E39))=0)</formula1>
    </dataValidation>
    <dataValidation sqref="E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IF(OR(ISNUMBER(MATCH($A4,TIPOS_OPCION_E,0)),OR($A4="SELECCION_MEJOR_RESPUESTA",$A4="SELECCION_SIMPLE",$A4="SELECCION_UNICA",$A4="SELECCION_DE_LA_MEJOR_RESPUESTA",$A4="SUBITEM_CASO",$A4="SUBITEM_DE_CASO_O_PROBLEMA")),TRUE,LEN(TRIM($E4))=0)</formula1>
    </dataValidation>
    <dataValidation sqref="E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IF(OR(ISNUMBER(MATCH($A40,TIPOS_OPCION_E,0)),OR($A40="SELECCION_MEJOR_RESPUESTA",$A40="SELECCION_SIMPLE",$A40="SELECCION_UNICA",$A40="SELECCION_DE_LA_MEJOR_RESPUESTA",$A40="SUBITEM_CASO",$A40="SUBITEM_DE_CASO_O_PROBLEMA")),TRUE,LEN(TRIM($E40))=0)</formula1>
    </dataValidation>
    <dataValidation sqref="E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IF(OR(ISNUMBER(MATCH($A41,TIPOS_OPCION_E,0)),OR($A41="SELECCION_MEJOR_RESPUESTA",$A41="SELECCION_SIMPLE",$A41="SELECCION_UNICA",$A41="SELECCION_DE_LA_MEJOR_RESPUESTA",$A41="SUBITEM_CASO",$A41="SUBITEM_DE_CASO_O_PROBLEMA")),TRUE,LEN(TRIM($E41))=0)</formula1>
    </dataValidation>
    <dataValidation sqref="E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IF(OR(ISNUMBER(MATCH($A42,TIPOS_OPCION_E,0)),OR($A42="SELECCION_MEJOR_RESPUESTA",$A42="SELECCION_SIMPLE",$A42="SELECCION_UNICA",$A42="SELECCION_DE_LA_MEJOR_RESPUESTA",$A42="SUBITEM_CASO",$A42="SUBITEM_DE_CASO_O_PROBLEMA")),TRUE,LEN(TRIM($E42))=0)</formula1>
    </dataValidation>
    <dataValidation sqref="E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IF(OR(ISNUMBER(MATCH($A43,TIPOS_OPCION_E,0)),OR($A43="SELECCION_MEJOR_RESPUESTA",$A43="SELECCION_SIMPLE",$A43="SELECCION_UNICA",$A43="SELECCION_DE_LA_MEJOR_RESPUESTA",$A43="SUBITEM_CASO",$A43="SUBITEM_DE_CASO_O_PROBLEMA")),TRUE,LEN(TRIM($E43))=0)</formula1>
    </dataValidation>
    <dataValidation sqref="E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IF(OR(ISNUMBER(MATCH($A44,TIPOS_OPCION_E,0)),OR($A44="SELECCION_MEJOR_RESPUESTA",$A44="SELECCION_SIMPLE",$A44="SELECCION_UNICA",$A44="SELECCION_DE_LA_MEJOR_RESPUESTA",$A44="SUBITEM_CASO",$A44="SUBITEM_DE_CASO_O_PROBLEMA")),TRUE,LEN(TRIM($E44))=0)</formula1>
    </dataValidation>
    <dataValidation sqref="E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IF(OR(ISNUMBER(MATCH($A45,TIPOS_OPCION_E,0)),OR($A45="SELECCION_MEJOR_RESPUESTA",$A45="SELECCION_SIMPLE",$A45="SELECCION_UNICA",$A45="SELECCION_DE_LA_MEJOR_RESPUESTA",$A45="SUBITEM_CASO",$A45="SUBITEM_DE_CASO_O_PROBLEMA")),TRUE,LEN(TRIM($E45))=0)</formula1>
    </dataValidation>
    <dataValidation sqref="E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IF(OR(ISNUMBER(MATCH($A46,TIPOS_OPCION_E,0)),OR($A46="SELECCION_MEJOR_RESPUESTA",$A46="SELECCION_SIMPLE",$A46="SELECCION_UNICA",$A46="SELECCION_DE_LA_MEJOR_RESPUESTA",$A46="SUBITEM_CASO",$A46="SUBITEM_DE_CASO_O_PROBLEMA")),TRUE,LEN(TRIM($E46))=0)</formula1>
    </dataValidation>
    <dataValidation sqref="E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IF(OR(ISNUMBER(MATCH($A47,TIPOS_OPCION_E,0)),OR($A47="SELECCION_MEJOR_RESPUESTA",$A47="SELECCION_SIMPLE",$A47="SELECCION_UNICA",$A47="SELECCION_DE_LA_MEJOR_RESPUESTA",$A47="SUBITEM_CASO",$A47="SUBITEM_DE_CASO_O_PROBLEMA")),TRUE,LEN(TRIM($E47))=0)</formula1>
    </dataValidation>
    <dataValidation sqref="E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IF(OR(ISNUMBER(MATCH($A48,TIPOS_OPCION_E,0)),OR($A48="SELECCION_MEJOR_RESPUESTA",$A48="SELECCION_SIMPLE",$A48="SELECCION_UNICA",$A48="SELECCION_DE_LA_MEJOR_RESPUESTA",$A48="SUBITEM_CASO",$A48="SUBITEM_DE_CASO_O_PROBLEMA")),TRUE,LEN(TRIM($E48))=0)</formula1>
    </dataValidation>
    <dataValidation sqref="E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IF(OR(ISNUMBER(MATCH($A49,TIPOS_OPCION_E,0)),OR($A49="SELECCION_MEJOR_RESPUESTA",$A49="SELECCION_SIMPLE",$A49="SELECCION_UNICA",$A49="SELECCION_DE_LA_MEJOR_RESPUESTA",$A49="SUBITEM_CASO",$A49="SUBITEM_DE_CASO_O_PROBLEMA")),TRUE,LEN(TRIM($E49))=0)</formula1>
    </dataValidation>
    <dataValidation sqref="E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IF(OR(ISNUMBER(MATCH($A5,TIPOS_OPCION_E,0)),OR($A5="SELECCION_MEJOR_RESPUESTA",$A5="SELECCION_SIMPLE",$A5="SELECCION_UNICA",$A5="SELECCION_DE_LA_MEJOR_RESPUESTA",$A5="SUBITEM_CASO",$A5="SUBITEM_DE_CASO_O_PROBLEMA")),TRUE,LEN(TRIM($E5))=0)</formula1>
    </dataValidation>
    <dataValidation sqref="E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IF(OR(ISNUMBER(MATCH($A50,TIPOS_OPCION_E,0)),OR($A50="SELECCION_MEJOR_RESPUESTA",$A50="SELECCION_SIMPLE",$A50="SELECCION_UNICA",$A50="SELECCION_DE_LA_MEJOR_RESPUESTA",$A50="SUBITEM_CASO",$A50="SUBITEM_DE_CASO_O_PROBLEMA")),TRUE,LEN(TRIM($E50))=0)</formula1>
    </dataValidation>
    <dataValidation sqref="E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IF(OR(ISNUMBER(MATCH($A51,TIPOS_OPCION_E,0)),OR($A51="SELECCION_MEJOR_RESPUESTA",$A51="SELECCION_SIMPLE",$A51="SELECCION_UNICA",$A51="SELECCION_DE_LA_MEJOR_RESPUESTA",$A51="SUBITEM_CASO",$A51="SUBITEM_DE_CASO_O_PROBLEMA")),TRUE,LEN(TRIM($E51))=0)</formula1>
    </dataValidation>
    <dataValidation sqref="E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IF(OR(ISNUMBER(MATCH($A52,TIPOS_OPCION_E,0)),OR($A52="SELECCION_MEJOR_RESPUESTA",$A52="SELECCION_SIMPLE",$A52="SELECCION_UNICA",$A52="SELECCION_DE_LA_MEJOR_RESPUESTA",$A52="SUBITEM_CASO",$A52="SUBITEM_DE_CASO_O_PROBLEMA")),TRUE,LEN(TRIM($E52))=0)</formula1>
    </dataValidation>
    <dataValidation sqref="E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IF(OR(ISNUMBER(MATCH($A53,TIPOS_OPCION_E,0)),OR($A53="SELECCION_MEJOR_RESPUESTA",$A53="SELECCION_SIMPLE",$A53="SELECCION_UNICA",$A53="SELECCION_DE_LA_MEJOR_RESPUESTA",$A53="SUBITEM_CASO",$A53="SUBITEM_DE_CASO_O_PROBLEMA")),TRUE,LEN(TRIM($E53))=0)</formula1>
    </dataValidation>
    <dataValidation sqref="E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IF(OR(ISNUMBER(MATCH($A54,TIPOS_OPCION_E,0)),OR($A54="SELECCION_MEJOR_RESPUESTA",$A54="SELECCION_SIMPLE",$A54="SELECCION_UNICA",$A54="SELECCION_DE_LA_MEJOR_RESPUESTA",$A54="SUBITEM_CASO",$A54="SUBITEM_DE_CASO_O_PROBLEMA")),TRUE,LEN(TRIM($E54))=0)</formula1>
    </dataValidation>
    <dataValidation sqref="E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IF(OR(ISNUMBER(MATCH($A55,TIPOS_OPCION_E,0)),OR($A55="SELECCION_MEJOR_RESPUESTA",$A55="SELECCION_SIMPLE",$A55="SELECCION_UNICA",$A55="SELECCION_DE_LA_MEJOR_RESPUESTA",$A55="SUBITEM_CASO",$A55="SUBITEM_DE_CASO_O_PROBLEMA")),TRUE,LEN(TRIM($E55))=0)</formula1>
    </dataValidation>
    <dataValidation sqref="E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IF(OR(ISNUMBER(MATCH($A56,TIPOS_OPCION_E,0)),OR($A56="SELECCION_MEJOR_RESPUESTA",$A56="SELECCION_SIMPLE",$A56="SELECCION_UNICA",$A56="SELECCION_DE_LA_MEJOR_RESPUESTA",$A56="SUBITEM_CASO",$A56="SUBITEM_DE_CASO_O_PROBLEMA")),TRUE,LEN(TRIM($E56))=0)</formula1>
    </dataValidation>
    <dataValidation sqref="E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IF(OR(ISNUMBER(MATCH($A57,TIPOS_OPCION_E,0)),OR($A57="SELECCION_MEJOR_RESPUESTA",$A57="SELECCION_SIMPLE",$A57="SELECCION_UNICA",$A57="SELECCION_DE_LA_MEJOR_RESPUESTA",$A57="SUBITEM_CASO",$A57="SUBITEM_DE_CASO_O_PROBLEMA")),TRUE,LEN(TRIM($E57))=0)</formula1>
    </dataValidation>
    <dataValidation sqref="E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IF(OR(ISNUMBER(MATCH($A58,TIPOS_OPCION_E,0)),OR($A58="SELECCION_MEJOR_RESPUESTA",$A58="SELECCION_SIMPLE",$A58="SELECCION_UNICA",$A58="SELECCION_DE_LA_MEJOR_RESPUESTA",$A58="SUBITEM_CASO",$A58="SUBITEM_DE_CASO_O_PROBLEMA")),TRUE,LEN(TRIM($E58))=0)</formula1>
    </dataValidation>
    <dataValidation sqref="E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IF(OR(ISNUMBER(MATCH($A59,TIPOS_OPCION_E,0)),OR($A59="SELECCION_MEJOR_RESPUESTA",$A59="SELECCION_SIMPLE",$A59="SELECCION_UNICA",$A59="SELECCION_DE_LA_MEJOR_RESPUESTA",$A59="SUBITEM_CASO",$A59="SUBITEM_DE_CASO_O_PROBLEMA")),TRUE,LEN(TRIM($E59))=0)</formula1>
    </dataValidation>
    <dataValidation sqref="E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IF(OR(ISNUMBER(MATCH($A6,TIPOS_OPCION_E,0)),OR($A6="SELECCION_MEJOR_RESPUESTA",$A6="SELECCION_SIMPLE",$A6="SELECCION_UNICA",$A6="SELECCION_DE_LA_MEJOR_RESPUESTA",$A6="SUBITEM_CASO",$A6="SUBITEM_DE_CASO_O_PROBLEMA")),TRUE,LEN(TRIM($E6))=0)</formula1>
    </dataValidation>
    <dataValidation sqref="E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IF(OR(ISNUMBER(MATCH($A60,TIPOS_OPCION_E,0)),OR($A60="SELECCION_MEJOR_RESPUESTA",$A60="SELECCION_SIMPLE",$A60="SELECCION_UNICA",$A60="SELECCION_DE_LA_MEJOR_RESPUESTA",$A60="SUBITEM_CASO",$A60="SUBITEM_DE_CASO_O_PROBLEMA")),TRUE,LEN(TRIM($E60))=0)</formula1>
    </dataValidation>
    <dataValidation sqref="E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IF(OR(ISNUMBER(MATCH($A61,TIPOS_OPCION_E,0)),OR($A61="SELECCION_MEJOR_RESPUESTA",$A61="SELECCION_SIMPLE",$A61="SELECCION_UNICA",$A61="SELECCION_DE_LA_MEJOR_RESPUESTA",$A61="SUBITEM_CASO",$A61="SUBITEM_DE_CASO_O_PROBLEMA")),TRUE,LEN(TRIM($E61))=0)</formula1>
    </dataValidation>
    <dataValidation sqref="E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IF(OR(ISNUMBER(MATCH($A7,TIPOS_OPCION_E,0)),OR($A7="SELECCION_MEJOR_RESPUESTA",$A7="SELECCION_SIMPLE",$A7="SELECCION_UNICA",$A7="SELECCION_DE_LA_MEJOR_RESPUESTA",$A7="SUBITEM_CASO",$A7="SUBITEM_DE_CASO_O_PROBLEMA")),TRUE,LEN(TRIM($E7))=0)</formula1>
    </dataValidation>
    <dataValidation sqref="E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IF(OR(ISNUMBER(MATCH($A8,TIPOS_OPCION_E,0)),OR($A8="SELECCION_MEJOR_RESPUESTA",$A8="SELECCION_SIMPLE",$A8="SELECCION_UNICA",$A8="SELECCION_DE_LA_MEJOR_RESPUESTA",$A8="SUBITEM_CASO",$A8="SUBITEM_DE_CASO_O_PROBLEMA")),TRUE,LEN(TRIM($E8))=0)</formula1>
    </dataValidation>
    <dataValidation sqref="E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IF(OR(ISNUMBER(MATCH($A9,TIPOS_OPCION_E,0)),OR($A9="SELECCION_MEJOR_RESPUESTA",$A9="SELECCION_SIMPLE",$A9="SELECCION_UNICA",$A9="SELECCION_DE_LA_MEJOR_RESPUESTA",$A9="SUBITEM_CASO",$A9="SUBITEM_DE_CASO_O_PROBLEMA")),TRUE,LEN(TRIM($E9))=0)</formula1>
    </dataValidation>
    <dataValidation sqref="F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IF(OR(ISNUMBER(MATCH($A10,TIPOS_OPCION_F,0)),OR($A10="SELECCION_MEJOR_RESPUESTA",$A10="SELECCION_SIMPLE",$A10="SELECCION_UNICA",$A10="SELECCION_DE_LA_MEJOR_RESPUESTA",$A10="SUBITEM_CASO",$A10="SUBITEM_DE_CASO_O_PROBLEMA")),TRUE,LEN(TRIM($F10))=0)</formula1>
    </dataValidation>
    <dataValidation sqref="F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IF(OR(ISNUMBER(MATCH($A11,TIPOS_OPCION_F,0)),OR($A11="SELECCION_MEJOR_RESPUESTA",$A11="SELECCION_SIMPLE",$A11="SELECCION_UNICA",$A11="SELECCION_DE_LA_MEJOR_RESPUESTA",$A11="SUBITEM_CASO",$A11="SUBITEM_DE_CASO_O_PROBLEMA")),TRUE,LEN(TRIM($F11))=0)</formula1>
    </dataValidation>
    <dataValidation sqref="F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IF(OR(ISNUMBER(MATCH($A12,TIPOS_OPCION_F,0)),OR($A12="SELECCION_MEJOR_RESPUESTA",$A12="SELECCION_SIMPLE",$A12="SELECCION_UNICA",$A12="SELECCION_DE_LA_MEJOR_RESPUESTA",$A12="SUBITEM_CASO",$A12="SUBITEM_DE_CASO_O_PROBLEMA")),TRUE,LEN(TRIM($F12))=0)</formula1>
    </dataValidation>
    <dataValidation sqref="F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IF(OR(ISNUMBER(MATCH($A13,TIPOS_OPCION_F,0)),OR($A13="SELECCION_MEJOR_RESPUESTA",$A13="SELECCION_SIMPLE",$A13="SELECCION_UNICA",$A13="SELECCION_DE_LA_MEJOR_RESPUESTA",$A13="SUBITEM_CASO",$A13="SUBITEM_DE_CASO_O_PROBLEMA")),TRUE,LEN(TRIM($F13))=0)</formula1>
    </dataValidation>
    <dataValidation sqref="F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IF(OR(ISNUMBER(MATCH($A14,TIPOS_OPCION_F,0)),OR($A14="SELECCION_MEJOR_RESPUESTA",$A14="SELECCION_SIMPLE",$A14="SELECCION_UNICA",$A14="SELECCION_DE_LA_MEJOR_RESPUESTA",$A14="SUBITEM_CASO",$A14="SUBITEM_DE_CASO_O_PROBLEMA")),TRUE,LEN(TRIM($F14))=0)</formula1>
    </dataValidation>
    <dataValidation sqref="F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IF(OR(ISNUMBER(MATCH($A15,TIPOS_OPCION_F,0)),OR($A15="SELECCION_MEJOR_RESPUESTA",$A15="SELECCION_SIMPLE",$A15="SELECCION_UNICA",$A15="SELECCION_DE_LA_MEJOR_RESPUESTA",$A15="SUBITEM_CASO",$A15="SUBITEM_DE_CASO_O_PROBLEMA")),TRUE,LEN(TRIM($F15))=0)</formula1>
    </dataValidation>
    <dataValidation sqref="F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IF(OR(ISNUMBER(MATCH($A16,TIPOS_OPCION_F,0)),OR($A16="SELECCION_MEJOR_RESPUESTA",$A16="SELECCION_SIMPLE",$A16="SELECCION_UNICA",$A16="SELECCION_DE_LA_MEJOR_RESPUESTA",$A16="SUBITEM_CASO",$A16="SUBITEM_DE_CASO_O_PROBLEMA")),TRUE,LEN(TRIM($F16))=0)</formula1>
    </dataValidation>
    <dataValidation sqref="F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IF(OR(ISNUMBER(MATCH($A17,TIPOS_OPCION_F,0)),OR($A17="SELECCION_MEJOR_RESPUESTA",$A17="SELECCION_SIMPLE",$A17="SELECCION_UNICA",$A17="SELECCION_DE_LA_MEJOR_RESPUESTA",$A17="SUBITEM_CASO",$A17="SUBITEM_DE_CASO_O_PROBLEMA")),TRUE,LEN(TRIM($F17))=0)</formula1>
    </dataValidation>
    <dataValidation sqref="F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IF(OR(ISNUMBER(MATCH($A18,TIPOS_OPCION_F,0)),OR($A18="SELECCION_MEJOR_RESPUESTA",$A18="SELECCION_SIMPLE",$A18="SELECCION_UNICA",$A18="SELECCION_DE_LA_MEJOR_RESPUESTA",$A18="SUBITEM_CASO",$A18="SUBITEM_DE_CASO_O_PROBLEMA")),TRUE,LEN(TRIM($F18))=0)</formula1>
    </dataValidation>
    <dataValidation sqref="F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IF(OR(ISNUMBER(MATCH($A19,TIPOS_OPCION_F,0)),OR($A19="SELECCION_MEJOR_RESPUESTA",$A19="SELECCION_SIMPLE",$A19="SELECCION_UNICA",$A19="SELECCION_DE_LA_MEJOR_RESPUESTA",$A19="SUBITEM_CASO",$A19="SUBITEM_DE_CASO_O_PROBLEMA")),TRUE,LEN(TRIM($F19))=0)</formula1>
    </dataValidation>
    <dataValidation sqref="F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IF(OR(ISNUMBER(MATCH($A2,TIPOS_OPCION_F,0)),OR($A2="SELECCION_MEJOR_RESPUESTA",$A2="SELECCION_SIMPLE",$A2="SELECCION_UNICA",$A2="SELECCION_DE_LA_MEJOR_RESPUESTA",$A2="SUBITEM_CASO",$A2="SUBITEM_DE_CASO_O_PROBLEMA")),TRUE,LEN(TRIM($F2))=0)</formula1>
    </dataValidation>
    <dataValidation sqref="F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IF(OR(ISNUMBER(MATCH($A20,TIPOS_OPCION_F,0)),OR($A20="SELECCION_MEJOR_RESPUESTA",$A20="SELECCION_SIMPLE",$A20="SELECCION_UNICA",$A20="SELECCION_DE_LA_MEJOR_RESPUESTA",$A20="SUBITEM_CASO",$A20="SUBITEM_DE_CASO_O_PROBLEMA")),TRUE,LEN(TRIM($F20))=0)</formula1>
    </dataValidation>
    <dataValidation sqref="F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IF(OR(ISNUMBER(MATCH($A21,TIPOS_OPCION_F,0)),OR($A21="SELECCION_MEJOR_RESPUESTA",$A21="SELECCION_SIMPLE",$A21="SELECCION_UNICA",$A21="SELECCION_DE_LA_MEJOR_RESPUESTA",$A21="SUBITEM_CASO",$A21="SUBITEM_DE_CASO_O_PROBLEMA")),TRUE,LEN(TRIM($F21))=0)</formula1>
    </dataValidation>
    <dataValidation sqref="F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IF(OR(ISNUMBER(MATCH($A22,TIPOS_OPCION_F,0)),OR($A22="SELECCION_MEJOR_RESPUESTA",$A22="SELECCION_SIMPLE",$A22="SELECCION_UNICA",$A22="SELECCION_DE_LA_MEJOR_RESPUESTA",$A22="SUBITEM_CASO",$A22="SUBITEM_DE_CASO_O_PROBLEMA")),TRUE,LEN(TRIM($F22))=0)</formula1>
    </dataValidation>
    <dataValidation sqref="F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IF(OR(ISNUMBER(MATCH($A23,TIPOS_OPCION_F,0)),OR($A23="SELECCION_MEJOR_RESPUESTA",$A23="SELECCION_SIMPLE",$A23="SELECCION_UNICA",$A23="SELECCION_DE_LA_MEJOR_RESPUESTA",$A23="SUBITEM_CASO",$A23="SUBITEM_DE_CASO_O_PROBLEMA")),TRUE,LEN(TRIM($F23))=0)</formula1>
    </dataValidation>
    <dataValidation sqref="F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IF(OR(ISNUMBER(MATCH($A24,TIPOS_OPCION_F,0)),OR($A24="SELECCION_MEJOR_RESPUESTA",$A24="SELECCION_SIMPLE",$A24="SELECCION_UNICA",$A24="SELECCION_DE_LA_MEJOR_RESPUESTA",$A24="SUBITEM_CASO",$A24="SUBITEM_DE_CASO_O_PROBLEMA")),TRUE,LEN(TRIM($F24))=0)</formula1>
    </dataValidation>
    <dataValidation sqref="F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IF(OR(ISNUMBER(MATCH($A25,TIPOS_OPCION_F,0)),OR($A25="SELECCION_MEJOR_RESPUESTA",$A25="SELECCION_SIMPLE",$A25="SELECCION_UNICA",$A25="SELECCION_DE_LA_MEJOR_RESPUESTA",$A25="SUBITEM_CASO",$A25="SUBITEM_DE_CASO_O_PROBLEMA")),TRUE,LEN(TRIM($F25))=0)</formula1>
    </dataValidation>
    <dataValidation sqref="F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IF(OR(ISNUMBER(MATCH($A26,TIPOS_OPCION_F,0)),OR($A26="SELECCION_MEJOR_RESPUESTA",$A26="SELECCION_SIMPLE",$A26="SELECCION_UNICA",$A26="SELECCION_DE_LA_MEJOR_RESPUESTA",$A26="SUBITEM_CASO",$A26="SUBITEM_DE_CASO_O_PROBLEMA")),TRUE,LEN(TRIM($F26))=0)</formula1>
    </dataValidation>
    <dataValidation sqref="F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IF(OR(ISNUMBER(MATCH($A27,TIPOS_OPCION_F,0)),OR($A27="SELECCION_MEJOR_RESPUESTA",$A27="SELECCION_SIMPLE",$A27="SELECCION_UNICA",$A27="SELECCION_DE_LA_MEJOR_RESPUESTA",$A27="SUBITEM_CASO",$A27="SUBITEM_DE_CASO_O_PROBLEMA")),TRUE,LEN(TRIM($F27))=0)</formula1>
    </dataValidation>
    <dataValidation sqref="F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IF(OR(ISNUMBER(MATCH($A28,TIPOS_OPCION_F,0)),OR($A28="SELECCION_MEJOR_RESPUESTA",$A28="SELECCION_SIMPLE",$A28="SELECCION_UNICA",$A28="SELECCION_DE_LA_MEJOR_RESPUESTA",$A28="SUBITEM_CASO",$A28="SUBITEM_DE_CASO_O_PROBLEMA")),TRUE,LEN(TRIM($F28))=0)</formula1>
    </dataValidation>
    <dataValidation sqref="F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IF(OR(ISNUMBER(MATCH($A29,TIPOS_OPCION_F,0)),OR($A29="SELECCION_MEJOR_RESPUESTA",$A29="SELECCION_SIMPLE",$A29="SELECCION_UNICA",$A29="SELECCION_DE_LA_MEJOR_RESPUESTA",$A29="SUBITEM_CASO",$A29="SUBITEM_DE_CASO_O_PROBLEMA")),TRUE,LEN(TRIM($F29))=0)</formula1>
    </dataValidation>
    <dataValidation sqref="F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IF(OR(ISNUMBER(MATCH($A3,TIPOS_OPCION_F,0)),OR($A3="SELECCION_MEJOR_RESPUESTA",$A3="SELECCION_SIMPLE",$A3="SELECCION_UNICA",$A3="SELECCION_DE_LA_MEJOR_RESPUESTA",$A3="SUBITEM_CASO",$A3="SUBITEM_DE_CASO_O_PROBLEMA")),TRUE,LEN(TRIM($F3))=0)</formula1>
    </dataValidation>
    <dataValidation sqref="F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IF(OR(ISNUMBER(MATCH($A30,TIPOS_OPCION_F,0)),OR($A30="SELECCION_MEJOR_RESPUESTA",$A30="SELECCION_SIMPLE",$A30="SELECCION_UNICA",$A30="SELECCION_DE_LA_MEJOR_RESPUESTA",$A30="SUBITEM_CASO",$A30="SUBITEM_DE_CASO_O_PROBLEMA")),TRUE,LEN(TRIM($F30))=0)</formula1>
    </dataValidation>
    <dataValidation sqref="F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IF(OR(ISNUMBER(MATCH($A31,TIPOS_OPCION_F,0)),OR($A31="SELECCION_MEJOR_RESPUESTA",$A31="SELECCION_SIMPLE",$A31="SELECCION_UNICA",$A31="SELECCION_DE_LA_MEJOR_RESPUESTA",$A31="SUBITEM_CASO",$A31="SUBITEM_DE_CASO_O_PROBLEMA")),TRUE,LEN(TRIM($F31))=0)</formula1>
    </dataValidation>
    <dataValidation sqref="F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IF(OR(ISNUMBER(MATCH($A32,TIPOS_OPCION_F,0)),OR($A32="SELECCION_MEJOR_RESPUESTA",$A32="SELECCION_SIMPLE",$A32="SELECCION_UNICA",$A32="SELECCION_DE_LA_MEJOR_RESPUESTA",$A32="SUBITEM_CASO",$A32="SUBITEM_DE_CASO_O_PROBLEMA")),TRUE,LEN(TRIM($F32))=0)</formula1>
    </dataValidation>
    <dataValidation sqref="F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IF(OR(ISNUMBER(MATCH($A33,TIPOS_OPCION_F,0)),OR($A33="SELECCION_MEJOR_RESPUESTA",$A33="SELECCION_SIMPLE",$A33="SELECCION_UNICA",$A33="SELECCION_DE_LA_MEJOR_RESPUESTA",$A33="SUBITEM_CASO",$A33="SUBITEM_DE_CASO_O_PROBLEMA")),TRUE,LEN(TRIM($F33))=0)</formula1>
    </dataValidation>
    <dataValidation sqref="F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IF(OR(ISNUMBER(MATCH($A34,TIPOS_OPCION_F,0)),OR($A34="SELECCION_MEJOR_RESPUESTA",$A34="SELECCION_SIMPLE",$A34="SELECCION_UNICA",$A34="SELECCION_DE_LA_MEJOR_RESPUESTA",$A34="SUBITEM_CASO",$A34="SUBITEM_DE_CASO_O_PROBLEMA")),TRUE,LEN(TRIM($F34))=0)</formula1>
    </dataValidation>
    <dataValidation sqref="F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IF(OR(ISNUMBER(MATCH($A35,TIPOS_OPCION_F,0)),OR($A35="SELECCION_MEJOR_RESPUESTA",$A35="SELECCION_SIMPLE",$A35="SELECCION_UNICA",$A35="SELECCION_DE_LA_MEJOR_RESPUESTA",$A35="SUBITEM_CASO",$A35="SUBITEM_DE_CASO_O_PROBLEMA")),TRUE,LEN(TRIM($F35))=0)</formula1>
    </dataValidation>
    <dataValidation sqref="F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IF(OR(ISNUMBER(MATCH($A36,TIPOS_OPCION_F,0)),OR($A36="SELECCION_MEJOR_RESPUESTA",$A36="SELECCION_SIMPLE",$A36="SELECCION_UNICA",$A36="SELECCION_DE_LA_MEJOR_RESPUESTA",$A36="SUBITEM_CASO",$A36="SUBITEM_DE_CASO_O_PROBLEMA")),TRUE,LEN(TRIM($F36))=0)</formula1>
    </dataValidation>
    <dataValidation sqref="F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IF(OR(ISNUMBER(MATCH($A37,TIPOS_OPCION_F,0)),OR($A37="SELECCION_MEJOR_RESPUESTA",$A37="SELECCION_SIMPLE",$A37="SELECCION_UNICA",$A37="SELECCION_DE_LA_MEJOR_RESPUESTA",$A37="SUBITEM_CASO",$A37="SUBITEM_DE_CASO_O_PROBLEMA")),TRUE,LEN(TRIM($F37))=0)</formula1>
    </dataValidation>
    <dataValidation sqref="F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IF(OR(ISNUMBER(MATCH($A38,TIPOS_OPCION_F,0)),OR($A38="SELECCION_MEJOR_RESPUESTA",$A38="SELECCION_SIMPLE",$A38="SELECCION_UNICA",$A38="SELECCION_DE_LA_MEJOR_RESPUESTA",$A38="SUBITEM_CASO",$A38="SUBITEM_DE_CASO_O_PROBLEMA")),TRUE,LEN(TRIM($F38))=0)</formula1>
    </dataValidation>
    <dataValidation sqref="F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IF(OR(ISNUMBER(MATCH($A39,TIPOS_OPCION_F,0)),OR($A39="SELECCION_MEJOR_RESPUESTA",$A39="SELECCION_SIMPLE",$A39="SELECCION_UNICA",$A39="SELECCION_DE_LA_MEJOR_RESPUESTA",$A39="SUBITEM_CASO",$A39="SUBITEM_DE_CASO_O_PROBLEMA")),TRUE,LEN(TRIM($F39))=0)</formula1>
    </dataValidation>
    <dataValidation sqref="F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IF(OR(ISNUMBER(MATCH($A4,TIPOS_OPCION_F,0)),OR($A4="SELECCION_MEJOR_RESPUESTA",$A4="SELECCION_SIMPLE",$A4="SELECCION_UNICA",$A4="SELECCION_DE_LA_MEJOR_RESPUESTA",$A4="SUBITEM_CASO",$A4="SUBITEM_DE_CASO_O_PROBLEMA")),TRUE,LEN(TRIM($F4))=0)</formula1>
    </dataValidation>
    <dataValidation sqref="F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IF(OR(ISNUMBER(MATCH($A40,TIPOS_OPCION_F,0)),OR($A40="SELECCION_MEJOR_RESPUESTA",$A40="SELECCION_SIMPLE",$A40="SELECCION_UNICA",$A40="SELECCION_DE_LA_MEJOR_RESPUESTA",$A40="SUBITEM_CASO",$A40="SUBITEM_DE_CASO_O_PROBLEMA")),TRUE,LEN(TRIM($F40))=0)</formula1>
    </dataValidation>
    <dataValidation sqref="F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IF(OR(ISNUMBER(MATCH($A41,TIPOS_OPCION_F,0)),OR($A41="SELECCION_MEJOR_RESPUESTA",$A41="SELECCION_SIMPLE",$A41="SELECCION_UNICA",$A41="SELECCION_DE_LA_MEJOR_RESPUESTA",$A41="SUBITEM_CASO",$A41="SUBITEM_DE_CASO_O_PROBLEMA")),TRUE,LEN(TRIM($F41))=0)</formula1>
    </dataValidation>
    <dataValidation sqref="F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IF(OR(ISNUMBER(MATCH($A42,TIPOS_OPCION_F,0)),OR($A42="SELECCION_MEJOR_RESPUESTA",$A42="SELECCION_SIMPLE",$A42="SELECCION_UNICA",$A42="SELECCION_DE_LA_MEJOR_RESPUESTA",$A42="SUBITEM_CASO",$A42="SUBITEM_DE_CASO_O_PROBLEMA")),TRUE,LEN(TRIM($F42))=0)</formula1>
    </dataValidation>
    <dataValidation sqref="F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IF(OR(ISNUMBER(MATCH($A43,TIPOS_OPCION_F,0)),OR($A43="SELECCION_MEJOR_RESPUESTA",$A43="SELECCION_SIMPLE",$A43="SELECCION_UNICA",$A43="SELECCION_DE_LA_MEJOR_RESPUESTA",$A43="SUBITEM_CASO",$A43="SUBITEM_DE_CASO_O_PROBLEMA")),TRUE,LEN(TRIM($F43))=0)</formula1>
    </dataValidation>
    <dataValidation sqref="F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IF(OR(ISNUMBER(MATCH($A44,TIPOS_OPCION_F,0)),OR($A44="SELECCION_MEJOR_RESPUESTA",$A44="SELECCION_SIMPLE",$A44="SELECCION_UNICA",$A44="SELECCION_DE_LA_MEJOR_RESPUESTA",$A44="SUBITEM_CASO",$A44="SUBITEM_DE_CASO_O_PROBLEMA")),TRUE,LEN(TRIM($F44))=0)</formula1>
    </dataValidation>
    <dataValidation sqref="F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IF(OR(ISNUMBER(MATCH($A45,TIPOS_OPCION_F,0)),OR($A45="SELECCION_MEJOR_RESPUESTA",$A45="SELECCION_SIMPLE",$A45="SELECCION_UNICA",$A45="SELECCION_DE_LA_MEJOR_RESPUESTA",$A45="SUBITEM_CASO",$A45="SUBITEM_DE_CASO_O_PROBLEMA")),TRUE,LEN(TRIM($F45))=0)</formula1>
    </dataValidation>
    <dataValidation sqref="F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IF(OR(ISNUMBER(MATCH($A46,TIPOS_OPCION_F,0)),OR($A46="SELECCION_MEJOR_RESPUESTA",$A46="SELECCION_SIMPLE",$A46="SELECCION_UNICA",$A46="SELECCION_DE_LA_MEJOR_RESPUESTA",$A46="SUBITEM_CASO",$A46="SUBITEM_DE_CASO_O_PROBLEMA")),TRUE,LEN(TRIM($F46))=0)</formula1>
    </dataValidation>
    <dataValidation sqref="F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IF(OR(ISNUMBER(MATCH($A47,TIPOS_OPCION_F,0)),OR($A47="SELECCION_MEJOR_RESPUESTA",$A47="SELECCION_SIMPLE",$A47="SELECCION_UNICA",$A47="SELECCION_DE_LA_MEJOR_RESPUESTA",$A47="SUBITEM_CASO",$A47="SUBITEM_DE_CASO_O_PROBLEMA")),TRUE,LEN(TRIM($F47))=0)</formula1>
    </dataValidation>
    <dataValidation sqref="F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IF(OR(ISNUMBER(MATCH($A48,TIPOS_OPCION_F,0)),OR($A48="SELECCION_MEJOR_RESPUESTA",$A48="SELECCION_SIMPLE",$A48="SELECCION_UNICA",$A48="SELECCION_DE_LA_MEJOR_RESPUESTA",$A48="SUBITEM_CASO",$A48="SUBITEM_DE_CASO_O_PROBLEMA")),TRUE,LEN(TRIM($F48))=0)</formula1>
    </dataValidation>
    <dataValidation sqref="F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IF(OR(ISNUMBER(MATCH($A49,TIPOS_OPCION_F,0)),OR($A49="SELECCION_MEJOR_RESPUESTA",$A49="SELECCION_SIMPLE",$A49="SELECCION_UNICA",$A49="SELECCION_DE_LA_MEJOR_RESPUESTA",$A49="SUBITEM_CASO",$A49="SUBITEM_DE_CASO_O_PROBLEMA")),TRUE,LEN(TRIM($F49))=0)</formula1>
    </dataValidation>
    <dataValidation sqref="F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IF(OR(ISNUMBER(MATCH($A5,TIPOS_OPCION_F,0)),OR($A5="SELECCION_MEJOR_RESPUESTA",$A5="SELECCION_SIMPLE",$A5="SELECCION_UNICA",$A5="SELECCION_DE_LA_MEJOR_RESPUESTA",$A5="SUBITEM_CASO",$A5="SUBITEM_DE_CASO_O_PROBLEMA")),TRUE,LEN(TRIM($F5))=0)</formula1>
    </dataValidation>
    <dataValidation sqref="F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IF(OR(ISNUMBER(MATCH($A50,TIPOS_OPCION_F,0)),OR($A50="SELECCION_MEJOR_RESPUESTA",$A50="SELECCION_SIMPLE",$A50="SELECCION_UNICA",$A50="SELECCION_DE_LA_MEJOR_RESPUESTA",$A50="SUBITEM_CASO",$A50="SUBITEM_DE_CASO_O_PROBLEMA")),TRUE,LEN(TRIM($F50))=0)</formula1>
    </dataValidation>
    <dataValidation sqref="F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IF(OR(ISNUMBER(MATCH($A51,TIPOS_OPCION_F,0)),OR($A51="SELECCION_MEJOR_RESPUESTA",$A51="SELECCION_SIMPLE",$A51="SELECCION_UNICA",$A51="SELECCION_DE_LA_MEJOR_RESPUESTA",$A51="SUBITEM_CASO",$A51="SUBITEM_DE_CASO_O_PROBLEMA")),TRUE,LEN(TRIM($F51))=0)</formula1>
    </dataValidation>
    <dataValidation sqref="F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IF(OR(ISNUMBER(MATCH($A52,TIPOS_OPCION_F,0)),OR($A52="SELECCION_MEJOR_RESPUESTA",$A52="SELECCION_SIMPLE",$A52="SELECCION_UNICA",$A52="SELECCION_DE_LA_MEJOR_RESPUESTA",$A52="SUBITEM_CASO",$A52="SUBITEM_DE_CASO_O_PROBLEMA")),TRUE,LEN(TRIM($F52))=0)</formula1>
    </dataValidation>
    <dataValidation sqref="F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IF(OR(ISNUMBER(MATCH($A53,TIPOS_OPCION_F,0)),OR($A53="SELECCION_MEJOR_RESPUESTA",$A53="SELECCION_SIMPLE",$A53="SELECCION_UNICA",$A53="SELECCION_DE_LA_MEJOR_RESPUESTA",$A53="SUBITEM_CASO",$A53="SUBITEM_DE_CASO_O_PROBLEMA")),TRUE,LEN(TRIM($F53))=0)</formula1>
    </dataValidation>
    <dataValidation sqref="F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IF(OR(ISNUMBER(MATCH($A54,TIPOS_OPCION_F,0)),OR($A54="SELECCION_MEJOR_RESPUESTA",$A54="SELECCION_SIMPLE",$A54="SELECCION_UNICA",$A54="SELECCION_DE_LA_MEJOR_RESPUESTA",$A54="SUBITEM_CASO",$A54="SUBITEM_DE_CASO_O_PROBLEMA")),TRUE,LEN(TRIM($F54))=0)</formula1>
    </dataValidation>
    <dataValidation sqref="F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IF(OR(ISNUMBER(MATCH($A55,TIPOS_OPCION_F,0)),OR($A55="SELECCION_MEJOR_RESPUESTA",$A55="SELECCION_SIMPLE",$A55="SELECCION_UNICA",$A55="SELECCION_DE_LA_MEJOR_RESPUESTA",$A55="SUBITEM_CASO",$A55="SUBITEM_DE_CASO_O_PROBLEMA")),TRUE,LEN(TRIM($F55))=0)</formula1>
    </dataValidation>
    <dataValidation sqref="F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IF(OR(ISNUMBER(MATCH($A56,TIPOS_OPCION_F,0)),OR($A56="SELECCION_MEJOR_RESPUESTA",$A56="SELECCION_SIMPLE",$A56="SELECCION_UNICA",$A56="SELECCION_DE_LA_MEJOR_RESPUESTA",$A56="SUBITEM_CASO",$A56="SUBITEM_DE_CASO_O_PROBLEMA")),TRUE,LEN(TRIM($F56))=0)</formula1>
    </dataValidation>
    <dataValidation sqref="F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IF(OR(ISNUMBER(MATCH($A57,TIPOS_OPCION_F,0)),OR($A57="SELECCION_MEJOR_RESPUESTA",$A57="SELECCION_SIMPLE",$A57="SELECCION_UNICA",$A57="SELECCION_DE_LA_MEJOR_RESPUESTA",$A57="SUBITEM_CASO",$A57="SUBITEM_DE_CASO_O_PROBLEMA")),TRUE,LEN(TRIM($F57))=0)</formula1>
    </dataValidation>
    <dataValidation sqref="F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IF(OR(ISNUMBER(MATCH($A58,TIPOS_OPCION_F,0)),OR($A58="SELECCION_MEJOR_RESPUESTA",$A58="SELECCION_SIMPLE",$A58="SELECCION_UNICA",$A58="SELECCION_DE_LA_MEJOR_RESPUESTA",$A58="SUBITEM_CASO",$A58="SUBITEM_DE_CASO_O_PROBLEMA")),TRUE,LEN(TRIM($F58))=0)</formula1>
    </dataValidation>
    <dataValidation sqref="F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IF(OR(ISNUMBER(MATCH($A59,TIPOS_OPCION_F,0)),OR($A59="SELECCION_MEJOR_RESPUESTA",$A59="SELECCION_SIMPLE",$A59="SELECCION_UNICA",$A59="SELECCION_DE_LA_MEJOR_RESPUESTA",$A59="SUBITEM_CASO",$A59="SUBITEM_DE_CASO_O_PROBLEMA")),TRUE,LEN(TRIM($F59))=0)</formula1>
    </dataValidation>
    <dataValidation sqref="F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IF(OR(ISNUMBER(MATCH($A6,TIPOS_OPCION_F,0)),OR($A6="SELECCION_MEJOR_RESPUESTA",$A6="SELECCION_SIMPLE",$A6="SELECCION_UNICA",$A6="SELECCION_DE_LA_MEJOR_RESPUESTA",$A6="SUBITEM_CASO",$A6="SUBITEM_DE_CASO_O_PROBLEMA")),TRUE,LEN(TRIM($F6))=0)</formula1>
    </dataValidation>
    <dataValidation sqref="F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IF(OR(ISNUMBER(MATCH($A60,TIPOS_OPCION_F,0)),OR($A60="SELECCION_MEJOR_RESPUESTA",$A60="SELECCION_SIMPLE",$A60="SELECCION_UNICA",$A60="SELECCION_DE_LA_MEJOR_RESPUESTA",$A60="SUBITEM_CASO",$A60="SUBITEM_DE_CASO_O_PROBLEMA")),TRUE,LEN(TRIM($F60))=0)</formula1>
    </dataValidation>
    <dataValidation sqref="F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IF(OR(ISNUMBER(MATCH($A61,TIPOS_OPCION_F,0)),OR($A61="SELECCION_MEJOR_RESPUESTA",$A61="SELECCION_SIMPLE",$A61="SELECCION_UNICA",$A61="SELECCION_DE_LA_MEJOR_RESPUESTA",$A61="SUBITEM_CASO",$A61="SUBITEM_DE_CASO_O_PROBLEMA")),TRUE,LEN(TRIM($F61))=0)</formula1>
    </dataValidation>
    <dataValidation sqref="F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IF(OR(ISNUMBER(MATCH($A7,TIPOS_OPCION_F,0)),OR($A7="SELECCION_MEJOR_RESPUESTA",$A7="SELECCION_SIMPLE",$A7="SELECCION_UNICA",$A7="SELECCION_DE_LA_MEJOR_RESPUESTA",$A7="SUBITEM_CASO",$A7="SUBITEM_DE_CASO_O_PROBLEMA")),TRUE,LEN(TRIM($F7))=0)</formula1>
    </dataValidation>
    <dataValidation sqref="F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IF(OR(ISNUMBER(MATCH($A8,TIPOS_OPCION_F,0)),OR($A8="SELECCION_MEJOR_RESPUESTA",$A8="SELECCION_SIMPLE",$A8="SELECCION_UNICA",$A8="SELECCION_DE_LA_MEJOR_RESPUESTA",$A8="SUBITEM_CASO",$A8="SUBITEM_DE_CASO_O_PROBLEMA")),TRUE,LEN(TRIM($F8))=0)</formula1>
    </dataValidation>
    <dataValidation sqref="F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IF(OR(ISNUMBER(MATCH($A9,TIPOS_OPCION_F,0)),OR($A9="SELECCION_MEJOR_RESPUESTA",$A9="SELECCION_SIMPLE",$A9="SELECCION_UNICA",$A9="SELECCION_DE_LA_MEJOR_RESPUESTA",$A9="SUBITEM_CASO",$A9="SUBITEM_DE_CASO_O_PROBLEMA")),TRUE,LEN(TRIM($F9))=0)</formula1>
    </dataValidation>
    <dataValidation sqref="G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IF(OR(ISNUMBER(MATCH($A10,TIPOS_OPCION_G,0)),OR($A10="SELECCION_MEJOR_RESPUESTA",$A10="SELECCION_SIMPLE",$A10="SELECCION_UNICA",$A10="SELECCION_DE_LA_MEJOR_RESPUESTA",$A10="SUBITEM_CASO",$A10="SUBITEM_DE_CASO_O_PROBLEMA")),TRUE,LEN(TRIM($G10))=0)</formula1>
    </dataValidation>
    <dataValidation sqref="G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IF(OR(ISNUMBER(MATCH($A11,TIPOS_OPCION_G,0)),OR($A11="SELECCION_MEJOR_RESPUESTA",$A11="SELECCION_SIMPLE",$A11="SELECCION_UNICA",$A11="SELECCION_DE_LA_MEJOR_RESPUESTA",$A11="SUBITEM_CASO",$A11="SUBITEM_DE_CASO_O_PROBLEMA")),TRUE,LEN(TRIM($G11))=0)</formula1>
    </dataValidation>
    <dataValidation sqref="G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IF(OR(ISNUMBER(MATCH($A12,TIPOS_OPCION_G,0)),OR($A12="SELECCION_MEJOR_RESPUESTA",$A12="SELECCION_SIMPLE",$A12="SELECCION_UNICA",$A12="SELECCION_DE_LA_MEJOR_RESPUESTA",$A12="SUBITEM_CASO",$A12="SUBITEM_DE_CASO_O_PROBLEMA")),TRUE,LEN(TRIM($G12))=0)</formula1>
    </dataValidation>
    <dataValidation sqref="G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IF(OR(ISNUMBER(MATCH($A13,TIPOS_OPCION_G,0)),OR($A13="SELECCION_MEJOR_RESPUESTA",$A13="SELECCION_SIMPLE",$A13="SELECCION_UNICA",$A13="SELECCION_DE_LA_MEJOR_RESPUESTA",$A13="SUBITEM_CASO",$A13="SUBITEM_DE_CASO_O_PROBLEMA")),TRUE,LEN(TRIM($G13))=0)</formula1>
    </dataValidation>
    <dataValidation sqref="G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IF(OR(ISNUMBER(MATCH($A14,TIPOS_OPCION_G,0)),OR($A14="SELECCION_MEJOR_RESPUESTA",$A14="SELECCION_SIMPLE",$A14="SELECCION_UNICA",$A14="SELECCION_DE_LA_MEJOR_RESPUESTA",$A14="SUBITEM_CASO",$A14="SUBITEM_DE_CASO_O_PROBLEMA")),TRUE,LEN(TRIM($G14))=0)</formula1>
    </dataValidation>
    <dataValidation sqref="G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IF(OR(ISNUMBER(MATCH($A15,TIPOS_OPCION_G,0)),OR($A15="SELECCION_MEJOR_RESPUESTA",$A15="SELECCION_SIMPLE",$A15="SELECCION_UNICA",$A15="SELECCION_DE_LA_MEJOR_RESPUESTA",$A15="SUBITEM_CASO",$A15="SUBITEM_DE_CASO_O_PROBLEMA")),TRUE,LEN(TRIM($G15))=0)</formula1>
    </dataValidation>
    <dataValidation sqref="G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IF(OR(ISNUMBER(MATCH($A16,TIPOS_OPCION_G,0)),OR($A16="SELECCION_MEJOR_RESPUESTA",$A16="SELECCION_SIMPLE",$A16="SELECCION_UNICA",$A16="SELECCION_DE_LA_MEJOR_RESPUESTA",$A16="SUBITEM_CASO",$A16="SUBITEM_DE_CASO_O_PROBLEMA")),TRUE,LEN(TRIM($G16))=0)</formula1>
    </dataValidation>
    <dataValidation sqref="G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IF(OR(ISNUMBER(MATCH($A17,TIPOS_OPCION_G,0)),OR($A17="SELECCION_MEJOR_RESPUESTA",$A17="SELECCION_SIMPLE",$A17="SELECCION_UNICA",$A17="SELECCION_DE_LA_MEJOR_RESPUESTA",$A17="SUBITEM_CASO",$A17="SUBITEM_DE_CASO_O_PROBLEMA")),TRUE,LEN(TRIM($G17))=0)</formula1>
    </dataValidation>
    <dataValidation sqref="G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IF(OR(ISNUMBER(MATCH($A18,TIPOS_OPCION_G,0)),OR($A18="SELECCION_MEJOR_RESPUESTA",$A18="SELECCION_SIMPLE",$A18="SELECCION_UNICA",$A18="SELECCION_DE_LA_MEJOR_RESPUESTA",$A18="SUBITEM_CASO",$A18="SUBITEM_DE_CASO_O_PROBLEMA")),TRUE,LEN(TRIM($G18))=0)</formula1>
    </dataValidation>
    <dataValidation sqref="G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IF(OR(ISNUMBER(MATCH($A19,TIPOS_OPCION_G,0)),OR($A19="SELECCION_MEJOR_RESPUESTA",$A19="SELECCION_SIMPLE",$A19="SELECCION_UNICA",$A19="SELECCION_DE_LA_MEJOR_RESPUESTA",$A19="SUBITEM_CASO",$A19="SUBITEM_DE_CASO_O_PROBLEMA")),TRUE,LEN(TRIM($G19))=0)</formula1>
    </dataValidation>
    <dataValidation sqref="G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IF(OR(ISNUMBER(MATCH($A2,TIPOS_OPCION_G,0)),OR($A2="SELECCION_MEJOR_RESPUESTA",$A2="SELECCION_SIMPLE",$A2="SELECCION_UNICA",$A2="SELECCION_DE_LA_MEJOR_RESPUESTA",$A2="SUBITEM_CASO",$A2="SUBITEM_DE_CASO_O_PROBLEMA")),TRUE,LEN(TRIM($G2))=0)</formula1>
    </dataValidation>
    <dataValidation sqref="G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IF(OR(ISNUMBER(MATCH($A20,TIPOS_OPCION_G,0)),OR($A20="SELECCION_MEJOR_RESPUESTA",$A20="SELECCION_SIMPLE",$A20="SELECCION_UNICA",$A20="SELECCION_DE_LA_MEJOR_RESPUESTA",$A20="SUBITEM_CASO",$A20="SUBITEM_DE_CASO_O_PROBLEMA")),TRUE,LEN(TRIM($G20))=0)</formula1>
    </dataValidation>
    <dataValidation sqref="G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IF(OR(ISNUMBER(MATCH($A21,TIPOS_OPCION_G,0)),OR($A21="SELECCION_MEJOR_RESPUESTA",$A21="SELECCION_SIMPLE",$A21="SELECCION_UNICA",$A21="SELECCION_DE_LA_MEJOR_RESPUESTA",$A21="SUBITEM_CASO",$A21="SUBITEM_DE_CASO_O_PROBLEMA")),TRUE,LEN(TRIM($G21))=0)</formula1>
    </dataValidation>
    <dataValidation sqref="G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IF(OR(ISNUMBER(MATCH($A22,TIPOS_OPCION_G,0)),OR($A22="SELECCION_MEJOR_RESPUESTA",$A22="SELECCION_SIMPLE",$A22="SELECCION_UNICA",$A22="SELECCION_DE_LA_MEJOR_RESPUESTA",$A22="SUBITEM_CASO",$A22="SUBITEM_DE_CASO_O_PROBLEMA")),TRUE,LEN(TRIM($G22))=0)</formula1>
    </dataValidation>
    <dataValidation sqref="G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IF(OR(ISNUMBER(MATCH($A23,TIPOS_OPCION_G,0)),OR($A23="SELECCION_MEJOR_RESPUESTA",$A23="SELECCION_SIMPLE",$A23="SELECCION_UNICA",$A23="SELECCION_DE_LA_MEJOR_RESPUESTA",$A23="SUBITEM_CASO",$A23="SUBITEM_DE_CASO_O_PROBLEMA")),TRUE,LEN(TRIM($G23))=0)</formula1>
    </dataValidation>
    <dataValidation sqref="G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IF(OR(ISNUMBER(MATCH($A24,TIPOS_OPCION_G,0)),OR($A24="SELECCION_MEJOR_RESPUESTA",$A24="SELECCION_SIMPLE",$A24="SELECCION_UNICA",$A24="SELECCION_DE_LA_MEJOR_RESPUESTA",$A24="SUBITEM_CASO",$A24="SUBITEM_DE_CASO_O_PROBLEMA")),TRUE,LEN(TRIM($G24))=0)</formula1>
    </dataValidation>
    <dataValidation sqref="G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IF(OR(ISNUMBER(MATCH($A25,TIPOS_OPCION_G,0)),OR($A25="SELECCION_MEJOR_RESPUESTA",$A25="SELECCION_SIMPLE",$A25="SELECCION_UNICA",$A25="SELECCION_DE_LA_MEJOR_RESPUESTA",$A25="SUBITEM_CASO",$A25="SUBITEM_DE_CASO_O_PROBLEMA")),TRUE,LEN(TRIM($G25))=0)</formula1>
    </dataValidation>
    <dataValidation sqref="G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IF(OR(ISNUMBER(MATCH($A26,TIPOS_OPCION_G,0)),OR($A26="SELECCION_MEJOR_RESPUESTA",$A26="SELECCION_SIMPLE",$A26="SELECCION_UNICA",$A26="SELECCION_DE_LA_MEJOR_RESPUESTA",$A26="SUBITEM_CASO",$A26="SUBITEM_DE_CASO_O_PROBLEMA")),TRUE,LEN(TRIM($G26))=0)</formula1>
    </dataValidation>
    <dataValidation sqref="G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IF(OR(ISNUMBER(MATCH($A27,TIPOS_OPCION_G,0)),OR($A27="SELECCION_MEJOR_RESPUESTA",$A27="SELECCION_SIMPLE",$A27="SELECCION_UNICA",$A27="SELECCION_DE_LA_MEJOR_RESPUESTA",$A27="SUBITEM_CASO",$A27="SUBITEM_DE_CASO_O_PROBLEMA")),TRUE,LEN(TRIM($G27))=0)</formula1>
    </dataValidation>
    <dataValidation sqref="G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IF(OR(ISNUMBER(MATCH($A28,TIPOS_OPCION_G,0)),OR($A28="SELECCION_MEJOR_RESPUESTA",$A28="SELECCION_SIMPLE",$A28="SELECCION_UNICA",$A28="SELECCION_DE_LA_MEJOR_RESPUESTA",$A28="SUBITEM_CASO",$A28="SUBITEM_DE_CASO_O_PROBLEMA")),TRUE,LEN(TRIM($G28))=0)</formula1>
    </dataValidation>
    <dataValidation sqref="G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IF(OR(ISNUMBER(MATCH($A29,TIPOS_OPCION_G,0)),OR($A29="SELECCION_MEJOR_RESPUESTA",$A29="SELECCION_SIMPLE",$A29="SELECCION_UNICA",$A29="SELECCION_DE_LA_MEJOR_RESPUESTA",$A29="SUBITEM_CASO",$A29="SUBITEM_DE_CASO_O_PROBLEMA")),TRUE,LEN(TRIM($G29))=0)</formula1>
    </dataValidation>
    <dataValidation sqref="G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IF(OR(ISNUMBER(MATCH($A3,TIPOS_OPCION_G,0)),OR($A3="SELECCION_MEJOR_RESPUESTA",$A3="SELECCION_SIMPLE",$A3="SELECCION_UNICA",$A3="SELECCION_DE_LA_MEJOR_RESPUESTA",$A3="SUBITEM_CASO",$A3="SUBITEM_DE_CASO_O_PROBLEMA")),TRUE,LEN(TRIM($G3))=0)</formula1>
    </dataValidation>
    <dataValidation sqref="G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IF(OR(ISNUMBER(MATCH($A30,TIPOS_OPCION_G,0)),OR($A30="SELECCION_MEJOR_RESPUESTA",$A30="SELECCION_SIMPLE",$A30="SELECCION_UNICA",$A30="SELECCION_DE_LA_MEJOR_RESPUESTA",$A30="SUBITEM_CASO",$A30="SUBITEM_DE_CASO_O_PROBLEMA")),TRUE,LEN(TRIM($G30))=0)</formula1>
    </dataValidation>
    <dataValidation sqref="G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IF(OR(ISNUMBER(MATCH($A31,TIPOS_OPCION_G,0)),OR($A31="SELECCION_MEJOR_RESPUESTA",$A31="SELECCION_SIMPLE",$A31="SELECCION_UNICA",$A31="SELECCION_DE_LA_MEJOR_RESPUESTA",$A31="SUBITEM_CASO",$A31="SUBITEM_DE_CASO_O_PROBLEMA")),TRUE,LEN(TRIM($G31))=0)</formula1>
    </dataValidation>
    <dataValidation sqref="G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IF(OR(ISNUMBER(MATCH($A32,TIPOS_OPCION_G,0)),OR($A32="SELECCION_MEJOR_RESPUESTA",$A32="SELECCION_SIMPLE",$A32="SELECCION_UNICA",$A32="SELECCION_DE_LA_MEJOR_RESPUESTA",$A32="SUBITEM_CASO",$A32="SUBITEM_DE_CASO_O_PROBLEMA")),TRUE,LEN(TRIM($G32))=0)</formula1>
    </dataValidation>
    <dataValidation sqref="G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IF(OR(ISNUMBER(MATCH($A33,TIPOS_OPCION_G,0)),OR($A33="SELECCION_MEJOR_RESPUESTA",$A33="SELECCION_SIMPLE",$A33="SELECCION_UNICA",$A33="SELECCION_DE_LA_MEJOR_RESPUESTA",$A33="SUBITEM_CASO",$A33="SUBITEM_DE_CASO_O_PROBLEMA")),TRUE,LEN(TRIM($G33))=0)</formula1>
    </dataValidation>
    <dataValidation sqref="G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IF(OR(ISNUMBER(MATCH($A34,TIPOS_OPCION_G,0)),OR($A34="SELECCION_MEJOR_RESPUESTA",$A34="SELECCION_SIMPLE",$A34="SELECCION_UNICA",$A34="SELECCION_DE_LA_MEJOR_RESPUESTA",$A34="SUBITEM_CASO",$A34="SUBITEM_DE_CASO_O_PROBLEMA")),TRUE,LEN(TRIM($G34))=0)</formula1>
    </dataValidation>
    <dataValidation sqref="G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IF(OR(ISNUMBER(MATCH($A35,TIPOS_OPCION_G,0)),OR($A35="SELECCION_MEJOR_RESPUESTA",$A35="SELECCION_SIMPLE",$A35="SELECCION_UNICA",$A35="SELECCION_DE_LA_MEJOR_RESPUESTA",$A35="SUBITEM_CASO",$A35="SUBITEM_DE_CASO_O_PROBLEMA")),TRUE,LEN(TRIM($G35))=0)</formula1>
    </dataValidation>
    <dataValidation sqref="G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IF(OR(ISNUMBER(MATCH($A36,TIPOS_OPCION_G,0)),OR($A36="SELECCION_MEJOR_RESPUESTA",$A36="SELECCION_SIMPLE",$A36="SELECCION_UNICA",$A36="SELECCION_DE_LA_MEJOR_RESPUESTA",$A36="SUBITEM_CASO",$A36="SUBITEM_DE_CASO_O_PROBLEMA")),TRUE,LEN(TRIM($G36))=0)</formula1>
    </dataValidation>
    <dataValidation sqref="G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IF(OR(ISNUMBER(MATCH($A37,TIPOS_OPCION_G,0)),OR($A37="SELECCION_MEJOR_RESPUESTA",$A37="SELECCION_SIMPLE",$A37="SELECCION_UNICA",$A37="SELECCION_DE_LA_MEJOR_RESPUESTA",$A37="SUBITEM_CASO",$A37="SUBITEM_DE_CASO_O_PROBLEMA")),TRUE,LEN(TRIM($G37))=0)</formula1>
    </dataValidation>
    <dataValidation sqref="G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IF(OR(ISNUMBER(MATCH($A38,TIPOS_OPCION_G,0)),OR($A38="SELECCION_MEJOR_RESPUESTA",$A38="SELECCION_SIMPLE",$A38="SELECCION_UNICA",$A38="SELECCION_DE_LA_MEJOR_RESPUESTA",$A38="SUBITEM_CASO",$A38="SUBITEM_DE_CASO_O_PROBLEMA")),TRUE,LEN(TRIM($G38))=0)</formula1>
    </dataValidation>
    <dataValidation sqref="G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IF(OR(ISNUMBER(MATCH($A39,TIPOS_OPCION_G,0)),OR($A39="SELECCION_MEJOR_RESPUESTA",$A39="SELECCION_SIMPLE",$A39="SELECCION_UNICA",$A39="SELECCION_DE_LA_MEJOR_RESPUESTA",$A39="SUBITEM_CASO",$A39="SUBITEM_DE_CASO_O_PROBLEMA")),TRUE,LEN(TRIM($G39))=0)</formula1>
    </dataValidation>
    <dataValidation sqref="G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IF(OR(ISNUMBER(MATCH($A4,TIPOS_OPCION_G,0)),OR($A4="SELECCION_MEJOR_RESPUESTA",$A4="SELECCION_SIMPLE",$A4="SELECCION_UNICA",$A4="SELECCION_DE_LA_MEJOR_RESPUESTA",$A4="SUBITEM_CASO",$A4="SUBITEM_DE_CASO_O_PROBLEMA")),TRUE,LEN(TRIM($G4))=0)</formula1>
    </dataValidation>
    <dataValidation sqref="G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IF(OR(ISNUMBER(MATCH($A40,TIPOS_OPCION_G,0)),OR($A40="SELECCION_MEJOR_RESPUESTA",$A40="SELECCION_SIMPLE",$A40="SELECCION_UNICA",$A40="SELECCION_DE_LA_MEJOR_RESPUESTA",$A40="SUBITEM_CASO",$A40="SUBITEM_DE_CASO_O_PROBLEMA")),TRUE,LEN(TRIM($G40))=0)</formula1>
    </dataValidation>
    <dataValidation sqref="G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IF(OR(ISNUMBER(MATCH($A41,TIPOS_OPCION_G,0)),OR($A41="SELECCION_MEJOR_RESPUESTA",$A41="SELECCION_SIMPLE",$A41="SELECCION_UNICA",$A41="SELECCION_DE_LA_MEJOR_RESPUESTA",$A41="SUBITEM_CASO",$A41="SUBITEM_DE_CASO_O_PROBLEMA")),TRUE,LEN(TRIM($G41))=0)</formula1>
    </dataValidation>
    <dataValidation sqref="G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IF(OR(ISNUMBER(MATCH($A42,TIPOS_OPCION_G,0)),OR($A42="SELECCION_MEJOR_RESPUESTA",$A42="SELECCION_SIMPLE",$A42="SELECCION_UNICA",$A42="SELECCION_DE_LA_MEJOR_RESPUESTA",$A42="SUBITEM_CASO",$A42="SUBITEM_DE_CASO_O_PROBLEMA")),TRUE,LEN(TRIM($G42))=0)</formula1>
    </dataValidation>
    <dataValidation sqref="G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IF(OR(ISNUMBER(MATCH($A43,TIPOS_OPCION_G,0)),OR($A43="SELECCION_MEJOR_RESPUESTA",$A43="SELECCION_SIMPLE",$A43="SELECCION_UNICA",$A43="SELECCION_DE_LA_MEJOR_RESPUESTA",$A43="SUBITEM_CASO",$A43="SUBITEM_DE_CASO_O_PROBLEMA")),TRUE,LEN(TRIM($G43))=0)</formula1>
    </dataValidation>
    <dataValidation sqref="G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IF(OR(ISNUMBER(MATCH($A44,TIPOS_OPCION_G,0)),OR($A44="SELECCION_MEJOR_RESPUESTA",$A44="SELECCION_SIMPLE",$A44="SELECCION_UNICA",$A44="SELECCION_DE_LA_MEJOR_RESPUESTA",$A44="SUBITEM_CASO",$A44="SUBITEM_DE_CASO_O_PROBLEMA")),TRUE,LEN(TRIM($G44))=0)</formula1>
    </dataValidation>
    <dataValidation sqref="G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IF(OR(ISNUMBER(MATCH($A45,TIPOS_OPCION_G,0)),OR($A45="SELECCION_MEJOR_RESPUESTA",$A45="SELECCION_SIMPLE",$A45="SELECCION_UNICA",$A45="SELECCION_DE_LA_MEJOR_RESPUESTA",$A45="SUBITEM_CASO",$A45="SUBITEM_DE_CASO_O_PROBLEMA")),TRUE,LEN(TRIM($G45))=0)</formula1>
    </dataValidation>
    <dataValidation sqref="G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IF(OR(ISNUMBER(MATCH($A46,TIPOS_OPCION_G,0)),OR($A46="SELECCION_MEJOR_RESPUESTA",$A46="SELECCION_SIMPLE",$A46="SELECCION_UNICA",$A46="SELECCION_DE_LA_MEJOR_RESPUESTA",$A46="SUBITEM_CASO",$A46="SUBITEM_DE_CASO_O_PROBLEMA")),TRUE,LEN(TRIM($G46))=0)</formula1>
    </dataValidation>
    <dataValidation sqref="G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IF(OR(ISNUMBER(MATCH($A47,TIPOS_OPCION_G,0)),OR($A47="SELECCION_MEJOR_RESPUESTA",$A47="SELECCION_SIMPLE",$A47="SELECCION_UNICA",$A47="SELECCION_DE_LA_MEJOR_RESPUESTA",$A47="SUBITEM_CASO",$A47="SUBITEM_DE_CASO_O_PROBLEMA")),TRUE,LEN(TRIM($G47))=0)</formula1>
    </dataValidation>
    <dataValidation sqref="G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IF(OR(ISNUMBER(MATCH($A48,TIPOS_OPCION_G,0)),OR($A48="SELECCION_MEJOR_RESPUESTA",$A48="SELECCION_SIMPLE",$A48="SELECCION_UNICA",$A48="SELECCION_DE_LA_MEJOR_RESPUESTA",$A48="SUBITEM_CASO",$A48="SUBITEM_DE_CASO_O_PROBLEMA")),TRUE,LEN(TRIM($G48))=0)</formula1>
    </dataValidation>
    <dataValidation sqref="G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IF(OR(ISNUMBER(MATCH($A49,TIPOS_OPCION_G,0)),OR($A49="SELECCION_MEJOR_RESPUESTA",$A49="SELECCION_SIMPLE",$A49="SELECCION_UNICA",$A49="SELECCION_DE_LA_MEJOR_RESPUESTA",$A49="SUBITEM_CASO",$A49="SUBITEM_DE_CASO_O_PROBLEMA")),TRUE,LEN(TRIM($G49))=0)</formula1>
    </dataValidation>
    <dataValidation sqref="G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IF(OR(ISNUMBER(MATCH($A5,TIPOS_OPCION_G,0)),OR($A5="SELECCION_MEJOR_RESPUESTA",$A5="SELECCION_SIMPLE",$A5="SELECCION_UNICA",$A5="SELECCION_DE_LA_MEJOR_RESPUESTA",$A5="SUBITEM_CASO",$A5="SUBITEM_DE_CASO_O_PROBLEMA")),TRUE,LEN(TRIM($G5))=0)</formula1>
    </dataValidation>
    <dataValidation sqref="G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IF(OR(ISNUMBER(MATCH($A50,TIPOS_OPCION_G,0)),OR($A50="SELECCION_MEJOR_RESPUESTA",$A50="SELECCION_SIMPLE",$A50="SELECCION_UNICA",$A50="SELECCION_DE_LA_MEJOR_RESPUESTA",$A50="SUBITEM_CASO",$A50="SUBITEM_DE_CASO_O_PROBLEMA")),TRUE,LEN(TRIM($G50))=0)</formula1>
    </dataValidation>
    <dataValidation sqref="G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IF(OR(ISNUMBER(MATCH($A51,TIPOS_OPCION_G,0)),OR($A51="SELECCION_MEJOR_RESPUESTA",$A51="SELECCION_SIMPLE",$A51="SELECCION_UNICA",$A51="SELECCION_DE_LA_MEJOR_RESPUESTA",$A51="SUBITEM_CASO",$A51="SUBITEM_DE_CASO_O_PROBLEMA")),TRUE,LEN(TRIM($G51))=0)</formula1>
    </dataValidation>
    <dataValidation sqref="G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IF(OR(ISNUMBER(MATCH($A52,TIPOS_OPCION_G,0)),OR($A52="SELECCION_MEJOR_RESPUESTA",$A52="SELECCION_SIMPLE",$A52="SELECCION_UNICA",$A52="SELECCION_DE_LA_MEJOR_RESPUESTA",$A52="SUBITEM_CASO",$A52="SUBITEM_DE_CASO_O_PROBLEMA")),TRUE,LEN(TRIM($G52))=0)</formula1>
    </dataValidation>
    <dataValidation sqref="G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IF(OR(ISNUMBER(MATCH($A53,TIPOS_OPCION_G,0)),OR($A53="SELECCION_MEJOR_RESPUESTA",$A53="SELECCION_SIMPLE",$A53="SELECCION_UNICA",$A53="SELECCION_DE_LA_MEJOR_RESPUESTA",$A53="SUBITEM_CASO",$A53="SUBITEM_DE_CASO_O_PROBLEMA")),TRUE,LEN(TRIM($G53))=0)</formula1>
    </dataValidation>
    <dataValidation sqref="G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IF(OR(ISNUMBER(MATCH($A54,TIPOS_OPCION_G,0)),OR($A54="SELECCION_MEJOR_RESPUESTA",$A54="SELECCION_SIMPLE",$A54="SELECCION_UNICA",$A54="SELECCION_DE_LA_MEJOR_RESPUESTA",$A54="SUBITEM_CASO",$A54="SUBITEM_DE_CASO_O_PROBLEMA")),TRUE,LEN(TRIM($G54))=0)</formula1>
    </dataValidation>
    <dataValidation sqref="G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IF(OR(ISNUMBER(MATCH($A55,TIPOS_OPCION_G,0)),OR($A55="SELECCION_MEJOR_RESPUESTA",$A55="SELECCION_SIMPLE",$A55="SELECCION_UNICA",$A55="SELECCION_DE_LA_MEJOR_RESPUESTA",$A55="SUBITEM_CASO",$A55="SUBITEM_DE_CASO_O_PROBLEMA")),TRUE,LEN(TRIM($G55))=0)</formula1>
    </dataValidation>
    <dataValidation sqref="G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IF(OR(ISNUMBER(MATCH($A56,TIPOS_OPCION_G,0)),OR($A56="SELECCION_MEJOR_RESPUESTA",$A56="SELECCION_SIMPLE",$A56="SELECCION_UNICA",$A56="SELECCION_DE_LA_MEJOR_RESPUESTA",$A56="SUBITEM_CASO",$A56="SUBITEM_DE_CASO_O_PROBLEMA")),TRUE,LEN(TRIM($G56))=0)</formula1>
    </dataValidation>
    <dataValidation sqref="G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IF(OR(ISNUMBER(MATCH($A57,TIPOS_OPCION_G,0)),OR($A57="SELECCION_MEJOR_RESPUESTA",$A57="SELECCION_SIMPLE",$A57="SELECCION_UNICA",$A57="SELECCION_DE_LA_MEJOR_RESPUESTA",$A57="SUBITEM_CASO",$A57="SUBITEM_DE_CASO_O_PROBLEMA")),TRUE,LEN(TRIM($G57))=0)</formula1>
    </dataValidation>
    <dataValidation sqref="G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IF(OR(ISNUMBER(MATCH($A58,TIPOS_OPCION_G,0)),OR($A58="SELECCION_MEJOR_RESPUESTA",$A58="SELECCION_SIMPLE",$A58="SELECCION_UNICA",$A58="SELECCION_DE_LA_MEJOR_RESPUESTA",$A58="SUBITEM_CASO",$A58="SUBITEM_DE_CASO_O_PROBLEMA")),TRUE,LEN(TRIM($G58))=0)</formula1>
    </dataValidation>
    <dataValidation sqref="G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IF(OR(ISNUMBER(MATCH($A59,TIPOS_OPCION_G,0)),OR($A59="SELECCION_MEJOR_RESPUESTA",$A59="SELECCION_SIMPLE",$A59="SELECCION_UNICA",$A59="SELECCION_DE_LA_MEJOR_RESPUESTA",$A59="SUBITEM_CASO",$A59="SUBITEM_DE_CASO_O_PROBLEMA")),TRUE,LEN(TRIM($G59))=0)</formula1>
    </dataValidation>
    <dataValidation sqref="G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IF(OR(ISNUMBER(MATCH($A6,TIPOS_OPCION_G,0)),OR($A6="SELECCION_MEJOR_RESPUESTA",$A6="SELECCION_SIMPLE",$A6="SELECCION_UNICA",$A6="SELECCION_DE_LA_MEJOR_RESPUESTA",$A6="SUBITEM_CASO",$A6="SUBITEM_DE_CASO_O_PROBLEMA")),TRUE,LEN(TRIM($G6))=0)</formula1>
    </dataValidation>
    <dataValidation sqref="G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IF(OR(ISNUMBER(MATCH($A60,TIPOS_OPCION_G,0)),OR($A60="SELECCION_MEJOR_RESPUESTA",$A60="SELECCION_SIMPLE",$A60="SELECCION_UNICA",$A60="SELECCION_DE_LA_MEJOR_RESPUESTA",$A60="SUBITEM_CASO",$A60="SUBITEM_DE_CASO_O_PROBLEMA")),TRUE,LEN(TRIM($G60))=0)</formula1>
    </dataValidation>
    <dataValidation sqref="G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IF(OR(ISNUMBER(MATCH($A61,TIPOS_OPCION_G,0)),OR($A61="SELECCION_MEJOR_RESPUESTA",$A61="SELECCION_SIMPLE",$A61="SELECCION_UNICA",$A61="SELECCION_DE_LA_MEJOR_RESPUESTA",$A61="SUBITEM_CASO",$A61="SUBITEM_DE_CASO_O_PROBLEMA")),TRUE,LEN(TRIM($G61))=0)</formula1>
    </dataValidation>
    <dataValidation sqref="G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IF(OR(ISNUMBER(MATCH($A7,TIPOS_OPCION_G,0)),OR($A7="SELECCION_MEJOR_RESPUESTA",$A7="SELECCION_SIMPLE",$A7="SELECCION_UNICA",$A7="SELECCION_DE_LA_MEJOR_RESPUESTA",$A7="SUBITEM_CASO",$A7="SUBITEM_DE_CASO_O_PROBLEMA")),TRUE,LEN(TRIM($G7))=0)</formula1>
    </dataValidation>
    <dataValidation sqref="G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IF(OR(ISNUMBER(MATCH($A8,TIPOS_OPCION_G,0)),OR($A8="SELECCION_MEJOR_RESPUESTA",$A8="SELECCION_SIMPLE",$A8="SELECCION_UNICA",$A8="SELECCION_DE_LA_MEJOR_RESPUESTA",$A8="SUBITEM_CASO",$A8="SUBITEM_DE_CASO_O_PROBLEMA")),TRUE,LEN(TRIM($G8))=0)</formula1>
    </dataValidation>
    <dataValidation sqref="G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IF(OR(ISNUMBER(MATCH($A9,TIPOS_OPCION_G,0)),OR($A9="SELECCION_MEJOR_RESPUESTA",$A9="SELECCION_SIMPLE",$A9="SELECCION_UNICA",$A9="SELECCION_DE_LA_MEJOR_RESPUESTA",$A9="SUBITEM_CASO",$A9="SUBITEM_DE_CASO_O_PROBLEMA")),TRUE,LEN(TRIM($G9))=0)</formula1>
    </dataValidation>
    <dataValidation sqref="H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IF(OR(ISNUMBER(MATCH($A10,TIPOS_OPCION_H,0)),OR($A10="SELECCION_MEJOR_RESPUESTA",$A10="SELECCION_SIMPLE",$A10="SELECCION_UNICA",$A10="SELECCION_DE_LA_MEJOR_RESPUESTA",$A10="SUBITEM_CASO",$A10="SUBITEM_DE_CASO_O_PROBLEMA")),TRUE,LEN(TRIM($H10))=0)</formula1>
    </dataValidation>
    <dataValidation sqref="H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IF(OR(ISNUMBER(MATCH($A11,TIPOS_OPCION_H,0)),OR($A11="SELECCION_MEJOR_RESPUESTA",$A11="SELECCION_SIMPLE",$A11="SELECCION_UNICA",$A11="SELECCION_DE_LA_MEJOR_RESPUESTA",$A11="SUBITEM_CASO",$A11="SUBITEM_DE_CASO_O_PROBLEMA")),TRUE,LEN(TRIM($H11))=0)</formula1>
    </dataValidation>
    <dataValidation sqref="H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IF(OR(ISNUMBER(MATCH($A12,TIPOS_OPCION_H,0)),OR($A12="SELECCION_MEJOR_RESPUESTA",$A12="SELECCION_SIMPLE",$A12="SELECCION_UNICA",$A12="SELECCION_DE_LA_MEJOR_RESPUESTA",$A12="SUBITEM_CASO",$A12="SUBITEM_DE_CASO_O_PROBLEMA")),TRUE,LEN(TRIM($H12))=0)</formula1>
    </dataValidation>
    <dataValidation sqref="H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IF(OR(ISNUMBER(MATCH($A13,TIPOS_OPCION_H,0)),OR($A13="SELECCION_MEJOR_RESPUESTA",$A13="SELECCION_SIMPLE",$A13="SELECCION_UNICA",$A13="SELECCION_DE_LA_MEJOR_RESPUESTA",$A13="SUBITEM_CASO",$A13="SUBITEM_DE_CASO_O_PROBLEMA")),TRUE,LEN(TRIM($H13))=0)</formula1>
    </dataValidation>
    <dataValidation sqref="H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IF(OR(ISNUMBER(MATCH($A14,TIPOS_OPCION_H,0)),OR($A14="SELECCION_MEJOR_RESPUESTA",$A14="SELECCION_SIMPLE",$A14="SELECCION_UNICA",$A14="SELECCION_DE_LA_MEJOR_RESPUESTA",$A14="SUBITEM_CASO",$A14="SUBITEM_DE_CASO_O_PROBLEMA")),TRUE,LEN(TRIM($H14))=0)</formula1>
    </dataValidation>
    <dataValidation sqref="H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IF(OR(ISNUMBER(MATCH($A15,TIPOS_OPCION_H,0)),OR($A15="SELECCION_MEJOR_RESPUESTA",$A15="SELECCION_SIMPLE",$A15="SELECCION_UNICA",$A15="SELECCION_DE_LA_MEJOR_RESPUESTA",$A15="SUBITEM_CASO",$A15="SUBITEM_DE_CASO_O_PROBLEMA")),TRUE,LEN(TRIM($H15))=0)</formula1>
    </dataValidation>
    <dataValidation sqref="H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IF(OR(ISNUMBER(MATCH($A16,TIPOS_OPCION_H,0)),OR($A16="SELECCION_MEJOR_RESPUESTA",$A16="SELECCION_SIMPLE",$A16="SELECCION_UNICA",$A16="SELECCION_DE_LA_MEJOR_RESPUESTA",$A16="SUBITEM_CASO",$A16="SUBITEM_DE_CASO_O_PROBLEMA")),TRUE,LEN(TRIM($H16))=0)</formula1>
    </dataValidation>
    <dataValidation sqref="H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IF(OR(ISNUMBER(MATCH($A17,TIPOS_OPCION_H,0)),OR($A17="SELECCION_MEJOR_RESPUESTA",$A17="SELECCION_SIMPLE",$A17="SELECCION_UNICA",$A17="SELECCION_DE_LA_MEJOR_RESPUESTA",$A17="SUBITEM_CASO",$A17="SUBITEM_DE_CASO_O_PROBLEMA")),TRUE,LEN(TRIM($H17))=0)</formula1>
    </dataValidation>
    <dataValidation sqref="H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IF(OR(ISNUMBER(MATCH($A18,TIPOS_OPCION_H,0)),OR($A18="SELECCION_MEJOR_RESPUESTA",$A18="SELECCION_SIMPLE",$A18="SELECCION_UNICA",$A18="SELECCION_DE_LA_MEJOR_RESPUESTA",$A18="SUBITEM_CASO",$A18="SUBITEM_DE_CASO_O_PROBLEMA")),TRUE,LEN(TRIM($H18))=0)</formula1>
    </dataValidation>
    <dataValidation sqref="H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IF(OR(ISNUMBER(MATCH($A19,TIPOS_OPCION_H,0)),OR($A19="SELECCION_MEJOR_RESPUESTA",$A19="SELECCION_SIMPLE",$A19="SELECCION_UNICA",$A19="SELECCION_DE_LA_MEJOR_RESPUESTA",$A19="SUBITEM_CASO",$A19="SUBITEM_DE_CASO_O_PROBLEMA")),TRUE,LEN(TRIM($H19))=0)</formula1>
    </dataValidation>
    <dataValidation sqref="H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IF(OR(ISNUMBER(MATCH($A2,TIPOS_OPCION_H,0)),OR($A2="SELECCION_MEJOR_RESPUESTA",$A2="SELECCION_SIMPLE",$A2="SELECCION_UNICA",$A2="SELECCION_DE_LA_MEJOR_RESPUESTA",$A2="SUBITEM_CASO",$A2="SUBITEM_DE_CASO_O_PROBLEMA")),TRUE,LEN(TRIM($H2))=0)</formula1>
    </dataValidation>
    <dataValidation sqref="H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IF(OR(ISNUMBER(MATCH($A20,TIPOS_OPCION_H,0)),OR($A20="SELECCION_MEJOR_RESPUESTA",$A20="SELECCION_SIMPLE",$A20="SELECCION_UNICA",$A20="SELECCION_DE_LA_MEJOR_RESPUESTA",$A20="SUBITEM_CASO",$A20="SUBITEM_DE_CASO_O_PROBLEMA")),TRUE,LEN(TRIM($H20))=0)</formula1>
    </dataValidation>
    <dataValidation sqref="H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IF(OR(ISNUMBER(MATCH($A21,TIPOS_OPCION_H,0)),OR($A21="SELECCION_MEJOR_RESPUESTA",$A21="SELECCION_SIMPLE",$A21="SELECCION_UNICA",$A21="SELECCION_DE_LA_MEJOR_RESPUESTA",$A21="SUBITEM_CASO",$A21="SUBITEM_DE_CASO_O_PROBLEMA")),TRUE,LEN(TRIM($H21))=0)</formula1>
    </dataValidation>
    <dataValidation sqref="H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IF(OR(ISNUMBER(MATCH($A22,TIPOS_OPCION_H,0)),OR($A22="SELECCION_MEJOR_RESPUESTA",$A22="SELECCION_SIMPLE",$A22="SELECCION_UNICA",$A22="SELECCION_DE_LA_MEJOR_RESPUESTA",$A22="SUBITEM_CASO",$A22="SUBITEM_DE_CASO_O_PROBLEMA")),TRUE,LEN(TRIM($H22))=0)</formula1>
    </dataValidation>
    <dataValidation sqref="H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IF(OR(ISNUMBER(MATCH($A23,TIPOS_OPCION_H,0)),OR($A23="SELECCION_MEJOR_RESPUESTA",$A23="SELECCION_SIMPLE",$A23="SELECCION_UNICA",$A23="SELECCION_DE_LA_MEJOR_RESPUESTA",$A23="SUBITEM_CASO",$A23="SUBITEM_DE_CASO_O_PROBLEMA")),TRUE,LEN(TRIM($H23))=0)</formula1>
    </dataValidation>
    <dataValidation sqref="H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IF(OR(ISNUMBER(MATCH($A24,TIPOS_OPCION_H,0)),OR($A24="SELECCION_MEJOR_RESPUESTA",$A24="SELECCION_SIMPLE",$A24="SELECCION_UNICA",$A24="SELECCION_DE_LA_MEJOR_RESPUESTA",$A24="SUBITEM_CASO",$A24="SUBITEM_DE_CASO_O_PROBLEMA")),TRUE,LEN(TRIM($H24))=0)</formula1>
    </dataValidation>
    <dataValidation sqref="H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IF(OR(ISNUMBER(MATCH($A25,TIPOS_OPCION_H,0)),OR($A25="SELECCION_MEJOR_RESPUESTA",$A25="SELECCION_SIMPLE",$A25="SELECCION_UNICA",$A25="SELECCION_DE_LA_MEJOR_RESPUESTA",$A25="SUBITEM_CASO",$A25="SUBITEM_DE_CASO_O_PROBLEMA")),TRUE,LEN(TRIM($H25))=0)</formula1>
    </dataValidation>
    <dataValidation sqref="H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IF(OR(ISNUMBER(MATCH($A26,TIPOS_OPCION_H,0)),OR($A26="SELECCION_MEJOR_RESPUESTA",$A26="SELECCION_SIMPLE",$A26="SELECCION_UNICA",$A26="SELECCION_DE_LA_MEJOR_RESPUESTA",$A26="SUBITEM_CASO",$A26="SUBITEM_DE_CASO_O_PROBLEMA")),TRUE,LEN(TRIM($H26))=0)</formula1>
    </dataValidation>
    <dataValidation sqref="H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IF(OR(ISNUMBER(MATCH($A27,TIPOS_OPCION_H,0)),OR($A27="SELECCION_MEJOR_RESPUESTA",$A27="SELECCION_SIMPLE",$A27="SELECCION_UNICA",$A27="SELECCION_DE_LA_MEJOR_RESPUESTA",$A27="SUBITEM_CASO",$A27="SUBITEM_DE_CASO_O_PROBLEMA")),TRUE,LEN(TRIM($H27))=0)</formula1>
    </dataValidation>
    <dataValidation sqref="H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IF(OR(ISNUMBER(MATCH($A28,TIPOS_OPCION_H,0)),OR($A28="SELECCION_MEJOR_RESPUESTA",$A28="SELECCION_SIMPLE",$A28="SELECCION_UNICA",$A28="SELECCION_DE_LA_MEJOR_RESPUESTA",$A28="SUBITEM_CASO",$A28="SUBITEM_DE_CASO_O_PROBLEMA")),TRUE,LEN(TRIM($H28))=0)</formula1>
    </dataValidation>
    <dataValidation sqref="H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IF(OR(ISNUMBER(MATCH($A29,TIPOS_OPCION_H,0)),OR($A29="SELECCION_MEJOR_RESPUESTA",$A29="SELECCION_SIMPLE",$A29="SELECCION_UNICA",$A29="SELECCION_DE_LA_MEJOR_RESPUESTA",$A29="SUBITEM_CASO",$A29="SUBITEM_DE_CASO_O_PROBLEMA")),TRUE,LEN(TRIM($H29))=0)</formula1>
    </dataValidation>
    <dataValidation sqref="H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IF(OR(ISNUMBER(MATCH($A3,TIPOS_OPCION_H,0)),OR($A3="SELECCION_MEJOR_RESPUESTA",$A3="SELECCION_SIMPLE",$A3="SELECCION_UNICA",$A3="SELECCION_DE_LA_MEJOR_RESPUESTA",$A3="SUBITEM_CASO",$A3="SUBITEM_DE_CASO_O_PROBLEMA")),TRUE,LEN(TRIM($H3))=0)</formula1>
    </dataValidation>
    <dataValidation sqref="H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IF(OR(ISNUMBER(MATCH($A30,TIPOS_OPCION_H,0)),OR($A30="SELECCION_MEJOR_RESPUESTA",$A30="SELECCION_SIMPLE",$A30="SELECCION_UNICA",$A30="SELECCION_DE_LA_MEJOR_RESPUESTA",$A30="SUBITEM_CASO",$A30="SUBITEM_DE_CASO_O_PROBLEMA")),TRUE,LEN(TRIM($H30))=0)</formula1>
    </dataValidation>
    <dataValidation sqref="H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IF(OR(ISNUMBER(MATCH($A31,TIPOS_OPCION_H,0)),OR($A31="SELECCION_MEJOR_RESPUESTA",$A31="SELECCION_SIMPLE",$A31="SELECCION_UNICA",$A31="SELECCION_DE_LA_MEJOR_RESPUESTA",$A31="SUBITEM_CASO",$A31="SUBITEM_DE_CASO_O_PROBLEMA")),TRUE,LEN(TRIM($H31))=0)</formula1>
    </dataValidation>
    <dataValidation sqref="H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IF(OR(ISNUMBER(MATCH($A32,TIPOS_OPCION_H,0)),OR($A32="SELECCION_MEJOR_RESPUESTA",$A32="SELECCION_SIMPLE",$A32="SELECCION_UNICA",$A32="SELECCION_DE_LA_MEJOR_RESPUESTA",$A32="SUBITEM_CASO",$A32="SUBITEM_DE_CASO_O_PROBLEMA")),TRUE,LEN(TRIM($H32))=0)</formula1>
    </dataValidation>
    <dataValidation sqref="H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IF(OR(ISNUMBER(MATCH($A33,TIPOS_OPCION_H,0)),OR($A33="SELECCION_MEJOR_RESPUESTA",$A33="SELECCION_SIMPLE",$A33="SELECCION_UNICA",$A33="SELECCION_DE_LA_MEJOR_RESPUESTA",$A33="SUBITEM_CASO",$A33="SUBITEM_DE_CASO_O_PROBLEMA")),TRUE,LEN(TRIM($H33))=0)</formula1>
    </dataValidation>
    <dataValidation sqref="H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IF(OR(ISNUMBER(MATCH($A34,TIPOS_OPCION_H,0)),OR($A34="SELECCION_MEJOR_RESPUESTA",$A34="SELECCION_SIMPLE",$A34="SELECCION_UNICA",$A34="SELECCION_DE_LA_MEJOR_RESPUESTA",$A34="SUBITEM_CASO",$A34="SUBITEM_DE_CASO_O_PROBLEMA")),TRUE,LEN(TRIM($H34))=0)</formula1>
    </dataValidation>
    <dataValidation sqref="H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IF(OR(ISNUMBER(MATCH($A35,TIPOS_OPCION_H,0)),OR($A35="SELECCION_MEJOR_RESPUESTA",$A35="SELECCION_SIMPLE",$A35="SELECCION_UNICA",$A35="SELECCION_DE_LA_MEJOR_RESPUESTA",$A35="SUBITEM_CASO",$A35="SUBITEM_DE_CASO_O_PROBLEMA")),TRUE,LEN(TRIM($H35))=0)</formula1>
    </dataValidation>
    <dataValidation sqref="H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IF(OR(ISNUMBER(MATCH($A36,TIPOS_OPCION_H,0)),OR($A36="SELECCION_MEJOR_RESPUESTA",$A36="SELECCION_SIMPLE",$A36="SELECCION_UNICA",$A36="SELECCION_DE_LA_MEJOR_RESPUESTA",$A36="SUBITEM_CASO",$A36="SUBITEM_DE_CASO_O_PROBLEMA")),TRUE,LEN(TRIM($H36))=0)</formula1>
    </dataValidation>
    <dataValidation sqref="H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IF(OR(ISNUMBER(MATCH($A37,TIPOS_OPCION_H,0)),OR($A37="SELECCION_MEJOR_RESPUESTA",$A37="SELECCION_SIMPLE",$A37="SELECCION_UNICA",$A37="SELECCION_DE_LA_MEJOR_RESPUESTA",$A37="SUBITEM_CASO",$A37="SUBITEM_DE_CASO_O_PROBLEMA")),TRUE,LEN(TRIM($H37))=0)</formula1>
    </dataValidation>
    <dataValidation sqref="H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IF(OR(ISNUMBER(MATCH($A38,TIPOS_OPCION_H,0)),OR($A38="SELECCION_MEJOR_RESPUESTA",$A38="SELECCION_SIMPLE",$A38="SELECCION_UNICA",$A38="SELECCION_DE_LA_MEJOR_RESPUESTA",$A38="SUBITEM_CASO",$A38="SUBITEM_DE_CASO_O_PROBLEMA")),TRUE,LEN(TRIM($H38))=0)</formula1>
    </dataValidation>
    <dataValidation sqref="H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IF(OR(ISNUMBER(MATCH($A39,TIPOS_OPCION_H,0)),OR($A39="SELECCION_MEJOR_RESPUESTA",$A39="SELECCION_SIMPLE",$A39="SELECCION_UNICA",$A39="SELECCION_DE_LA_MEJOR_RESPUESTA",$A39="SUBITEM_CASO",$A39="SUBITEM_DE_CASO_O_PROBLEMA")),TRUE,LEN(TRIM($H39))=0)</formula1>
    </dataValidation>
    <dataValidation sqref="H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IF(OR(ISNUMBER(MATCH($A4,TIPOS_OPCION_H,0)),OR($A4="SELECCION_MEJOR_RESPUESTA",$A4="SELECCION_SIMPLE",$A4="SELECCION_UNICA",$A4="SELECCION_DE_LA_MEJOR_RESPUESTA",$A4="SUBITEM_CASO",$A4="SUBITEM_DE_CASO_O_PROBLEMA")),TRUE,LEN(TRIM($H4))=0)</formula1>
    </dataValidation>
    <dataValidation sqref="H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IF(OR(ISNUMBER(MATCH($A40,TIPOS_OPCION_H,0)),OR($A40="SELECCION_MEJOR_RESPUESTA",$A40="SELECCION_SIMPLE",$A40="SELECCION_UNICA",$A40="SELECCION_DE_LA_MEJOR_RESPUESTA",$A40="SUBITEM_CASO",$A40="SUBITEM_DE_CASO_O_PROBLEMA")),TRUE,LEN(TRIM($H40))=0)</formula1>
    </dataValidation>
    <dataValidation sqref="H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IF(OR(ISNUMBER(MATCH($A41,TIPOS_OPCION_H,0)),OR($A41="SELECCION_MEJOR_RESPUESTA",$A41="SELECCION_SIMPLE",$A41="SELECCION_UNICA",$A41="SELECCION_DE_LA_MEJOR_RESPUESTA",$A41="SUBITEM_CASO",$A41="SUBITEM_DE_CASO_O_PROBLEMA")),TRUE,LEN(TRIM($H41))=0)</formula1>
    </dataValidation>
    <dataValidation sqref="H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IF(OR(ISNUMBER(MATCH($A42,TIPOS_OPCION_H,0)),OR($A42="SELECCION_MEJOR_RESPUESTA",$A42="SELECCION_SIMPLE",$A42="SELECCION_UNICA",$A42="SELECCION_DE_LA_MEJOR_RESPUESTA",$A42="SUBITEM_CASO",$A42="SUBITEM_DE_CASO_O_PROBLEMA")),TRUE,LEN(TRIM($H42))=0)</formula1>
    </dataValidation>
    <dataValidation sqref="H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IF(OR(ISNUMBER(MATCH($A43,TIPOS_OPCION_H,0)),OR($A43="SELECCION_MEJOR_RESPUESTA",$A43="SELECCION_SIMPLE",$A43="SELECCION_UNICA",$A43="SELECCION_DE_LA_MEJOR_RESPUESTA",$A43="SUBITEM_CASO",$A43="SUBITEM_DE_CASO_O_PROBLEMA")),TRUE,LEN(TRIM($H43))=0)</formula1>
    </dataValidation>
    <dataValidation sqref="H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IF(OR(ISNUMBER(MATCH($A44,TIPOS_OPCION_H,0)),OR($A44="SELECCION_MEJOR_RESPUESTA",$A44="SELECCION_SIMPLE",$A44="SELECCION_UNICA",$A44="SELECCION_DE_LA_MEJOR_RESPUESTA",$A44="SUBITEM_CASO",$A44="SUBITEM_DE_CASO_O_PROBLEMA")),TRUE,LEN(TRIM($H44))=0)</formula1>
    </dataValidation>
    <dataValidation sqref="H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IF(OR(ISNUMBER(MATCH($A45,TIPOS_OPCION_H,0)),OR($A45="SELECCION_MEJOR_RESPUESTA",$A45="SELECCION_SIMPLE",$A45="SELECCION_UNICA",$A45="SELECCION_DE_LA_MEJOR_RESPUESTA",$A45="SUBITEM_CASO",$A45="SUBITEM_DE_CASO_O_PROBLEMA")),TRUE,LEN(TRIM($H45))=0)</formula1>
    </dataValidation>
    <dataValidation sqref="H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IF(OR(ISNUMBER(MATCH($A46,TIPOS_OPCION_H,0)),OR($A46="SELECCION_MEJOR_RESPUESTA",$A46="SELECCION_SIMPLE",$A46="SELECCION_UNICA",$A46="SELECCION_DE_LA_MEJOR_RESPUESTA",$A46="SUBITEM_CASO",$A46="SUBITEM_DE_CASO_O_PROBLEMA")),TRUE,LEN(TRIM($H46))=0)</formula1>
    </dataValidation>
    <dataValidation sqref="H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IF(OR(ISNUMBER(MATCH($A47,TIPOS_OPCION_H,0)),OR($A47="SELECCION_MEJOR_RESPUESTA",$A47="SELECCION_SIMPLE",$A47="SELECCION_UNICA",$A47="SELECCION_DE_LA_MEJOR_RESPUESTA",$A47="SUBITEM_CASO",$A47="SUBITEM_DE_CASO_O_PROBLEMA")),TRUE,LEN(TRIM($H47))=0)</formula1>
    </dataValidation>
    <dataValidation sqref="H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IF(OR(ISNUMBER(MATCH($A48,TIPOS_OPCION_H,0)),OR($A48="SELECCION_MEJOR_RESPUESTA",$A48="SELECCION_SIMPLE",$A48="SELECCION_UNICA",$A48="SELECCION_DE_LA_MEJOR_RESPUESTA",$A48="SUBITEM_CASO",$A48="SUBITEM_DE_CASO_O_PROBLEMA")),TRUE,LEN(TRIM($H48))=0)</formula1>
    </dataValidation>
    <dataValidation sqref="H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IF(OR(ISNUMBER(MATCH($A49,TIPOS_OPCION_H,0)),OR($A49="SELECCION_MEJOR_RESPUESTA",$A49="SELECCION_SIMPLE",$A49="SELECCION_UNICA",$A49="SELECCION_DE_LA_MEJOR_RESPUESTA",$A49="SUBITEM_CASO",$A49="SUBITEM_DE_CASO_O_PROBLEMA")),TRUE,LEN(TRIM($H49))=0)</formula1>
    </dataValidation>
    <dataValidation sqref="H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IF(OR(ISNUMBER(MATCH($A5,TIPOS_OPCION_H,0)),OR($A5="SELECCION_MEJOR_RESPUESTA",$A5="SELECCION_SIMPLE",$A5="SELECCION_UNICA",$A5="SELECCION_DE_LA_MEJOR_RESPUESTA",$A5="SUBITEM_CASO",$A5="SUBITEM_DE_CASO_O_PROBLEMA")),TRUE,LEN(TRIM($H5))=0)</formula1>
    </dataValidation>
    <dataValidation sqref="H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IF(OR(ISNUMBER(MATCH($A50,TIPOS_OPCION_H,0)),OR($A50="SELECCION_MEJOR_RESPUESTA",$A50="SELECCION_SIMPLE",$A50="SELECCION_UNICA",$A50="SELECCION_DE_LA_MEJOR_RESPUESTA",$A50="SUBITEM_CASO",$A50="SUBITEM_DE_CASO_O_PROBLEMA")),TRUE,LEN(TRIM($H50))=0)</formula1>
    </dataValidation>
    <dataValidation sqref="H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IF(OR(ISNUMBER(MATCH($A51,TIPOS_OPCION_H,0)),OR($A51="SELECCION_MEJOR_RESPUESTA",$A51="SELECCION_SIMPLE",$A51="SELECCION_UNICA",$A51="SELECCION_DE_LA_MEJOR_RESPUESTA",$A51="SUBITEM_CASO",$A51="SUBITEM_DE_CASO_O_PROBLEMA")),TRUE,LEN(TRIM($H51))=0)</formula1>
    </dataValidation>
    <dataValidation sqref="H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IF(OR(ISNUMBER(MATCH($A52,TIPOS_OPCION_H,0)),OR($A52="SELECCION_MEJOR_RESPUESTA",$A52="SELECCION_SIMPLE",$A52="SELECCION_UNICA",$A52="SELECCION_DE_LA_MEJOR_RESPUESTA",$A52="SUBITEM_CASO",$A52="SUBITEM_DE_CASO_O_PROBLEMA")),TRUE,LEN(TRIM($H52))=0)</formula1>
    </dataValidation>
    <dataValidation sqref="H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IF(OR(ISNUMBER(MATCH($A53,TIPOS_OPCION_H,0)),OR($A53="SELECCION_MEJOR_RESPUESTA",$A53="SELECCION_SIMPLE",$A53="SELECCION_UNICA",$A53="SELECCION_DE_LA_MEJOR_RESPUESTA",$A53="SUBITEM_CASO",$A53="SUBITEM_DE_CASO_O_PROBLEMA")),TRUE,LEN(TRIM($H53))=0)</formula1>
    </dataValidation>
    <dataValidation sqref="H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IF(OR(ISNUMBER(MATCH($A54,TIPOS_OPCION_H,0)),OR($A54="SELECCION_MEJOR_RESPUESTA",$A54="SELECCION_SIMPLE",$A54="SELECCION_UNICA",$A54="SELECCION_DE_LA_MEJOR_RESPUESTA",$A54="SUBITEM_CASO",$A54="SUBITEM_DE_CASO_O_PROBLEMA")),TRUE,LEN(TRIM($H54))=0)</formula1>
    </dataValidation>
    <dataValidation sqref="H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IF(OR(ISNUMBER(MATCH($A55,TIPOS_OPCION_H,0)),OR($A55="SELECCION_MEJOR_RESPUESTA",$A55="SELECCION_SIMPLE",$A55="SELECCION_UNICA",$A55="SELECCION_DE_LA_MEJOR_RESPUESTA",$A55="SUBITEM_CASO",$A55="SUBITEM_DE_CASO_O_PROBLEMA")),TRUE,LEN(TRIM($H55))=0)</formula1>
    </dataValidation>
    <dataValidation sqref="H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IF(OR(ISNUMBER(MATCH($A56,TIPOS_OPCION_H,0)),OR($A56="SELECCION_MEJOR_RESPUESTA",$A56="SELECCION_SIMPLE",$A56="SELECCION_UNICA",$A56="SELECCION_DE_LA_MEJOR_RESPUESTA",$A56="SUBITEM_CASO",$A56="SUBITEM_DE_CASO_O_PROBLEMA")),TRUE,LEN(TRIM($H56))=0)</formula1>
    </dataValidation>
    <dataValidation sqref="H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IF(OR(ISNUMBER(MATCH($A57,TIPOS_OPCION_H,0)),OR($A57="SELECCION_MEJOR_RESPUESTA",$A57="SELECCION_SIMPLE",$A57="SELECCION_UNICA",$A57="SELECCION_DE_LA_MEJOR_RESPUESTA",$A57="SUBITEM_CASO",$A57="SUBITEM_DE_CASO_O_PROBLEMA")),TRUE,LEN(TRIM($H57))=0)</formula1>
    </dataValidation>
    <dataValidation sqref="H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IF(OR(ISNUMBER(MATCH($A58,TIPOS_OPCION_H,0)),OR($A58="SELECCION_MEJOR_RESPUESTA",$A58="SELECCION_SIMPLE",$A58="SELECCION_UNICA",$A58="SELECCION_DE_LA_MEJOR_RESPUESTA",$A58="SUBITEM_CASO",$A58="SUBITEM_DE_CASO_O_PROBLEMA")),TRUE,LEN(TRIM($H58))=0)</formula1>
    </dataValidation>
    <dataValidation sqref="H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IF(OR(ISNUMBER(MATCH($A59,TIPOS_OPCION_H,0)),OR($A59="SELECCION_MEJOR_RESPUESTA",$A59="SELECCION_SIMPLE",$A59="SELECCION_UNICA",$A59="SELECCION_DE_LA_MEJOR_RESPUESTA",$A59="SUBITEM_CASO",$A59="SUBITEM_DE_CASO_O_PROBLEMA")),TRUE,LEN(TRIM($H59))=0)</formula1>
    </dataValidation>
    <dataValidation sqref="H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IF(OR(ISNUMBER(MATCH($A6,TIPOS_OPCION_H,0)),OR($A6="SELECCION_MEJOR_RESPUESTA",$A6="SELECCION_SIMPLE",$A6="SELECCION_UNICA",$A6="SELECCION_DE_LA_MEJOR_RESPUESTA",$A6="SUBITEM_CASO",$A6="SUBITEM_DE_CASO_O_PROBLEMA")),TRUE,LEN(TRIM($H6))=0)</formula1>
    </dataValidation>
    <dataValidation sqref="H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IF(OR(ISNUMBER(MATCH($A60,TIPOS_OPCION_H,0)),OR($A60="SELECCION_MEJOR_RESPUESTA",$A60="SELECCION_SIMPLE",$A60="SELECCION_UNICA",$A60="SELECCION_DE_LA_MEJOR_RESPUESTA",$A60="SUBITEM_CASO",$A60="SUBITEM_DE_CASO_O_PROBLEMA")),TRUE,LEN(TRIM($H60))=0)</formula1>
    </dataValidation>
    <dataValidation sqref="H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IF(OR(ISNUMBER(MATCH($A61,TIPOS_OPCION_H,0)),OR($A61="SELECCION_MEJOR_RESPUESTA",$A61="SELECCION_SIMPLE",$A61="SELECCION_UNICA",$A61="SELECCION_DE_LA_MEJOR_RESPUESTA",$A61="SUBITEM_CASO",$A61="SUBITEM_DE_CASO_O_PROBLEMA")),TRUE,LEN(TRIM($H61))=0)</formula1>
    </dataValidation>
    <dataValidation sqref="H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IF(OR(ISNUMBER(MATCH($A7,TIPOS_OPCION_H,0)),OR($A7="SELECCION_MEJOR_RESPUESTA",$A7="SELECCION_SIMPLE",$A7="SELECCION_UNICA",$A7="SELECCION_DE_LA_MEJOR_RESPUESTA",$A7="SUBITEM_CASO",$A7="SUBITEM_DE_CASO_O_PROBLEMA")),TRUE,LEN(TRIM($H7))=0)</formula1>
    </dataValidation>
    <dataValidation sqref="H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IF(OR(ISNUMBER(MATCH($A8,TIPOS_OPCION_H,0)),OR($A8="SELECCION_MEJOR_RESPUESTA",$A8="SELECCION_SIMPLE",$A8="SELECCION_UNICA",$A8="SELECCION_DE_LA_MEJOR_RESPUESTA",$A8="SUBITEM_CASO",$A8="SUBITEM_DE_CASO_O_PROBLEMA")),TRUE,LEN(TRIM($H8))=0)</formula1>
    </dataValidation>
    <dataValidation sqref="H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IF(OR(ISNUMBER(MATCH($A9,TIPOS_OPCION_H,0)),OR($A9="SELECCION_MEJOR_RESPUESTA",$A9="SELECCION_SIMPLE",$A9="SELECCION_UNICA",$A9="SELECCION_DE_LA_MEJOR_RESPUESTA",$A9="SUBITEM_CASO",$A9="SUBITEM_DE_CASO_O_PROBLEMA")),TRUE,LEN(TRIM($H9))=0)</formula1>
    </dataValidation>
    <dataValidation sqref="I1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INDIRECT(IF(OR($A10="SELECCION_MEJOR_RESPUESTA",$A10="SELECCION_SIMPLE",$A10="SELECCION_UNICA",$A10="SELECCION_DE_LA_MEJOR_RESPUESTA",$A10="SUBITEM_CASO",$A10="SUBITEM_DE_CASO_O_PROBLEMA"),"RESP_ABCDE",IFERROR(VLOOKUP($A10,MAPA_RESPUESTA_TIPO,2,FALSE),"RESP_VACIA")))</formula1>
    </dataValidation>
    <dataValidation sqref="I1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INDIRECT(IF(OR($A11="SELECCION_MEJOR_RESPUESTA",$A11="SELECCION_SIMPLE",$A11="SELECCION_UNICA",$A11="SELECCION_DE_LA_MEJOR_RESPUESTA",$A11="SUBITEM_CASO",$A11="SUBITEM_DE_CASO_O_PROBLEMA"),"RESP_ABCDE",IFERROR(VLOOKUP($A11,MAPA_RESPUESTA_TIPO,2,FALSE),"RESP_VACIA")))</formula1>
    </dataValidation>
    <dataValidation sqref="I1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INDIRECT(IF(OR($A12="SELECCION_MEJOR_RESPUESTA",$A12="SELECCION_SIMPLE",$A12="SELECCION_UNICA",$A12="SELECCION_DE_LA_MEJOR_RESPUESTA",$A12="SUBITEM_CASO",$A12="SUBITEM_DE_CASO_O_PROBLEMA"),"RESP_ABCDE",IFERROR(VLOOKUP($A12,MAPA_RESPUESTA_TIPO,2,FALSE),"RESP_VACIA")))</formula1>
    </dataValidation>
    <dataValidation sqref="I1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INDIRECT(IF(OR($A13="SELECCION_MEJOR_RESPUESTA",$A13="SELECCION_SIMPLE",$A13="SELECCION_UNICA",$A13="SELECCION_DE_LA_MEJOR_RESPUESTA",$A13="SUBITEM_CASO",$A13="SUBITEM_DE_CASO_O_PROBLEMA"),"RESP_ABCDE",IFERROR(VLOOKUP($A13,MAPA_RESPUESTA_TIPO,2,FALSE),"RESP_VACIA")))</formula1>
    </dataValidation>
    <dataValidation sqref="I1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INDIRECT(IF(OR($A14="SELECCION_MEJOR_RESPUESTA",$A14="SELECCION_SIMPLE",$A14="SELECCION_UNICA",$A14="SELECCION_DE_LA_MEJOR_RESPUESTA",$A14="SUBITEM_CASO",$A14="SUBITEM_DE_CASO_O_PROBLEMA"),"RESP_ABCDE",IFERROR(VLOOKUP($A14,MAPA_RESPUESTA_TIPO,2,FALSE),"RESP_VACIA")))</formula1>
    </dataValidation>
    <dataValidation sqref="I1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INDIRECT(IF(OR($A15="SELECCION_MEJOR_RESPUESTA",$A15="SELECCION_SIMPLE",$A15="SELECCION_UNICA",$A15="SELECCION_DE_LA_MEJOR_RESPUESTA",$A15="SUBITEM_CASO",$A15="SUBITEM_DE_CASO_O_PROBLEMA"),"RESP_ABCDE",IFERROR(VLOOKUP($A15,MAPA_RESPUESTA_TIPO,2,FALSE),"RESP_VACIA")))</formula1>
    </dataValidation>
    <dataValidation sqref="I1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INDIRECT(IF(OR($A16="SELECCION_MEJOR_RESPUESTA",$A16="SELECCION_SIMPLE",$A16="SELECCION_UNICA",$A16="SELECCION_DE_LA_MEJOR_RESPUESTA",$A16="SUBITEM_CASO",$A16="SUBITEM_DE_CASO_O_PROBLEMA"),"RESP_ABCDE",IFERROR(VLOOKUP($A16,MAPA_RESPUESTA_TIPO,2,FALSE),"RESP_VACIA")))</formula1>
    </dataValidation>
    <dataValidation sqref="I1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INDIRECT(IF(OR($A17="SELECCION_MEJOR_RESPUESTA",$A17="SELECCION_SIMPLE",$A17="SELECCION_UNICA",$A17="SELECCION_DE_LA_MEJOR_RESPUESTA",$A17="SUBITEM_CASO",$A17="SUBITEM_DE_CASO_O_PROBLEMA"),"RESP_ABCDE",IFERROR(VLOOKUP($A17,MAPA_RESPUESTA_TIPO,2,FALSE),"RESP_VACIA")))</formula1>
    </dataValidation>
    <dataValidation sqref="I1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INDIRECT(IF(OR($A18="SELECCION_MEJOR_RESPUESTA",$A18="SELECCION_SIMPLE",$A18="SELECCION_UNICA",$A18="SELECCION_DE_LA_MEJOR_RESPUESTA",$A18="SUBITEM_CASO",$A18="SUBITEM_DE_CASO_O_PROBLEMA"),"RESP_ABCDE",IFERROR(VLOOKUP($A18,MAPA_RESPUESTA_TIPO,2,FALSE),"RESP_VACIA")))</formula1>
    </dataValidation>
    <dataValidation sqref="I1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INDIRECT(IF(OR($A19="SELECCION_MEJOR_RESPUESTA",$A19="SELECCION_SIMPLE",$A19="SELECCION_UNICA",$A19="SELECCION_DE_LA_MEJOR_RESPUESTA",$A19="SUBITEM_CASO",$A19="SUBITEM_DE_CASO_O_PROBLEMA"),"RESP_ABCDE",IFERROR(VLOOKUP($A19,MAPA_RESPUESTA_TIPO,2,FALSE),"RESP_VACIA")))</formula1>
    </dataValidation>
    <dataValidation sqref="I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INDIRECT(IF(OR($A2="SELECCION_MEJOR_RESPUESTA",$A2="SELECCION_SIMPLE",$A2="SELECCION_UNICA",$A2="SELECCION_DE_LA_MEJOR_RESPUESTA",$A2="SUBITEM_CASO",$A2="SUBITEM_DE_CASO_O_PROBLEMA"),"RESP_ABCDE",IFERROR(VLOOKUP($A2,MAPA_RESPUESTA_TIPO,2,FALSE),"RESP_VACIA")))</formula1>
    </dataValidation>
    <dataValidation sqref="I2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INDIRECT(IF(OR($A20="SELECCION_MEJOR_RESPUESTA",$A20="SELECCION_SIMPLE",$A20="SELECCION_UNICA",$A20="SELECCION_DE_LA_MEJOR_RESPUESTA",$A20="SUBITEM_CASO",$A20="SUBITEM_DE_CASO_O_PROBLEMA"),"RESP_ABCDE",IFERROR(VLOOKUP($A20,MAPA_RESPUESTA_TIPO,2,FALSE),"RESP_VACIA")))</formula1>
    </dataValidation>
    <dataValidation sqref="I2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INDIRECT(IF(OR($A21="SELECCION_MEJOR_RESPUESTA",$A21="SELECCION_SIMPLE",$A21="SELECCION_UNICA",$A21="SELECCION_DE_LA_MEJOR_RESPUESTA",$A21="SUBITEM_CASO",$A21="SUBITEM_DE_CASO_O_PROBLEMA"),"RESP_ABCDE",IFERROR(VLOOKUP($A21,MAPA_RESPUESTA_TIPO,2,FALSE),"RESP_VACIA")))</formula1>
    </dataValidation>
    <dataValidation sqref="I2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INDIRECT(IF(OR($A22="SELECCION_MEJOR_RESPUESTA",$A22="SELECCION_SIMPLE",$A22="SELECCION_UNICA",$A22="SELECCION_DE_LA_MEJOR_RESPUESTA",$A22="SUBITEM_CASO",$A22="SUBITEM_DE_CASO_O_PROBLEMA"),"RESP_ABCDE",IFERROR(VLOOKUP($A22,MAPA_RESPUESTA_TIPO,2,FALSE),"RESP_VACIA")))</formula1>
    </dataValidation>
    <dataValidation sqref="I2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INDIRECT(IF(OR($A23="SELECCION_MEJOR_RESPUESTA",$A23="SELECCION_SIMPLE",$A23="SELECCION_UNICA",$A23="SELECCION_DE_LA_MEJOR_RESPUESTA",$A23="SUBITEM_CASO",$A23="SUBITEM_DE_CASO_O_PROBLEMA"),"RESP_ABCDE",IFERROR(VLOOKUP($A23,MAPA_RESPUESTA_TIPO,2,FALSE),"RESP_VACIA")))</formula1>
    </dataValidation>
    <dataValidation sqref="I2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INDIRECT(IF(OR($A24="SELECCION_MEJOR_RESPUESTA",$A24="SELECCION_SIMPLE",$A24="SELECCION_UNICA",$A24="SELECCION_DE_LA_MEJOR_RESPUESTA",$A24="SUBITEM_CASO",$A24="SUBITEM_DE_CASO_O_PROBLEMA"),"RESP_ABCDE",IFERROR(VLOOKUP($A24,MAPA_RESPUESTA_TIPO,2,FALSE),"RESP_VACIA")))</formula1>
    </dataValidation>
    <dataValidation sqref="I2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INDIRECT(IF(OR($A25="SELECCION_MEJOR_RESPUESTA",$A25="SELECCION_SIMPLE",$A25="SELECCION_UNICA",$A25="SELECCION_DE_LA_MEJOR_RESPUESTA",$A25="SUBITEM_CASO",$A25="SUBITEM_DE_CASO_O_PROBLEMA"),"RESP_ABCDE",IFERROR(VLOOKUP($A25,MAPA_RESPUESTA_TIPO,2,FALSE),"RESP_VACIA")))</formula1>
    </dataValidation>
    <dataValidation sqref="I2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INDIRECT(IF(OR($A26="SELECCION_MEJOR_RESPUESTA",$A26="SELECCION_SIMPLE",$A26="SELECCION_UNICA",$A26="SELECCION_DE_LA_MEJOR_RESPUESTA",$A26="SUBITEM_CASO",$A26="SUBITEM_DE_CASO_O_PROBLEMA"),"RESP_ABCDE",IFERROR(VLOOKUP($A26,MAPA_RESPUESTA_TIPO,2,FALSE),"RESP_VACIA")))</formula1>
    </dataValidation>
    <dataValidation sqref="I2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INDIRECT(IF(OR($A27="SELECCION_MEJOR_RESPUESTA",$A27="SELECCION_SIMPLE",$A27="SELECCION_UNICA",$A27="SELECCION_DE_LA_MEJOR_RESPUESTA",$A27="SUBITEM_CASO",$A27="SUBITEM_DE_CASO_O_PROBLEMA"),"RESP_ABCDE",IFERROR(VLOOKUP($A27,MAPA_RESPUESTA_TIPO,2,FALSE),"RESP_VACIA")))</formula1>
    </dataValidation>
    <dataValidation sqref="I2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INDIRECT(IF(OR($A28="SELECCION_MEJOR_RESPUESTA",$A28="SELECCION_SIMPLE",$A28="SELECCION_UNICA",$A28="SELECCION_DE_LA_MEJOR_RESPUESTA",$A28="SUBITEM_CASO",$A28="SUBITEM_DE_CASO_O_PROBLEMA"),"RESP_ABCDE",IFERROR(VLOOKUP($A28,MAPA_RESPUESTA_TIPO,2,FALSE),"RESP_VACIA")))</formula1>
    </dataValidation>
    <dataValidation sqref="I2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INDIRECT(IF(OR($A29="SELECCION_MEJOR_RESPUESTA",$A29="SELECCION_SIMPLE",$A29="SELECCION_UNICA",$A29="SELECCION_DE_LA_MEJOR_RESPUESTA",$A29="SUBITEM_CASO",$A29="SUBITEM_DE_CASO_O_PROBLEMA"),"RESP_ABCDE",IFERROR(VLOOKUP($A29,MAPA_RESPUESTA_TIPO,2,FALSE),"RESP_VACIA")))</formula1>
    </dataValidation>
    <dataValidation sqref="I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INDIRECT(IF(OR($A3="SELECCION_MEJOR_RESPUESTA",$A3="SELECCION_SIMPLE",$A3="SELECCION_UNICA",$A3="SELECCION_DE_LA_MEJOR_RESPUESTA",$A3="SUBITEM_CASO",$A3="SUBITEM_DE_CASO_O_PROBLEMA"),"RESP_ABCDE",IFERROR(VLOOKUP($A3,MAPA_RESPUESTA_TIPO,2,FALSE),"RESP_VACIA")))</formula1>
    </dataValidation>
    <dataValidation sqref="I3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INDIRECT(IF(OR($A30="SELECCION_MEJOR_RESPUESTA",$A30="SELECCION_SIMPLE",$A30="SELECCION_UNICA",$A30="SELECCION_DE_LA_MEJOR_RESPUESTA",$A30="SUBITEM_CASO",$A30="SUBITEM_DE_CASO_O_PROBLEMA"),"RESP_ABCDE",IFERROR(VLOOKUP($A30,MAPA_RESPUESTA_TIPO,2,FALSE),"RESP_VACIA")))</formula1>
    </dataValidation>
    <dataValidation sqref="I3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INDIRECT(IF(OR($A31="SELECCION_MEJOR_RESPUESTA",$A31="SELECCION_SIMPLE",$A31="SELECCION_UNICA",$A31="SELECCION_DE_LA_MEJOR_RESPUESTA",$A31="SUBITEM_CASO",$A31="SUBITEM_DE_CASO_O_PROBLEMA"),"RESP_ABCDE",IFERROR(VLOOKUP($A31,MAPA_RESPUESTA_TIPO,2,FALSE),"RESP_VACIA")))</formula1>
    </dataValidation>
    <dataValidation sqref="I3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INDIRECT(IF(OR($A32="SELECCION_MEJOR_RESPUESTA",$A32="SELECCION_SIMPLE",$A32="SELECCION_UNICA",$A32="SELECCION_DE_LA_MEJOR_RESPUESTA",$A32="SUBITEM_CASO",$A32="SUBITEM_DE_CASO_O_PROBLEMA"),"RESP_ABCDE",IFERROR(VLOOKUP($A32,MAPA_RESPUESTA_TIPO,2,FALSE),"RESP_VACIA")))</formula1>
    </dataValidation>
    <dataValidation sqref="I3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INDIRECT(IF(OR($A33="SELECCION_MEJOR_RESPUESTA",$A33="SELECCION_SIMPLE",$A33="SELECCION_UNICA",$A33="SELECCION_DE_LA_MEJOR_RESPUESTA",$A33="SUBITEM_CASO",$A33="SUBITEM_DE_CASO_O_PROBLEMA"),"RESP_ABCDE",IFERROR(VLOOKUP($A33,MAPA_RESPUESTA_TIPO,2,FALSE),"RESP_VACIA")))</formula1>
    </dataValidation>
    <dataValidation sqref="I3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INDIRECT(IF(OR($A34="SELECCION_MEJOR_RESPUESTA",$A34="SELECCION_SIMPLE",$A34="SELECCION_UNICA",$A34="SELECCION_DE_LA_MEJOR_RESPUESTA",$A34="SUBITEM_CASO",$A34="SUBITEM_DE_CASO_O_PROBLEMA"),"RESP_ABCDE",IFERROR(VLOOKUP($A34,MAPA_RESPUESTA_TIPO,2,FALSE),"RESP_VACIA")))</formula1>
    </dataValidation>
    <dataValidation sqref="I3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INDIRECT(IF(OR($A35="SELECCION_MEJOR_RESPUESTA",$A35="SELECCION_SIMPLE",$A35="SELECCION_UNICA",$A35="SELECCION_DE_LA_MEJOR_RESPUESTA",$A35="SUBITEM_CASO",$A35="SUBITEM_DE_CASO_O_PROBLEMA"),"RESP_ABCDE",IFERROR(VLOOKUP($A35,MAPA_RESPUESTA_TIPO,2,FALSE),"RESP_VACIA")))</formula1>
    </dataValidation>
    <dataValidation sqref="I3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INDIRECT(IF(OR($A36="SELECCION_MEJOR_RESPUESTA",$A36="SELECCION_SIMPLE",$A36="SELECCION_UNICA",$A36="SELECCION_DE_LA_MEJOR_RESPUESTA",$A36="SUBITEM_CASO",$A36="SUBITEM_DE_CASO_O_PROBLEMA"),"RESP_ABCDE",IFERROR(VLOOKUP($A36,MAPA_RESPUESTA_TIPO,2,FALSE),"RESP_VACIA")))</formula1>
    </dataValidation>
    <dataValidation sqref="I3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INDIRECT(IF(OR($A37="SELECCION_MEJOR_RESPUESTA",$A37="SELECCION_SIMPLE",$A37="SELECCION_UNICA",$A37="SELECCION_DE_LA_MEJOR_RESPUESTA",$A37="SUBITEM_CASO",$A37="SUBITEM_DE_CASO_O_PROBLEMA"),"RESP_ABCDE",IFERROR(VLOOKUP($A37,MAPA_RESPUESTA_TIPO,2,FALSE),"RESP_VACIA")))</formula1>
    </dataValidation>
    <dataValidation sqref="I3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INDIRECT(IF(OR($A38="SELECCION_MEJOR_RESPUESTA",$A38="SELECCION_SIMPLE",$A38="SELECCION_UNICA",$A38="SELECCION_DE_LA_MEJOR_RESPUESTA",$A38="SUBITEM_CASO",$A38="SUBITEM_DE_CASO_O_PROBLEMA"),"RESP_ABCDE",IFERROR(VLOOKUP($A38,MAPA_RESPUESTA_TIPO,2,FALSE),"RESP_VACIA")))</formula1>
    </dataValidation>
    <dataValidation sqref="I3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INDIRECT(IF(OR($A39="SELECCION_MEJOR_RESPUESTA",$A39="SELECCION_SIMPLE",$A39="SELECCION_UNICA",$A39="SELECCION_DE_LA_MEJOR_RESPUESTA",$A39="SUBITEM_CASO",$A39="SUBITEM_DE_CASO_O_PROBLEMA"),"RESP_ABCDE",IFERROR(VLOOKUP($A39,MAPA_RESPUESTA_TIPO,2,FALSE),"RESP_VACIA")))</formula1>
    </dataValidation>
    <dataValidation sqref="I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INDIRECT(IF(OR($A4="SELECCION_MEJOR_RESPUESTA",$A4="SELECCION_SIMPLE",$A4="SELECCION_UNICA",$A4="SELECCION_DE_LA_MEJOR_RESPUESTA",$A4="SUBITEM_CASO",$A4="SUBITEM_DE_CASO_O_PROBLEMA"),"RESP_ABCDE",IFERROR(VLOOKUP($A4,MAPA_RESPUESTA_TIPO,2,FALSE),"RESP_VACIA")))</formula1>
    </dataValidation>
    <dataValidation sqref="I4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INDIRECT(IF(OR($A40="SELECCION_MEJOR_RESPUESTA",$A40="SELECCION_SIMPLE",$A40="SELECCION_UNICA",$A40="SELECCION_DE_LA_MEJOR_RESPUESTA",$A40="SUBITEM_CASO",$A40="SUBITEM_DE_CASO_O_PROBLEMA"),"RESP_ABCDE",IFERROR(VLOOKUP($A40,MAPA_RESPUESTA_TIPO,2,FALSE),"RESP_VACIA")))</formula1>
    </dataValidation>
    <dataValidation sqref="I4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INDIRECT(IF(OR($A41="SELECCION_MEJOR_RESPUESTA",$A41="SELECCION_SIMPLE",$A41="SELECCION_UNICA",$A41="SELECCION_DE_LA_MEJOR_RESPUESTA",$A41="SUBITEM_CASO",$A41="SUBITEM_DE_CASO_O_PROBLEMA"),"RESP_ABCDE",IFERROR(VLOOKUP($A41,MAPA_RESPUESTA_TIPO,2,FALSE),"RESP_VACIA")))</formula1>
    </dataValidation>
    <dataValidation sqref="I4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INDIRECT(IF(OR($A42="SELECCION_MEJOR_RESPUESTA",$A42="SELECCION_SIMPLE",$A42="SELECCION_UNICA",$A42="SELECCION_DE_LA_MEJOR_RESPUESTA",$A42="SUBITEM_CASO",$A42="SUBITEM_DE_CASO_O_PROBLEMA"),"RESP_ABCDE",IFERROR(VLOOKUP($A42,MAPA_RESPUESTA_TIPO,2,FALSE),"RESP_VACIA")))</formula1>
    </dataValidation>
    <dataValidation sqref="I4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INDIRECT(IF(OR($A43="SELECCION_MEJOR_RESPUESTA",$A43="SELECCION_SIMPLE",$A43="SELECCION_UNICA",$A43="SELECCION_DE_LA_MEJOR_RESPUESTA",$A43="SUBITEM_CASO",$A43="SUBITEM_DE_CASO_O_PROBLEMA"),"RESP_ABCDE",IFERROR(VLOOKUP($A43,MAPA_RESPUESTA_TIPO,2,FALSE),"RESP_VACIA")))</formula1>
    </dataValidation>
    <dataValidation sqref="I4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INDIRECT(IF(OR($A44="SELECCION_MEJOR_RESPUESTA",$A44="SELECCION_SIMPLE",$A44="SELECCION_UNICA",$A44="SELECCION_DE_LA_MEJOR_RESPUESTA",$A44="SUBITEM_CASO",$A44="SUBITEM_DE_CASO_O_PROBLEMA"),"RESP_ABCDE",IFERROR(VLOOKUP($A44,MAPA_RESPUESTA_TIPO,2,FALSE),"RESP_VACIA")))</formula1>
    </dataValidation>
    <dataValidation sqref="I4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INDIRECT(IF(OR($A45="SELECCION_MEJOR_RESPUESTA",$A45="SELECCION_SIMPLE",$A45="SELECCION_UNICA",$A45="SELECCION_DE_LA_MEJOR_RESPUESTA",$A45="SUBITEM_CASO",$A45="SUBITEM_DE_CASO_O_PROBLEMA"),"RESP_ABCDE",IFERROR(VLOOKUP($A45,MAPA_RESPUESTA_TIPO,2,FALSE),"RESP_VACIA")))</formula1>
    </dataValidation>
    <dataValidation sqref="I4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INDIRECT(IF(OR($A46="SELECCION_MEJOR_RESPUESTA",$A46="SELECCION_SIMPLE",$A46="SELECCION_UNICA",$A46="SELECCION_DE_LA_MEJOR_RESPUESTA",$A46="SUBITEM_CASO",$A46="SUBITEM_DE_CASO_O_PROBLEMA"),"RESP_ABCDE",IFERROR(VLOOKUP($A46,MAPA_RESPUESTA_TIPO,2,FALSE),"RESP_VACIA")))</formula1>
    </dataValidation>
    <dataValidation sqref="I4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INDIRECT(IF(OR($A47="SELECCION_MEJOR_RESPUESTA",$A47="SELECCION_SIMPLE",$A47="SELECCION_UNICA",$A47="SELECCION_DE_LA_MEJOR_RESPUESTA",$A47="SUBITEM_CASO",$A47="SUBITEM_DE_CASO_O_PROBLEMA"),"RESP_ABCDE",IFERROR(VLOOKUP($A47,MAPA_RESPUESTA_TIPO,2,FALSE),"RESP_VACIA")))</formula1>
    </dataValidation>
    <dataValidation sqref="I4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INDIRECT(IF(OR($A48="SELECCION_MEJOR_RESPUESTA",$A48="SELECCION_SIMPLE",$A48="SELECCION_UNICA",$A48="SELECCION_DE_LA_MEJOR_RESPUESTA",$A48="SUBITEM_CASO",$A48="SUBITEM_DE_CASO_O_PROBLEMA"),"RESP_ABCDE",IFERROR(VLOOKUP($A48,MAPA_RESPUESTA_TIPO,2,FALSE),"RESP_VACIA")))</formula1>
    </dataValidation>
    <dataValidation sqref="I4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INDIRECT(IF(OR($A49="SELECCION_MEJOR_RESPUESTA",$A49="SELECCION_SIMPLE",$A49="SELECCION_UNICA",$A49="SELECCION_DE_LA_MEJOR_RESPUESTA",$A49="SUBITEM_CASO",$A49="SUBITEM_DE_CASO_O_PROBLEMA"),"RESP_ABCDE",IFERROR(VLOOKUP($A49,MAPA_RESPUESTA_TIPO,2,FALSE),"RESP_VACIA")))</formula1>
    </dataValidation>
    <dataValidation sqref="I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INDIRECT(IF(OR($A5="SELECCION_MEJOR_RESPUESTA",$A5="SELECCION_SIMPLE",$A5="SELECCION_UNICA",$A5="SELECCION_DE_LA_MEJOR_RESPUESTA",$A5="SUBITEM_CASO",$A5="SUBITEM_DE_CASO_O_PROBLEMA"),"RESP_ABCDE",IFERROR(VLOOKUP($A5,MAPA_RESPUESTA_TIPO,2,FALSE),"RESP_VACIA")))</formula1>
    </dataValidation>
    <dataValidation sqref="I5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INDIRECT(IF(OR($A50="SELECCION_MEJOR_RESPUESTA",$A50="SELECCION_SIMPLE",$A50="SELECCION_UNICA",$A50="SELECCION_DE_LA_MEJOR_RESPUESTA",$A50="SUBITEM_CASO",$A50="SUBITEM_DE_CASO_O_PROBLEMA"),"RESP_ABCDE",IFERROR(VLOOKUP($A50,MAPA_RESPUESTA_TIPO,2,FALSE),"RESP_VACIA")))</formula1>
    </dataValidation>
    <dataValidation sqref="I5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INDIRECT(IF(OR($A51="SELECCION_MEJOR_RESPUESTA",$A51="SELECCION_SIMPLE",$A51="SELECCION_UNICA",$A51="SELECCION_DE_LA_MEJOR_RESPUESTA",$A51="SUBITEM_CASO",$A51="SUBITEM_DE_CASO_O_PROBLEMA"),"RESP_ABCDE",IFERROR(VLOOKUP($A51,MAPA_RESPUESTA_TIPO,2,FALSE),"RESP_VACIA")))</formula1>
    </dataValidation>
    <dataValidation sqref="I5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INDIRECT(IF(OR($A52="SELECCION_MEJOR_RESPUESTA",$A52="SELECCION_SIMPLE",$A52="SELECCION_UNICA",$A52="SELECCION_DE_LA_MEJOR_RESPUESTA",$A52="SUBITEM_CASO",$A52="SUBITEM_DE_CASO_O_PROBLEMA"),"RESP_ABCDE",IFERROR(VLOOKUP($A52,MAPA_RESPUESTA_TIPO,2,FALSE),"RESP_VACIA")))</formula1>
    </dataValidation>
    <dataValidation sqref="I5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INDIRECT(IF(OR($A53="SELECCION_MEJOR_RESPUESTA",$A53="SELECCION_SIMPLE",$A53="SELECCION_UNICA",$A53="SELECCION_DE_LA_MEJOR_RESPUESTA",$A53="SUBITEM_CASO",$A53="SUBITEM_DE_CASO_O_PROBLEMA"),"RESP_ABCDE",IFERROR(VLOOKUP($A53,MAPA_RESPUESTA_TIPO,2,FALSE),"RESP_VACIA")))</formula1>
    </dataValidation>
    <dataValidation sqref="I5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INDIRECT(IF(OR($A54="SELECCION_MEJOR_RESPUESTA",$A54="SELECCION_SIMPLE",$A54="SELECCION_UNICA",$A54="SELECCION_DE_LA_MEJOR_RESPUESTA",$A54="SUBITEM_CASO",$A54="SUBITEM_DE_CASO_O_PROBLEMA"),"RESP_ABCDE",IFERROR(VLOOKUP($A54,MAPA_RESPUESTA_TIPO,2,FALSE),"RESP_VACIA")))</formula1>
    </dataValidation>
    <dataValidation sqref="I5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INDIRECT(IF(OR($A55="SELECCION_MEJOR_RESPUESTA",$A55="SELECCION_SIMPLE",$A55="SELECCION_UNICA",$A55="SELECCION_DE_LA_MEJOR_RESPUESTA",$A55="SUBITEM_CASO",$A55="SUBITEM_DE_CASO_O_PROBLEMA"),"RESP_ABCDE",IFERROR(VLOOKUP($A55,MAPA_RESPUESTA_TIPO,2,FALSE),"RESP_VACIA")))</formula1>
    </dataValidation>
    <dataValidation sqref="I5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INDIRECT(IF(OR($A56="SELECCION_MEJOR_RESPUESTA",$A56="SELECCION_SIMPLE",$A56="SELECCION_UNICA",$A56="SELECCION_DE_LA_MEJOR_RESPUESTA",$A56="SUBITEM_CASO",$A56="SUBITEM_DE_CASO_O_PROBLEMA"),"RESP_ABCDE",IFERROR(VLOOKUP($A56,MAPA_RESPUESTA_TIPO,2,FALSE),"RESP_VACIA")))</formula1>
    </dataValidation>
    <dataValidation sqref="I5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INDIRECT(IF(OR($A57="SELECCION_MEJOR_RESPUESTA",$A57="SELECCION_SIMPLE",$A57="SELECCION_UNICA",$A57="SELECCION_DE_LA_MEJOR_RESPUESTA",$A57="SUBITEM_CASO",$A57="SUBITEM_DE_CASO_O_PROBLEMA"),"RESP_ABCDE",IFERROR(VLOOKUP($A57,MAPA_RESPUESTA_TIPO,2,FALSE),"RESP_VACIA")))</formula1>
    </dataValidation>
    <dataValidation sqref="I5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INDIRECT(IF(OR($A58="SELECCION_MEJOR_RESPUESTA",$A58="SELECCION_SIMPLE",$A58="SELECCION_UNICA",$A58="SELECCION_DE_LA_MEJOR_RESPUESTA",$A58="SUBITEM_CASO",$A58="SUBITEM_DE_CASO_O_PROBLEMA"),"RESP_ABCDE",IFERROR(VLOOKUP($A58,MAPA_RESPUESTA_TIPO,2,FALSE),"RESP_VACIA")))</formula1>
    </dataValidation>
    <dataValidation sqref="I5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INDIRECT(IF(OR($A59="SELECCION_MEJOR_RESPUESTA",$A59="SELECCION_SIMPLE",$A59="SELECCION_UNICA",$A59="SELECCION_DE_LA_MEJOR_RESPUESTA",$A59="SUBITEM_CASO",$A59="SUBITEM_DE_CASO_O_PROBLEMA"),"RESP_ABCDE",IFERROR(VLOOKUP($A59,MAPA_RESPUESTA_TIPO,2,FALSE),"RESP_VACIA")))</formula1>
    </dataValidation>
    <dataValidation sqref="I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INDIRECT(IF(OR($A6="SELECCION_MEJOR_RESPUESTA",$A6="SELECCION_SIMPLE",$A6="SELECCION_UNICA",$A6="SELECCION_DE_LA_MEJOR_RESPUESTA",$A6="SUBITEM_CASO",$A6="SUBITEM_DE_CASO_O_PROBLEMA"),"RESP_ABCDE",IFERROR(VLOOKUP($A6,MAPA_RESPUESTA_TIPO,2,FALSE),"RESP_VACIA")))</formula1>
    </dataValidation>
    <dataValidation sqref="I6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INDIRECT(IF(OR($A60="SELECCION_MEJOR_RESPUESTA",$A60="SELECCION_SIMPLE",$A60="SELECCION_UNICA",$A60="SELECCION_DE_LA_MEJOR_RESPUESTA",$A60="SUBITEM_CASO",$A60="SUBITEM_DE_CASO_O_PROBLEMA"),"RESP_ABCDE",IFERROR(VLOOKUP($A60,MAPA_RESPUESTA_TIPO,2,FALSE),"RESP_VACIA")))</formula1>
    </dataValidation>
    <dataValidation sqref="I6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INDIRECT(IF(OR($A61="SELECCION_MEJOR_RESPUESTA",$A61="SELECCION_SIMPLE",$A61="SELECCION_UNICA",$A61="SELECCION_DE_LA_MEJOR_RESPUESTA",$A61="SUBITEM_CASO",$A61="SUBITEM_DE_CASO_O_PROBLEMA"),"RESP_ABCDE",IFERROR(VLOOKUP($A61,MAPA_RESPUESTA_TIPO,2,FALSE),"RESP_VACIA")))</formula1>
    </dataValidation>
    <dataValidation sqref="I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INDIRECT(IF(OR($A7="SELECCION_MEJOR_RESPUESTA",$A7="SELECCION_SIMPLE",$A7="SELECCION_UNICA",$A7="SELECCION_DE_LA_MEJOR_RESPUESTA",$A7="SUBITEM_CASO",$A7="SUBITEM_DE_CASO_O_PROBLEMA"),"RESP_ABCDE",IFERROR(VLOOKUP($A7,MAPA_RESPUESTA_TIPO,2,FALSE),"RESP_VACIA")))</formula1>
    </dataValidation>
    <dataValidation sqref="I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INDIRECT(IF(OR($A8="SELECCION_MEJOR_RESPUESTA",$A8="SELECCION_SIMPLE",$A8="SELECCION_UNICA",$A8="SELECCION_DE_LA_MEJOR_RESPUESTA",$A8="SUBITEM_CASO",$A8="SUBITEM_DE_CASO_O_PROBLEMA"),"RESP_ABCDE",IFERROR(VLOOKUP($A8,MAPA_RESPUESTA_TIPO,2,FALSE),"RESP_VACIA")))</formula1>
    </dataValidation>
    <dataValidation sqref="I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INDIRECT(IF(OR($A9="SELECCION_MEJOR_RESPUESTA",$A9="SELECCION_SIMPLE",$A9="SELECCION_UNICA",$A9="SELECCION_DE_LA_MEJOR_RESPUESTA",$A9="SUBITEM_CASO",$A9="SUBITEM_DE_CASO_O_PROBLEMA"),"RESP_ABCDE",IFERROR(VLOOKUP($A9,MAPA_RESPUESTA_TIPO,2,FALSE),"RESP_VACIA")))</formula1>
    </dataValidation>
    <dataValidation sqref="J10" showDropDown="0" showInputMessage="0" showErrorMessage="1" allowBlank="1" errorTitle="Dificultad invalida" error="Use 1, 2 o 3. Casos/problemas y Emparejamiento Ampliado no llevan dificultad." type="list">
      <formula1>INDIRECT(IF(ISNUMBER(MATCH($A10,TIPOS_SIN_DIFICULTAD,0)),"RESP_VACIA","DIFICULTADES_123"))</formula1>
    </dataValidation>
    <dataValidation sqref="J11" showDropDown="0" showInputMessage="0" showErrorMessage="1" allowBlank="1" errorTitle="Dificultad invalida" error="Use 1, 2 o 3. Casos/problemas y Emparejamiento Ampliado no llevan dificultad." type="list">
      <formula1>INDIRECT(IF(ISNUMBER(MATCH($A11,TIPOS_SIN_DIFICULTAD,0)),"RESP_VACIA","DIFICULTADES_123"))</formula1>
    </dataValidation>
    <dataValidation sqref="J12" showDropDown="0" showInputMessage="0" showErrorMessage="1" allowBlank="1" errorTitle="Dificultad invalida" error="Use 1, 2 o 3. Casos/problemas y Emparejamiento Ampliado no llevan dificultad." type="list">
      <formula1>INDIRECT(IF(ISNUMBER(MATCH($A12,TIPOS_SIN_DIFICULTAD,0)),"RESP_VACIA","DIFICULTADES_123"))</formula1>
    </dataValidation>
    <dataValidation sqref="J13" showDropDown="0" showInputMessage="0" showErrorMessage="1" allowBlank="1" errorTitle="Dificultad invalida" error="Use 1, 2 o 3. Casos/problemas y Emparejamiento Ampliado no llevan dificultad." type="list">
      <formula1>INDIRECT(IF(ISNUMBER(MATCH($A13,TIPOS_SIN_DIFICULTAD,0)),"RESP_VACIA","DIFICULTADES_123"))</formula1>
    </dataValidation>
    <dataValidation sqref="J14" showDropDown="0" showInputMessage="0" showErrorMessage="1" allowBlank="1" errorTitle="Dificultad invalida" error="Use 1, 2 o 3. Casos/problemas y Emparejamiento Ampliado no llevan dificultad." type="list">
      <formula1>INDIRECT(IF(ISNUMBER(MATCH($A14,TIPOS_SIN_DIFICULTAD,0)),"RESP_VACIA","DIFICULTADES_123"))</formula1>
    </dataValidation>
    <dataValidation sqref="J15" showDropDown="0" showInputMessage="0" showErrorMessage="1" allowBlank="1" errorTitle="Dificultad invalida" error="Use 1, 2 o 3. Casos/problemas y Emparejamiento Ampliado no llevan dificultad." type="list">
      <formula1>INDIRECT(IF(ISNUMBER(MATCH($A15,TIPOS_SIN_DIFICULTAD,0)),"RESP_VACIA","DIFICULTADES_123"))</formula1>
    </dataValidation>
    <dataValidation sqref="J16" showDropDown="0" showInputMessage="0" showErrorMessage="1" allowBlank="1" errorTitle="Dificultad invalida" error="Use 1, 2 o 3. Casos/problemas y Emparejamiento Ampliado no llevan dificultad." type="list">
      <formula1>INDIRECT(IF(ISNUMBER(MATCH($A16,TIPOS_SIN_DIFICULTAD,0)),"RESP_VACIA","DIFICULTADES_123"))</formula1>
    </dataValidation>
    <dataValidation sqref="J17" showDropDown="0" showInputMessage="0" showErrorMessage="1" allowBlank="1" errorTitle="Dificultad invalida" error="Use 1, 2 o 3. Casos/problemas y Emparejamiento Ampliado no llevan dificultad." type="list">
      <formula1>INDIRECT(IF(ISNUMBER(MATCH($A17,TIPOS_SIN_DIFICULTAD,0)),"RESP_VACIA","DIFICULTADES_123"))</formula1>
    </dataValidation>
    <dataValidation sqref="J18" showDropDown="0" showInputMessage="0" showErrorMessage="1" allowBlank="1" errorTitle="Dificultad invalida" error="Use 1, 2 o 3. Casos/problemas y Emparejamiento Ampliado no llevan dificultad." type="list">
      <formula1>INDIRECT(IF(ISNUMBER(MATCH($A18,TIPOS_SIN_DIFICULTAD,0)),"RESP_VACIA","DIFICULTADES_123"))</formula1>
    </dataValidation>
    <dataValidation sqref="J19" showDropDown="0" showInputMessage="0" showErrorMessage="1" allowBlank="1" errorTitle="Dificultad invalida" error="Use 1, 2 o 3. Casos/problemas y Emparejamiento Ampliado no llevan dificultad." type="list">
      <formula1>INDIRECT(IF(ISNUMBER(MATCH($A19,TIPOS_SIN_DIFICULTAD,0)),"RESP_VACIA","DIFICULTADES_123"))</formula1>
    </dataValidation>
    <dataValidation sqref="J2" showDropDown="0" showInputMessage="0" showErrorMessage="1" allowBlank="1" errorTitle="Dificultad invalida" error="Use 1, 2 o 3. Casos/problemas y Emparejamiento Ampliado no llevan dificultad." type="list">
      <formula1>INDIRECT(IF(ISNUMBER(MATCH($A2,TIPOS_SIN_DIFICULTAD,0)),"RESP_VACIA","DIFICULTADES_123"))</formula1>
    </dataValidation>
    <dataValidation sqref="J20" showDropDown="0" showInputMessage="0" showErrorMessage="1" allowBlank="1" errorTitle="Dificultad invalida" error="Use 1, 2 o 3. Casos/problemas y Emparejamiento Ampliado no llevan dificultad." type="list">
      <formula1>INDIRECT(IF(ISNUMBER(MATCH($A20,TIPOS_SIN_DIFICULTAD,0)),"RESP_VACIA","DIFICULTADES_123"))</formula1>
    </dataValidation>
    <dataValidation sqref="J21" showDropDown="0" showInputMessage="0" showErrorMessage="1" allowBlank="1" errorTitle="Dificultad invalida" error="Use 1, 2 o 3. Casos/problemas y Emparejamiento Ampliado no llevan dificultad." type="list">
      <formula1>INDIRECT(IF(ISNUMBER(MATCH($A21,TIPOS_SIN_DIFICULTAD,0)),"RESP_VACIA","DIFICULTADES_123"))</formula1>
    </dataValidation>
    <dataValidation sqref="J22" showDropDown="0" showInputMessage="0" showErrorMessage="1" allowBlank="1" errorTitle="Dificultad invalida" error="Use 1, 2 o 3. Casos/problemas y Emparejamiento Ampliado no llevan dificultad." type="list">
      <formula1>INDIRECT(IF(ISNUMBER(MATCH($A22,TIPOS_SIN_DIFICULTAD,0)),"RESP_VACIA","DIFICULTADES_123"))</formula1>
    </dataValidation>
    <dataValidation sqref="J23" showDropDown="0" showInputMessage="0" showErrorMessage="1" allowBlank="1" errorTitle="Dificultad invalida" error="Use 1, 2 o 3. Casos/problemas y Emparejamiento Ampliado no llevan dificultad." type="list">
      <formula1>INDIRECT(IF(ISNUMBER(MATCH($A23,TIPOS_SIN_DIFICULTAD,0)),"RESP_VACIA","DIFICULTADES_123"))</formula1>
    </dataValidation>
    <dataValidation sqref="J24" showDropDown="0" showInputMessage="0" showErrorMessage="1" allowBlank="1" errorTitle="Dificultad invalida" error="Use 1, 2 o 3. Casos/problemas y Emparejamiento Ampliado no llevan dificultad." type="list">
      <formula1>INDIRECT(IF(ISNUMBER(MATCH($A24,TIPOS_SIN_DIFICULTAD,0)),"RESP_VACIA","DIFICULTADES_123"))</formula1>
    </dataValidation>
    <dataValidation sqref="J25" showDropDown="0" showInputMessage="0" showErrorMessage="1" allowBlank="1" errorTitle="Dificultad invalida" error="Use 1, 2 o 3. Casos/problemas y Emparejamiento Ampliado no llevan dificultad." type="list">
      <formula1>INDIRECT(IF(ISNUMBER(MATCH($A25,TIPOS_SIN_DIFICULTAD,0)),"RESP_VACIA","DIFICULTADES_123"))</formula1>
    </dataValidation>
    <dataValidation sqref="J26" showDropDown="0" showInputMessage="0" showErrorMessage="1" allowBlank="1" errorTitle="Dificultad invalida" error="Use 1, 2 o 3. Casos/problemas y Emparejamiento Ampliado no llevan dificultad." type="list">
      <formula1>INDIRECT(IF(ISNUMBER(MATCH($A26,TIPOS_SIN_DIFICULTAD,0)),"RESP_VACIA","DIFICULTADES_123"))</formula1>
    </dataValidation>
    <dataValidation sqref="J27" showDropDown="0" showInputMessage="0" showErrorMessage="1" allowBlank="1" errorTitle="Dificultad invalida" error="Use 1, 2 o 3. Casos/problemas y Emparejamiento Ampliado no llevan dificultad." type="list">
      <formula1>INDIRECT(IF(ISNUMBER(MATCH($A27,TIPOS_SIN_DIFICULTAD,0)),"RESP_VACIA","DIFICULTADES_123"))</formula1>
    </dataValidation>
    <dataValidation sqref="J28" showDropDown="0" showInputMessage="0" showErrorMessage="1" allowBlank="1" errorTitle="Dificultad invalida" error="Use 1, 2 o 3. Casos/problemas y Emparejamiento Ampliado no llevan dificultad." type="list">
      <formula1>INDIRECT(IF(ISNUMBER(MATCH($A28,TIPOS_SIN_DIFICULTAD,0)),"RESP_VACIA","DIFICULTADES_123"))</formula1>
    </dataValidation>
    <dataValidation sqref="J29" showDropDown="0" showInputMessage="0" showErrorMessage="1" allowBlank="1" errorTitle="Dificultad invalida" error="Use 1, 2 o 3. Casos/problemas y Emparejamiento Ampliado no llevan dificultad." type="list">
      <formula1>INDIRECT(IF(ISNUMBER(MATCH($A29,TIPOS_SIN_DIFICULTAD,0)),"RESP_VACIA","DIFICULTADES_123"))</formula1>
    </dataValidation>
    <dataValidation sqref="J3" showDropDown="0" showInputMessage="0" showErrorMessage="1" allowBlank="1" errorTitle="Dificultad invalida" error="Use 1, 2 o 3. Casos/problemas y Emparejamiento Ampliado no llevan dificultad." type="list">
      <formula1>INDIRECT(IF(ISNUMBER(MATCH($A3,TIPOS_SIN_DIFICULTAD,0)),"RESP_VACIA","DIFICULTADES_123"))</formula1>
    </dataValidation>
    <dataValidation sqref="J30" showDropDown="0" showInputMessage="0" showErrorMessage="1" allowBlank="1" errorTitle="Dificultad invalida" error="Use 1, 2 o 3. Casos/problemas y Emparejamiento Ampliado no llevan dificultad." type="list">
      <formula1>INDIRECT(IF(ISNUMBER(MATCH($A30,TIPOS_SIN_DIFICULTAD,0)),"RESP_VACIA","DIFICULTADES_123"))</formula1>
    </dataValidation>
    <dataValidation sqref="J31" showDropDown="0" showInputMessage="0" showErrorMessage="1" allowBlank="1" errorTitle="Dificultad invalida" error="Use 1, 2 o 3. Casos/problemas y Emparejamiento Ampliado no llevan dificultad." type="list">
      <formula1>INDIRECT(IF(ISNUMBER(MATCH($A31,TIPOS_SIN_DIFICULTAD,0)),"RESP_VACIA","DIFICULTADES_123"))</formula1>
    </dataValidation>
    <dataValidation sqref="J32" showDropDown="0" showInputMessage="0" showErrorMessage="1" allowBlank="1" errorTitle="Dificultad invalida" error="Use 1, 2 o 3. Casos/problemas y Emparejamiento Ampliado no llevan dificultad." type="list">
      <formula1>INDIRECT(IF(ISNUMBER(MATCH($A32,TIPOS_SIN_DIFICULTAD,0)),"RESP_VACIA","DIFICULTADES_123"))</formula1>
    </dataValidation>
    <dataValidation sqref="J33" showDropDown="0" showInputMessage="0" showErrorMessage="1" allowBlank="1" errorTitle="Dificultad invalida" error="Use 1, 2 o 3. Casos/problemas y Emparejamiento Ampliado no llevan dificultad." type="list">
      <formula1>INDIRECT(IF(ISNUMBER(MATCH($A33,TIPOS_SIN_DIFICULTAD,0)),"RESP_VACIA","DIFICULTADES_123"))</formula1>
    </dataValidation>
    <dataValidation sqref="J34" showDropDown="0" showInputMessage="0" showErrorMessage="1" allowBlank="1" errorTitle="Dificultad invalida" error="Use 1, 2 o 3. Casos/problemas y Emparejamiento Ampliado no llevan dificultad." type="list">
      <formula1>INDIRECT(IF(ISNUMBER(MATCH($A34,TIPOS_SIN_DIFICULTAD,0)),"RESP_VACIA","DIFICULTADES_123"))</formula1>
    </dataValidation>
    <dataValidation sqref="J35" showDropDown="0" showInputMessage="0" showErrorMessage="1" allowBlank="1" errorTitle="Dificultad invalida" error="Use 1, 2 o 3. Casos/problemas y Emparejamiento Ampliado no llevan dificultad." type="list">
      <formula1>INDIRECT(IF(ISNUMBER(MATCH($A35,TIPOS_SIN_DIFICULTAD,0)),"RESP_VACIA","DIFICULTADES_123"))</formula1>
    </dataValidation>
    <dataValidation sqref="J36" showDropDown="0" showInputMessage="0" showErrorMessage="1" allowBlank="1" errorTitle="Dificultad invalida" error="Use 1, 2 o 3. Casos/problemas y Emparejamiento Ampliado no llevan dificultad." type="list">
      <formula1>INDIRECT(IF(ISNUMBER(MATCH($A36,TIPOS_SIN_DIFICULTAD,0)),"RESP_VACIA","DIFICULTADES_123"))</formula1>
    </dataValidation>
    <dataValidation sqref="J37" showDropDown="0" showInputMessage="0" showErrorMessage="1" allowBlank="1" errorTitle="Dificultad invalida" error="Use 1, 2 o 3. Casos/problemas y Emparejamiento Ampliado no llevan dificultad." type="list">
      <formula1>INDIRECT(IF(ISNUMBER(MATCH($A37,TIPOS_SIN_DIFICULTAD,0)),"RESP_VACIA","DIFICULTADES_123"))</formula1>
    </dataValidation>
    <dataValidation sqref="J38" showDropDown="0" showInputMessage="0" showErrorMessage="1" allowBlank="1" errorTitle="Dificultad invalida" error="Use 1, 2 o 3. Casos/problemas y Emparejamiento Ampliado no llevan dificultad." type="list">
      <formula1>INDIRECT(IF(ISNUMBER(MATCH($A38,TIPOS_SIN_DIFICULTAD,0)),"RESP_VACIA","DIFICULTADES_123"))</formula1>
    </dataValidation>
    <dataValidation sqref="J39" showDropDown="0" showInputMessage="0" showErrorMessage="1" allowBlank="1" errorTitle="Dificultad invalida" error="Use 1, 2 o 3. Casos/problemas y Emparejamiento Ampliado no llevan dificultad." type="list">
      <formula1>INDIRECT(IF(ISNUMBER(MATCH($A39,TIPOS_SIN_DIFICULTAD,0)),"RESP_VACIA","DIFICULTADES_123"))</formula1>
    </dataValidation>
    <dataValidation sqref="J4" showDropDown="0" showInputMessage="0" showErrorMessage="1" allowBlank="1" errorTitle="Dificultad invalida" error="Use 1, 2 o 3. Casos/problemas y Emparejamiento Ampliado no llevan dificultad." type="list">
      <formula1>INDIRECT(IF(ISNUMBER(MATCH($A4,TIPOS_SIN_DIFICULTAD,0)),"RESP_VACIA","DIFICULTADES_123"))</formula1>
    </dataValidation>
    <dataValidation sqref="J40" showDropDown="0" showInputMessage="0" showErrorMessage="1" allowBlank="1" errorTitle="Dificultad invalida" error="Use 1, 2 o 3. Casos/problemas y Emparejamiento Ampliado no llevan dificultad." type="list">
      <formula1>INDIRECT(IF(ISNUMBER(MATCH($A40,TIPOS_SIN_DIFICULTAD,0)),"RESP_VACIA","DIFICULTADES_123"))</formula1>
    </dataValidation>
    <dataValidation sqref="J41" showDropDown="0" showInputMessage="0" showErrorMessage="1" allowBlank="1" errorTitle="Dificultad invalida" error="Use 1, 2 o 3. Casos/problemas y Emparejamiento Ampliado no llevan dificultad." type="list">
      <formula1>INDIRECT(IF(ISNUMBER(MATCH($A41,TIPOS_SIN_DIFICULTAD,0)),"RESP_VACIA","DIFICULTADES_123"))</formula1>
    </dataValidation>
    <dataValidation sqref="J42" showDropDown="0" showInputMessage="0" showErrorMessage="1" allowBlank="1" errorTitle="Dificultad invalida" error="Use 1, 2 o 3. Casos/problemas y Emparejamiento Ampliado no llevan dificultad." type="list">
      <formula1>INDIRECT(IF(ISNUMBER(MATCH($A42,TIPOS_SIN_DIFICULTAD,0)),"RESP_VACIA","DIFICULTADES_123"))</formula1>
    </dataValidation>
    <dataValidation sqref="J43" showDropDown="0" showInputMessage="0" showErrorMessage="1" allowBlank="1" errorTitle="Dificultad invalida" error="Use 1, 2 o 3. Casos/problemas y Emparejamiento Ampliado no llevan dificultad." type="list">
      <formula1>INDIRECT(IF(ISNUMBER(MATCH($A43,TIPOS_SIN_DIFICULTAD,0)),"RESP_VACIA","DIFICULTADES_123"))</formula1>
    </dataValidation>
    <dataValidation sqref="J44" showDropDown="0" showInputMessage="0" showErrorMessage="1" allowBlank="1" errorTitle="Dificultad invalida" error="Use 1, 2 o 3. Casos/problemas y Emparejamiento Ampliado no llevan dificultad." type="list">
      <formula1>INDIRECT(IF(ISNUMBER(MATCH($A44,TIPOS_SIN_DIFICULTAD,0)),"RESP_VACIA","DIFICULTADES_123"))</formula1>
    </dataValidation>
    <dataValidation sqref="J45" showDropDown="0" showInputMessage="0" showErrorMessage="1" allowBlank="1" errorTitle="Dificultad invalida" error="Use 1, 2 o 3. Casos/problemas y Emparejamiento Ampliado no llevan dificultad." type="list">
      <formula1>INDIRECT(IF(ISNUMBER(MATCH($A45,TIPOS_SIN_DIFICULTAD,0)),"RESP_VACIA","DIFICULTADES_123"))</formula1>
    </dataValidation>
    <dataValidation sqref="J46" showDropDown="0" showInputMessage="0" showErrorMessage="1" allowBlank="1" errorTitle="Dificultad invalida" error="Use 1, 2 o 3. Casos/problemas y Emparejamiento Ampliado no llevan dificultad." type="list">
      <formula1>INDIRECT(IF(ISNUMBER(MATCH($A46,TIPOS_SIN_DIFICULTAD,0)),"RESP_VACIA","DIFICULTADES_123"))</formula1>
    </dataValidation>
    <dataValidation sqref="J47" showDropDown="0" showInputMessage="0" showErrorMessage="1" allowBlank="1" errorTitle="Dificultad invalida" error="Use 1, 2 o 3. Casos/problemas y Emparejamiento Ampliado no llevan dificultad." type="list">
      <formula1>INDIRECT(IF(ISNUMBER(MATCH($A47,TIPOS_SIN_DIFICULTAD,0)),"RESP_VACIA","DIFICULTADES_123"))</formula1>
    </dataValidation>
    <dataValidation sqref="J48" showDropDown="0" showInputMessage="0" showErrorMessage="1" allowBlank="1" errorTitle="Dificultad invalida" error="Use 1, 2 o 3. Casos/problemas y Emparejamiento Ampliado no llevan dificultad." type="list">
      <formula1>INDIRECT(IF(ISNUMBER(MATCH($A48,TIPOS_SIN_DIFICULTAD,0)),"RESP_VACIA","DIFICULTADES_123"))</formula1>
    </dataValidation>
    <dataValidation sqref="J49" showDropDown="0" showInputMessage="0" showErrorMessage="1" allowBlank="1" errorTitle="Dificultad invalida" error="Use 1, 2 o 3. Casos/problemas y Emparejamiento Ampliado no llevan dificultad." type="list">
      <formula1>INDIRECT(IF(ISNUMBER(MATCH($A49,TIPOS_SIN_DIFICULTAD,0)),"RESP_VACIA","DIFICULTADES_123"))</formula1>
    </dataValidation>
    <dataValidation sqref="J5" showDropDown="0" showInputMessage="0" showErrorMessage="1" allowBlank="1" errorTitle="Dificultad invalida" error="Use 1, 2 o 3. Casos/problemas y Emparejamiento Ampliado no llevan dificultad." type="list">
      <formula1>INDIRECT(IF(ISNUMBER(MATCH($A5,TIPOS_SIN_DIFICULTAD,0)),"RESP_VACIA","DIFICULTADES_123"))</formula1>
    </dataValidation>
    <dataValidation sqref="J50" showDropDown="0" showInputMessage="0" showErrorMessage="1" allowBlank="1" errorTitle="Dificultad invalida" error="Use 1, 2 o 3. Casos/problemas y Emparejamiento Ampliado no llevan dificultad." type="list">
      <formula1>INDIRECT(IF(ISNUMBER(MATCH($A50,TIPOS_SIN_DIFICULTAD,0)),"RESP_VACIA","DIFICULTADES_123"))</formula1>
    </dataValidation>
    <dataValidation sqref="J51" showDropDown="0" showInputMessage="0" showErrorMessage="1" allowBlank="1" errorTitle="Dificultad invalida" error="Use 1, 2 o 3. Casos/problemas y Emparejamiento Ampliado no llevan dificultad." type="list">
      <formula1>INDIRECT(IF(ISNUMBER(MATCH($A51,TIPOS_SIN_DIFICULTAD,0)),"RESP_VACIA","DIFICULTADES_123"))</formula1>
    </dataValidation>
    <dataValidation sqref="J52" showDropDown="0" showInputMessage="0" showErrorMessage="1" allowBlank="1" errorTitle="Dificultad invalida" error="Use 1, 2 o 3. Casos/problemas y Emparejamiento Ampliado no llevan dificultad." type="list">
      <formula1>INDIRECT(IF(ISNUMBER(MATCH($A52,TIPOS_SIN_DIFICULTAD,0)),"RESP_VACIA","DIFICULTADES_123"))</formula1>
    </dataValidation>
    <dataValidation sqref="J53" showDropDown="0" showInputMessage="0" showErrorMessage="1" allowBlank="1" errorTitle="Dificultad invalida" error="Use 1, 2 o 3. Casos/problemas y Emparejamiento Ampliado no llevan dificultad." type="list">
      <formula1>INDIRECT(IF(ISNUMBER(MATCH($A53,TIPOS_SIN_DIFICULTAD,0)),"RESP_VACIA","DIFICULTADES_123"))</formula1>
    </dataValidation>
    <dataValidation sqref="J54" showDropDown="0" showInputMessage="0" showErrorMessage="1" allowBlank="1" errorTitle="Dificultad invalida" error="Use 1, 2 o 3. Casos/problemas y Emparejamiento Ampliado no llevan dificultad." type="list">
      <formula1>INDIRECT(IF(ISNUMBER(MATCH($A54,TIPOS_SIN_DIFICULTAD,0)),"RESP_VACIA","DIFICULTADES_123"))</formula1>
    </dataValidation>
    <dataValidation sqref="J55" showDropDown="0" showInputMessage="0" showErrorMessage="1" allowBlank="1" errorTitle="Dificultad invalida" error="Use 1, 2 o 3. Casos/problemas y Emparejamiento Ampliado no llevan dificultad." type="list">
      <formula1>INDIRECT(IF(ISNUMBER(MATCH($A55,TIPOS_SIN_DIFICULTAD,0)),"RESP_VACIA","DIFICULTADES_123"))</formula1>
    </dataValidation>
    <dataValidation sqref="J56" showDropDown="0" showInputMessage="0" showErrorMessage="1" allowBlank="1" errorTitle="Dificultad invalida" error="Use 1, 2 o 3. Casos/problemas y Emparejamiento Ampliado no llevan dificultad." type="list">
      <formula1>INDIRECT(IF(ISNUMBER(MATCH($A56,TIPOS_SIN_DIFICULTAD,0)),"RESP_VACIA","DIFICULTADES_123"))</formula1>
    </dataValidation>
    <dataValidation sqref="J57" showDropDown="0" showInputMessage="0" showErrorMessage="1" allowBlank="1" errorTitle="Dificultad invalida" error="Use 1, 2 o 3. Casos/problemas y Emparejamiento Ampliado no llevan dificultad." type="list">
      <formula1>INDIRECT(IF(ISNUMBER(MATCH($A57,TIPOS_SIN_DIFICULTAD,0)),"RESP_VACIA","DIFICULTADES_123"))</formula1>
    </dataValidation>
    <dataValidation sqref="J58" showDropDown="0" showInputMessage="0" showErrorMessage="1" allowBlank="1" errorTitle="Dificultad invalida" error="Use 1, 2 o 3. Casos/problemas y Emparejamiento Ampliado no llevan dificultad." type="list">
      <formula1>INDIRECT(IF(ISNUMBER(MATCH($A58,TIPOS_SIN_DIFICULTAD,0)),"RESP_VACIA","DIFICULTADES_123"))</formula1>
    </dataValidation>
    <dataValidation sqref="J59" showDropDown="0" showInputMessage="0" showErrorMessage="1" allowBlank="1" errorTitle="Dificultad invalida" error="Use 1, 2 o 3. Casos/problemas y Emparejamiento Ampliado no llevan dificultad." type="list">
      <formula1>INDIRECT(IF(ISNUMBER(MATCH($A59,TIPOS_SIN_DIFICULTAD,0)),"RESP_VACIA","DIFICULTADES_123"))</formula1>
    </dataValidation>
    <dataValidation sqref="J6" showDropDown="0" showInputMessage="0" showErrorMessage="1" allowBlank="1" errorTitle="Dificultad invalida" error="Use 1, 2 o 3. Casos/problemas y Emparejamiento Ampliado no llevan dificultad." type="list">
      <formula1>INDIRECT(IF(ISNUMBER(MATCH($A6,TIPOS_SIN_DIFICULTAD,0)),"RESP_VACIA","DIFICULTADES_123"))</formula1>
    </dataValidation>
    <dataValidation sqref="J60" showDropDown="0" showInputMessage="0" showErrorMessage="1" allowBlank="1" errorTitle="Dificultad invalida" error="Use 1, 2 o 3. Casos/problemas y Emparejamiento Ampliado no llevan dificultad." type="list">
      <formula1>INDIRECT(IF(ISNUMBER(MATCH($A60,TIPOS_SIN_DIFICULTAD,0)),"RESP_VACIA","DIFICULTADES_123"))</formula1>
    </dataValidation>
    <dataValidation sqref="J61" showDropDown="0" showInputMessage="0" showErrorMessage="1" allowBlank="1" errorTitle="Dificultad invalida" error="Use 1, 2 o 3. Casos/problemas y Emparejamiento Ampliado no llevan dificultad." type="list">
      <formula1>INDIRECT(IF(ISNUMBER(MATCH($A61,TIPOS_SIN_DIFICULTAD,0)),"RESP_VACIA","DIFICULTADES_123"))</formula1>
    </dataValidation>
    <dataValidation sqref="J7" showDropDown="0" showInputMessage="0" showErrorMessage="1" allowBlank="1" errorTitle="Dificultad invalida" error="Use 1, 2 o 3. Casos/problemas y Emparejamiento Ampliado no llevan dificultad." type="list">
      <formula1>INDIRECT(IF(ISNUMBER(MATCH($A7,TIPOS_SIN_DIFICULTAD,0)),"RESP_VACIA","DIFICULTADES_123"))</formula1>
    </dataValidation>
    <dataValidation sqref="J8" showDropDown="0" showInputMessage="0" showErrorMessage="1" allowBlank="1" errorTitle="Dificultad invalida" error="Use 1, 2 o 3. Casos/problemas y Emparejamiento Ampliado no llevan dificultad." type="list">
      <formula1>INDIRECT(IF(ISNUMBER(MATCH($A8,TIPOS_SIN_DIFICULTAD,0)),"RESP_VACIA","DIFICULTADES_123"))</formula1>
    </dataValidation>
    <dataValidation sqref="J9" showDropDown="0" showInputMessage="0" showErrorMessage="1" allowBlank="1" errorTitle="Dificultad invalida" error="Use 1, 2 o 3. Casos/problemas y Emparejamiento Ampliado no llevan dificultad." type="list">
      <formula1>INDIRECT(IF(ISNUMBER(MATCH($A9,TIPOS_SIN_DIFICULTAD,0)),"RESP_VACIA","DIFICULTADES_123"))</formula1>
    </dataValidation>
    <dataValidation sqref="A2:A61" showDropDown="0" showInputMessage="1" showErrorMessage="1" allowBlank="1" errorTitle="Tipo no válido" error="Seleccione un tipo desde la lista del formato oficial." promptTitle="Tipo de pregunta" prompt="Seleccione un tipo. Las columnas de incisos se completan automáticamente según la tipología." type="list">
      <formula1>LISTA_TIPOS_2P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60" customWidth="1" style="6" min="3" max="3"/>
    <col width="25" customWidth="1" style="6" min="4" max="8"/>
    <col width="20" customWidth="1" min="9" max="9"/>
    <col width="12" customWidth="1" min="10" max="11"/>
    <col width="46" customWidth="1" style="6" min="12" max="12"/>
    <col hidden="1" width="3" customWidth="1" min="13" max="36"/>
  </cols>
  <sheetData>
    <row r="1">
      <c r="A1" s="18" t="inlineStr">
        <is>
          <t>tipo</t>
        </is>
      </c>
      <c r="B1" s="18" t="inlineStr">
        <is>
          <t>grupo</t>
        </is>
      </c>
      <c r="C1" s="18" t="inlineStr">
        <is>
          <t>enunciado</t>
        </is>
      </c>
      <c r="D1" s="18" t="inlineStr">
        <is>
          <t>opcion_a</t>
        </is>
      </c>
      <c r="E1" s="18" t="inlineStr">
        <is>
          <t>opcion_b</t>
        </is>
      </c>
      <c r="F1" s="18" t="inlineStr">
        <is>
          <t>opcion_c</t>
        </is>
      </c>
      <c r="G1" s="18" t="inlineStr">
        <is>
          <t>opcion_d</t>
        </is>
      </c>
      <c r="H1" s="18" t="inlineStr">
        <is>
          <t>opcion_e</t>
        </is>
      </c>
      <c r="I1" s="18" t="inlineStr">
        <is>
          <t>respuesta_correcta</t>
        </is>
      </c>
      <c r="J1" s="18" t="inlineStr">
        <is>
          <t>dificultad</t>
        </is>
      </c>
      <c r="K1" s="18" t="inlineStr">
        <is>
          <t>parcial</t>
        </is>
      </c>
      <c r="L1" s="18" t="inlineStr">
        <is>
          <t>observaciones</t>
        </is>
      </c>
    </row>
    <row r="2">
      <c r="A2" s="17" t="inlineStr">
        <is>
          <t>Verdadero o Falso Simple</t>
        </is>
      </c>
      <c r="C2" s="6" t="inlineStr">
        <is>
          <t>El agua hierve a 100 grados Celsius al nivel del mar.</t>
        </is>
      </c>
      <c r="D2" t="inlineStr">
        <is>
          <t>Verdadero</t>
        </is>
      </c>
      <c r="E2" t="inlineStr">
        <is>
          <t>Falso</t>
        </is>
      </c>
      <c r="I2" t="inlineStr">
        <is>
          <t>A</t>
        </is>
      </c>
      <c r="J2" t="inlineStr">
        <is>
          <t>1</t>
        </is>
      </c>
      <c r="K2" t="inlineStr">
        <is>
          <t>2P</t>
        </is>
      </c>
      <c r="L2" t="inlineStr">
        <is>
          <t>OK</t>
        </is>
      </c>
    </row>
    <row r="3">
      <c r="A3" s="17" t="inlineStr">
        <is>
          <t>Verdadero o Falso Simple</t>
        </is>
      </c>
      <c r="C3" s="6" t="inlineStr">
        <is>
          <t>La Antartida es el continente mas calido del planeta.</t>
        </is>
      </c>
      <c r="D3" t="inlineStr">
        <is>
          <t>Verdadero</t>
        </is>
      </c>
      <c r="E3" t="inlineStr">
        <is>
          <t>Falso</t>
        </is>
      </c>
      <c r="I3" t="inlineStr">
        <is>
          <t>B</t>
        </is>
      </c>
      <c r="J3" t="inlineStr">
        <is>
          <t>1</t>
        </is>
      </c>
      <c r="K3" t="inlineStr">
        <is>
          <t>2P</t>
        </is>
      </c>
      <c r="L3" t="inlineStr">
        <is>
          <t>OK</t>
        </is>
      </c>
    </row>
    <row r="4">
      <c r="A4" s="17" t="inlineStr">
        <is>
          <t>Verdadero o Falso Complejas</t>
        </is>
      </c>
      <c r="C4" s="6" t="inlineStr">
        <is>
          <t>Seleccione los incisos correctos sobre geografia mundial.</t>
        </is>
      </c>
      <c r="D4" t="inlineStr">
        <is>
          <t>1. Asia es el continente con mayor superficie.</t>
        </is>
      </c>
      <c r="E4" t="inlineStr">
        <is>
          <t>2. El rio Nilo se encuentra en Africa.</t>
        </is>
      </c>
      <c r="F4" t="inlineStr">
        <is>
          <t>3. Brasil esta ubicado en America del Sur.</t>
        </is>
      </c>
      <c r="G4" t="inlineStr">
        <is>
          <t>4. Australia forma parte de Europa.</t>
        </is>
      </c>
      <c r="I4" t="inlineStr">
        <is>
          <t>A: 1, 2 y 3 son verdaderas</t>
        </is>
      </c>
      <c r="J4" t="inlineStr">
        <is>
          <t>2</t>
        </is>
      </c>
      <c r="K4" t="inlineStr">
        <is>
          <t>2P</t>
        </is>
      </c>
      <c r="L4" t="inlineStr">
        <is>
          <t>OK</t>
        </is>
      </c>
    </row>
    <row r="5">
      <c r="A5" s="17" t="inlineStr">
        <is>
          <t>Verdadero o Falso Complejas</t>
        </is>
      </c>
      <c r="C5" s="6" t="inlineStr">
        <is>
          <t>Seleccione los incisos correctos sobre ciencias naturales.</t>
        </is>
      </c>
      <c r="D5" t="inlineStr">
        <is>
          <t>1. Los mamiferos respiran por branquias durante toda su vida.</t>
        </is>
      </c>
      <c r="E5" t="inlineStr">
        <is>
          <t>2. La fotosintesis permite a las plantas producir glucosa.</t>
        </is>
      </c>
      <c r="F5" t="inlineStr">
        <is>
          <t>3. El oxigeno es necesario para la respiracion celular aerobia.</t>
        </is>
      </c>
      <c r="G5" t="inlineStr">
        <is>
          <t>4. El agua puede encontrarse en estado solido, liquido y gaseoso.</t>
        </is>
      </c>
      <c r="I5" t="inlineStr">
        <is>
          <t>C: 2 y 4 son verdaderas</t>
        </is>
      </c>
      <c r="J5" t="inlineStr">
        <is>
          <t>2</t>
        </is>
      </c>
      <c r="K5" t="inlineStr">
        <is>
          <t>2P</t>
        </is>
      </c>
      <c r="L5" t="inlineStr">
        <is>
          <t>OK</t>
        </is>
      </c>
    </row>
    <row r="6">
      <c r="A6" s="17" t="inlineStr">
        <is>
          <t>Selección de la mejor respuesta</t>
        </is>
      </c>
      <c r="C6" s="6" t="inlineStr">
        <is>
          <t>Cual es el planeta mas cercano al Sol?</t>
        </is>
      </c>
      <c r="D6" t="inlineStr">
        <is>
          <t>Venus</t>
        </is>
      </c>
      <c r="E6" t="inlineStr">
        <is>
          <t>Mercurio</t>
        </is>
      </c>
      <c r="F6" t="inlineStr">
        <is>
          <t>Marte</t>
        </is>
      </c>
      <c r="G6" t="inlineStr">
        <is>
          <t>Jupiter</t>
        </is>
      </c>
      <c r="H6" t="inlineStr">
        <is>
          <t>Saturno</t>
        </is>
      </c>
      <c r="I6" t="inlineStr">
        <is>
          <t>B</t>
        </is>
      </c>
      <c r="J6" t="inlineStr">
        <is>
          <t>2</t>
        </is>
      </c>
      <c r="K6" t="inlineStr">
        <is>
          <t>2P</t>
        </is>
      </c>
      <c r="L6" t="inlineStr">
        <is>
          <t>OK</t>
        </is>
      </c>
    </row>
    <row r="7">
      <c r="A7" s="17" t="inlineStr">
        <is>
          <t>Selección de la mejor respuesta</t>
        </is>
      </c>
      <c r="C7" s="6" t="inlineStr">
        <is>
          <t>Que organo bombea la sangre en el cuerpo humano?</t>
        </is>
      </c>
      <c r="D7" t="inlineStr">
        <is>
          <t>Pulmon</t>
        </is>
      </c>
      <c r="E7" t="inlineStr">
        <is>
          <t>Higado</t>
        </is>
      </c>
      <c r="F7" t="inlineStr">
        <is>
          <t>Corazon</t>
        </is>
      </c>
      <c r="G7" t="inlineStr">
        <is>
          <t>Estomago</t>
        </is>
      </c>
      <c r="H7" t="inlineStr">
        <is>
          <t>Rinon</t>
        </is>
      </c>
      <c r="I7" t="inlineStr">
        <is>
          <t>C</t>
        </is>
      </c>
      <c r="J7" t="inlineStr">
        <is>
          <t>2</t>
        </is>
      </c>
      <c r="K7" t="inlineStr">
        <is>
          <t>2P</t>
        </is>
      </c>
      <c r="L7" t="inlineStr">
        <is>
          <t>OK</t>
        </is>
      </c>
    </row>
    <row r="8" ht="36" customHeight="1">
      <c r="A8" s="17" t="inlineStr">
        <is>
          <t>Respuesta A/B/Ambas/Ninguna</t>
        </is>
      </c>
      <c r="C8" s="6" t="inlineStr">
        <is>
          <t>I. La capital de Bolivia es Sucre.
II. La sede de gobierno de Bolivia esta en La Paz.</t>
        </is>
      </c>
      <c r="D8" t="inlineStr">
        <is>
          <t>A. Si la primera es verdadera</t>
        </is>
      </c>
      <c r="E8" t="inlineStr">
        <is>
          <t>B. Si la segunda es verdadera</t>
        </is>
      </c>
      <c r="F8" t="inlineStr">
        <is>
          <t>C. Si ambas son verdaderas</t>
        </is>
      </c>
      <c r="G8" t="inlineStr">
        <is>
          <t>D. Si ninguna es verdadera</t>
        </is>
      </c>
      <c r="I8" t="inlineStr">
        <is>
          <t>C</t>
        </is>
      </c>
      <c r="J8" t="inlineStr">
        <is>
          <t>3</t>
        </is>
      </c>
      <c r="K8" t="inlineStr">
        <is>
          <t>2P</t>
        </is>
      </c>
      <c r="L8" t="inlineStr">
        <is>
          <t>OK</t>
        </is>
      </c>
    </row>
    <row r="9" ht="36" customHeight="1">
      <c r="A9" s="17" t="inlineStr">
        <is>
          <t>Respuesta A/B/Ambas/Ninguna</t>
        </is>
      </c>
      <c r="C9" s="6" t="inlineStr">
        <is>
          <t>I. La Tierra gira alrededor del Sol.
II. La Luna es una estrella con luz propia.</t>
        </is>
      </c>
      <c r="D9" t="inlineStr">
        <is>
          <t>A. Si la primera es verdadera</t>
        </is>
      </c>
      <c r="E9" t="inlineStr">
        <is>
          <t>B. Si la segunda es verdadera</t>
        </is>
      </c>
      <c r="F9" t="inlineStr">
        <is>
          <t>C. Si ambas son verdaderas</t>
        </is>
      </c>
      <c r="G9" t="inlineStr">
        <is>
          <t>D. Si ninguna es verdadera</t>
        </is>
      </c>
      <c r="I9" t="inlineStr">
        <is>
          <t>A</t>
        </is>
      </c>
      <c r="J9" t="inlineStr">
        <is>
          <t>3</t>
        </is>
      </c>
      <c r="K9" t="inlineStr">
        <is>
          <t>2P</t>
        </is>
      </c>
      <c r="L9" t="inlineStr">
        <is>
          <t>OK</t>
        </is>
      </c>
    </row>
    <row r="10">
      <c r="A10" s="17" t="inlineStr">
        <is>
          <t>Ítems agrupados por caso clínico o problema</t>
        </is>
      </c>
      <c r="B10" t="inlineStr">
        <is>
          <t>CASO-GEN1</t>
        </is>
      </c>
      <c r="C10" s="6" t="inlineStr">
        <is>
          <t>Caso de lectura 1: En una ciudad se organiza una campana para reducir residuos. El equipo municipal instalara puntos de reciclaje, separara materiales y comunicara horarios de recoleccion a los vecinos.</t>
        </is>
      </c>
      <c r="K10" t="inlineStr">
        <is>
          <t>2P</t>
        </is>
      </c>
      <c r="L10" t="inlineStr">
        <is>
          <t>OK - tronco sin dificultad</t>
        </is>
      </c>
    </row>
    <row r="11">
      <c r="A11" s="17" t="inlineStr">
        <is>
          <t>Subítem de caso o problema</t>
        </is>
      </c>
      <c r="B11" t="inlineStr">
        <is>
          <t>CASO-GEN1</t>
        </is>
      </c>
      <c r="C11" s="6" t="inlineStr">
        <is>
          <t>Cual es una accion inicial adecuada para que la campana funcione?</t>
        </is>
      </c>
      <c r="D11" t="inlineStr">
        <is>
          <t>Definir puntos de reciclaje visibles y accesibles</t>
        </is>
      </c>
      <c r="E11" t="inlineStr">
        <is>
          <t>Ocultar los horarios de recoleccion</t>
        </is>
      </c>
      <c r="F11" t="inlineStr">
        <is>
          <t>Mezclar todos los residuos en una sola bolsa</t>
        </is>
      </c>
      <c r="G11" t="inlineStr">
        <is>
          <t>Eliminar la comunicacion con los vecinos</t>
        </is>
      </c>
      <c r="H11" t="inlineStr">
        <is>
          <t>Suspender la separacion de materiales</t>
        </is>
      </c>
      <c r="I11" t="inlineStr">
        <is>
          <t>A</t>
        </is>
      </c>
      <c r="J11" t="inlineStr">
        <is>
          <t>2</t>
        </is>
      </c>
      <c r="K11" t="inlineStr">
        <is>
          <t>2P</t>
        </is>
      </c>
      <c r="L11" t="inlineStr">
        <is>
          <t>OK</t>
        </is>
      </c>
    </row>
    <row r="12">
      <c r="A12" s="17" t="inlineStr">
        <is>
          <t>Subítem de caso o problema</t>
        </is>
      </c>
      <c r="B12" t="inlineStr">
        <is>
          <t>CASO-GEN1</t>
        </is>
      </c>
      <c r="C12" s="6" t="inlineStr">
        <is>
          <t>Que tipo de residuo corresponde separar en un contenedor para papel y carton?</t>
        </is>
      </c>
      <c r="D12" t="inlineStr">
        <is>
          <t>Restos de comida</t>
        </is>
      </c>
      <c r="E12" t="inlineStr">
        <is>
          <t>Botellas de vidrio</t>
        </is>
      </c>
      <c r="F12" t="inlineStr">
        <is>
          <t>Cajas de carton limpias</t>
        </is>
      </c>
      <c r="G12" t="inlineStr">
        <is>
          <t>Pilas usadas</t>
        </is>
      </c>
      <c r="H12" t="inlineStr">
        <is>
          <t>Aceite de cocina</t>
        </is>
      </c>
      <c r="I12" t="inlineStr">
        <is>
          <t>C</t>
        </is>
      </c>
      <c r="J12" t="inlineStr">
        <is>
          <t>2</t>
        </is>
      </c>
      <c r="K12" t="inlineStr">
        <is>
          <t>2P</t>
        </is>
      </c>
      <c r="L12" t="inlineStr">
        <is>
          <t>OK</t>
        </is>
      </c>
    </row>
    <row r="13">
      <c r="A13" s="17" t="inlineStr">
        <is>
          <t>Emparejamiento Ampliado</t>
        </is>
      </c>
      <c r="B13" t="inlineStr">
        <is>
          <t>EMP-GEN1</t>
        </is>
      </c>
      <c r="C13" s="6" t="inlineStr">
        <is>
          <t>De la lista de opciones, seleccione la respuesta correcta para cada enunciado</t>
        </is>
      </c>
      <c r="D13" t="inlineStr">
        <is>
          <t>Sol</t>
        </is>
      </c>
      <c r="E13" t="inlineStr">
        <is>
          <t>Luna</t>
        </is>
      </c>
      <c r="K13" t="inlineStr">
        <is>
          <t>2P</t>
        </is>
      </c>
      <c r="L13" t="inlineStr">
        <is>
          <t>OK</t>
        </is>
      </c>
    </row>
    <row r="14">
      <c r="A14" s="17" t="inlineStr">
        <is>
          <t>Opción de Emparejamiento Ampliado</t>
        </is>
      </c>
      <c r="B14" t="inlineStr">
        <is>
          <t>EMP-GEN1</t>
        </is>
      </c>
      <c r="C14" s="6" t="inlineStr">
        <is>
          <t>Estrella ubicada en el centro del sistema solar.</t>
        </is>
      </c>
      <c r="I14" t="inlineStr">
        <is>
          <t>A</t>
        </is>
      </c>
      <c r="J14" t="inlineStr">
        <is>
          <t>1</t>
        </is>
      </c>
      <c r="K14" t="inlineStr">
        <is>
          <t>2P</t>
        </is>
      </c>
      <c r="L14" t="inlineStr">
        <is>
          <t>OK</t>
        </is>
      </c>
    </row>
    <row r="15">
      <c r="A15" s="17" t="inlineStr">
        <is>
          <t>Opción de Emparejamiento Ampliado</t>
        </is>
      </c>
      <c r="B15" t="inlineStr">
        <is>
          <t>EMP-GEN1</t>
        </is>
      </c>
      <c r="C15" s="6" t="inlineStr">
        <is>
          <t>Satelite natural de la Tierra.</t>
        </is>
      </c>
      <c r="I15" t="inlineStr">
        <is>
          <t>B</t>
        </is>
      </c>
      <c r="J15" t="inlineStr">
        <is>
          <t>1</t>
        </is>
      </c>
      <c r="K15" t="inlineStr">
        <is>
          <t>2P</t>
        </is>
      </c>
      <c r="L15" t="inlineStr">
        <is>
          <t>OK</t>
        </is>
      </c>
    </row>
    <row r="16">
      <c r="A16" s="17" t="inlineStr">
        <is>
          <t>Emparejamiento Ampliado</t>
        </is>
      </c>
      <c r="B16" t="inlineStr">
        <is>
          <t>EMP-GEN2</t>
        </is>
      </c>
      <c r="C16" s="6" t="inlineStr">
        <is>
          <t>De la lista de opciones, seleccione la respuesta correcta para cada enunciado</t>
        </is>
      </c>
      <c r="D16" t="inlineStr">
        <is>
          <t>Evaporacion</t>
        </is>
      </c>
      <c r="E16" t="inlineStr">
        <is>
          <t>Condensacion</t>
        </is>
      </c>
      <c r="F16" t="inlineStr">
        <is>
          <t>Precipitacion</t>
        </is>
      </c>
      <c r="K16" t="inlineStr">
        <is>
          <t>2P</t>
        </is>
      </c>
      <c r="L16" t="inlineStr">
        <is>
          <t>OK</t>
        </is>
      </c>
    </row>
    <row r="17">
      <c r="A17" s="17" t="inlineStr">
        <is>
          <t>Opción de Emparejamiento Ampliado</t>
        </is>
      </c>
      <c r="B17" t="inlineStr">
        <is>
          <t>EMP-GEN2</t>
        </is>
      </c>
      <c r="C17" s="6" t="inlineStr">
        <is>
          <t>Proceso por el cual el vapor de agua se transforma en gotas.</t>
        </is>
      </c>
      <c r="I17" t="inlineStr">
        <is>
          <t>B</t>
        </is>
      </c>
      <c r="J17" t="inlineStr">
        <is>
          <t>2</t>
        </is>
      </c>
      <c r="K17" t="inlineStr">
        <is>
          <t>2P</t>
        </is>
      </c>
      <c r="L17" t="inlineStr">
        <is>
          <t>OK</t>
        </is>
      </c>
    </row>
    <row r="18">
      <c r="A18" s="17" t="inlineStr">
        <is>
          <t>Opción de Emparejamiento Ampliado</t>
        </is>
      </c>
      <c r="B18" t="inlineStr">
        <is>
          <t>EMP-GEN2</t>
        </is>
      </c>
      <c r="C18" s="6" t="inlineStr">
        <is>
          <t>Caida de agua desde las nubes hacia la superficie.</t>
        </is>
      </c>
      <c r="I18" t="inlineStr">
        <is>
          <t>C</t>
        </is>
      </c>
      <c r="J18" t="inlineStr">
        <is>
          <t>2</t>
        </is>
      </c>
      <c r="K18" t="inlineStr">
        <is>
          <t>2P</t>
        </is>
      </c>
      <c r="L18" t="inlineStr">
        <is>
          <t>OK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Verdadero o Falso Simple</t>
        </is>
      </c>
      <c r="B1" t="inlineStr">
        <is>
          <t>A</t>
        </is>
      </c>
      <c r="C1" t="inlineStr">
        <is>
          <t>A</t>
        </is>
      </c>
      <c r="D1" t="inlineStr">
        <is>
          <t>A</t>
        </is>
      </c>
      <c r="E1" t="inlineStr">
        <is>
          <t>2</t>
        </is>
      </c>
      <c r="F1" t="inlineStr">
        <is>
          <t>1</t>
        </is>
      </c>
      <c r="G1" t="inlineStr">
        <is>
          <t>2P</t>
        </is>
      </c>
      <c r="H1" t="inlineStr">
        <is>
          <t>A: 1, 2 y 3 son verdaderas</t>
        </is>
      </c>
      <c r="I1" t="inlineStr">
        <is>
          <t>De la lista de opciones, seleccione la respuesta correcta para cada enunciado</t>
        </is>
      </c>
      <c r="J1" t="inlineStr">
        <is>
          <t>Verdadero o Falso Simple</t>
        </is>
      </c>
      <c r="K1" t="inlineStr">
        <is>
          <t>RESP_VF</t>
        </is>
      </c>
      <c r="L1" t="inlineStr">
        <is>
          <t>Ítems agrupados por caso clínico o problema</t>
        </is>
      </c>
      <c r="M1" t="inlineStr">
        <is>
          <t>Ítems agrupados por caso clínico o problema</t>
        </is>
      </c>
      <c r="N1" t="inlineStr">
        <is>
          <t>Verdadero o Falso Simple</t>
        </is>
      </c>
      <c r="O1" t="inlineStr">
        <is>
          <t>Verdadero o Falso Simple</t>
        </is>
      </c>
      <c r="P1" t="inlineStr">
        <is>
          <t>Respuesta A/B/Ambas/Ninguna</t>
        </is>
      </c>
      <c r="Q1" t="inlineStr">
        <is>
          <t>Respuesta A/B/Ambas/Ninguna</t>
        </is>
      </c>
      <c r="R1" t="inlineStr">
        <is>
          <t>Selección de la mejor respuesta</t>
        </is>
      </c>
    </row>
    <row r="2">
      <c r="A2" t="inlineStr">
        <is>
          <t>Respuesta A/B/Ambas/Ninguna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F2" t="inlineStr">
        <is>
          <t>2</t>
        </is>
      </c>
      <c r="H2" t="inlineStr">
        <is>
          <t>B: 1 y 3 son verdaderas</t>
        </is>
      </c>
      <c r="J2" t="inlineStr">
        <is>
          <t>Respuesta A/B/Ambas/Ninguna</t>
        </is>
      </c>
      <c r="K2" t="inlineStr">
        <is>
          <t>RESP_ABCD</t>
        </is>
      </c>
      <c r="L2" t="inlineStr">
        <is>
          <t>Subítem de caso o problema</t>
        </is>
      </c>
      <c r="M2" t="inlineStr">
        <is>
          <t>Emparejamiento Ampliado</t>
        </is>
      </c>
      <c r="N2" t="inlineStr">
        <is>
          <t>Respuesta A/B/Ambas/Ninguna</t>
        </is>
      </c>
      <c r="O2" t="inlineStr">
        <is>
          <t>Respuesta A/B/Ambas/Ninguna</t>
        </is>
      </c>
      <c r="P2" t="inlineStr">
        <is>
          <t>Verdadero o Falso Complejas</t>
        </is>
      </c>
      <c r="Q2" t="inlineStr">
        <is>
          <t>Verdadero o Falso Complejas</t>
        </is>
      </c>
      <c r="R2" t="inlineStr">
        <is>
          <t>Subítem de caso o problema</t>
        </is>
      </c>
    </row>
    <row r="3">
      <c r="A3" t="inlineStr">
        <is>
          <t>Verdadero o Falso Complejas</t>
        </is>
      </c>
      <c r="C3" t="inlineStr">
        <is>
          <t>C</t>
        </is>
      </c>
      <c r="D3" t="inlineStr">
        <is>
          <t>C</t>
        </is>
      </c>
      <c r="F3" t="inlineStr">
        <is>
          <t>3</t>
        </is>
      </c>
      <c r="H3" t="inlineStr">
        <is>
          <t>C: 2 y 4 son verdaderas</t>
        </is>
      </c>
      <c r="J3" t="inlineStr">
        <is>
          <t>Verdadero o Falso Complejas</t>
        </is>
      </c>
      <c r="K3" t="inlineStr">
        <is>
          <t>RESP_CLAVE</t>
        </is>
      </c>
      <c r="L3" t="inlineStr">
        <is>
          <t>Emparejamiento Ampliado</t>
        </is>
      </c>
      <c r="N3" t="inlineStr">
        <is>
          <t>Verdadero o Falso Complejas</t>
        </is>
      </c>
      <c r="O3" t="inlineStr">
        <is>
          <t>Verdadero o Falso Complejas</t>
        </is>
      </c>
      <c r="P3" t="inlineStr">
        <is>
          <t>Selección de la mejor respuesta</t>
        </is>
      </c>
      <c r="Q3" t="inlineStr">
        <is>
          <t>Selección de la mejor respuesta</t>
        </is>
      </c>
      <c r="R3" t="inlineStr">
        <is>
          <t>Emparejamiento Ampliado</t>
        </is>
      </c>
    </row>
    <row r="4">
      <c r="A4" t="inlineStr">
        <is>
          <t>Selección de la mejor respuesta</t>
        </is>
      </c>
      <c r="C4" t="inlineStr">
        <is>
          <t>D</t>
        </is>
      </c>
      <c r="D4" t="inlineStr">
        <is>
          <t>D</t>
        </is>
      </c>
      <c r="H4" t="inlineStr">
        <is>
          <t>D: Solo 4 es verdadera</t>
        </is>
      </c>
      <c r="J4" t="inlineStr">
        <is>
          <t>Selección de la mejor respuesta</t>
        </is>
      </c>
      <c r="K4" t="inlineStr">
        <is>
          <t>RESP_ABCDE</t>
        </is>
      </c>
      <c r="L4" t="inlineStr">
        <is>
          <t>Opción de Emparejamiento Ampliado</t>
        </is>
      </c>
      <c r="N4" t="inlineStr">
        <is>
          <t>Selección de la mejor respuesta</t>
        </is>
      </c>
      <c r="O4" t="inlineStr">
        <is>
          <t>Selección de la mejor respuesta</t>
        </is>
      </c>
      <c r="P4" t="inlineStr">
        <is>
          <t>Subítem de caso o problema</t>
        </is>
      </c>
      <c r="Q4" t="inlineStr">
        <is>
          <t>Subítem de caso o problema</t>
        </is>
      </c>
    </row>
    <row r="5">
      <c r="A5" t="inlineStr">
        <is>
          <t>Emparejamiento Ampliado</t>
        </is>
      </c>
      <c r="D5" t="inlineStr">
        <is>
          <t>E</t>
        </is>
      </c>
      <c r="H5" t="inlineStr">
        <is>
          <t>E: Todas son verdaderas</t>
        </is>
      </c>
      <c r="J5" t="inlineStr">
        <is>
          <t>Subítem de caso o problema</t>
        </is>
      </c>
      <c r="K5" t="inlineStr">
        <is>
          <t>RESP_ABCDE</t>
        </is>
      </c>
      <c r="N5" t="inlineStr">
        <is>
          <t>Subítem de caso o problema</t>
        </is>
      </c>
      <c r="O5" t="inlineStr">
        <is>
          <t>Subítem de caso o problema</t>
        </is>
      </c>
      <c r="P5" t="inlineStr">
        <is>
          <t>Emparejamiento Ampliado</t>
        </is>
      </c>
      <c r="Q5" t="inlineStr">
        <is>
          <t>Emparejamiento Ampliado</t>
        </is>
      </c>
    </row>
    <row r="6">
      <c r="A6" t="inlineStr">
        <is>
          <t>Opción de Emparejamiento Ampliado</t>
        </is>
      </c>
      <c r="J6" t="inlineStr">
        <is>
          <t>Opción de Emparejamiento Ampliado</t>
        </is>
      </c>
      <c r="K6" t="inlineStr">
        <is>
          <t>RESP_ABCDE</t>
        </is>
      </c>
      <c r="N6" t="inlineStr">
        <is>
          <t>Emparejamiento Ampliado</t>
        </is>
      </c>
      <c r="O6" t="inlineStr">
        <is>
          <t>Emparejamiento Ampliado</t>
        </is>
      </c>
    </row>
    <row r="7">
      <c r="A7" t="inlineStr">
        <is>
          <t>Ítems agrupados por caso clínico o problema</t>
        </is>
      </c>
    </row>
    <row r="8">
      <c r="A8" t="inlineStr">
        <is>
          <t>Subítem de caso o problema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2026-10-28T22:56:43Z</dcterms:created>
  <dcterms:modified xmlns:dcterms="http://purl.org/dc/terms/" xmlns:xsi="http://www.w3.org/2001/XMLSchema-instance" xsi:type="dcterms:W3CDTF">2026-10-28T22:56:43Z</dcterms:modified>
</cp:coreProperties>
</file>