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VALIDACIONES" sheetId="4" state="veryHidden" r:id="rId4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b val="1"/>
      <color rgb="FFFFFFFF"/>
      <sz val="16"/>
    </font>
    <font>
      <b val="1"/>
      <sz val="12"/>
    </font>
    <font>
      <b val="1"/>
      <color rgb="FFFF0000"/>
    </font>
    <font>
      <i val="1"/>
      <color rgb="FFC62828"/>
    </font>
    <font>
      <b val="1"/>
      <color rgb="FFFFFFFF"/>
    </font>
    <font>
      <b val="1"/>
    </font>
    <font>
      <name val="Calibri"/>
      <b val="1"/>
      <color rgb="FF3B1A75"/>
      <sz val="10"/>
    </font>
    <font>
      <name val="Calibri"/>
      <b val="1"/>
      <color rgb="FFFFFFFF"/>
      <sz val="11"/>
    </font>
    <font>
      <name val="Calibri"/>
      <color rgb="FF92400E"/>
      <sz val="11"/>
    </font>
    <font>
      <name val="Calibri"/>
      <color rgb="FF1F2937"/>
      <sz val="10"/>
    </font>
    <font>
      <name val="Calibri"/>
      <b val="1"/>
      <color rgb="FF4527A0"/>
      <sz val="11"/>
    </font>
    <font>
      <name val="Calibri"/>
      <color rgb="FF000000"/>
      <sz val="11"/>
    </font>
  </fonts>
  <fills count="80">
    <fill>
      <patternFill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4527A0"/>
        <bgColor rgb="FF4527A0"/>
      </patternFill>
    </fill>
    <fill>
      <patternFill patternType="solid">
        <fgColor rgb="FFF3F0FF"/>
        <bgColor rgb="FFF3F0FF"/>
      </patternFill>
    </fill>
    <fill>
      <patternFill patternType="solid">
        <fgColor rgb="FFF3F4F6"/>
        <bgColor rgb="FFF3F4F6"/>
      </patternFill>
    </fill>
    <fill>
      <patternFill patternType="solid">
        <fgColor rgb="FFFFF2CC"/>
        <bgColor rgb="FFFFF2CC"/>
      </patternFill>
    </fill>
  </fills>
  <borders count="20">
    <border/>
    <border>
      <left style="thin"/>
      <right style="thin"/>
      <top style="thin"/>
      <bottom style="thin"/>
    </border>
    <border>
      <left style="thin">
        <color rgb="FF7C3AED"/>
      </left>
      <top style="thin">
        <color rgb="FF7C3AED"/>
      </top>
    </border>
    <border>
      <right style="thin">
        <color rgb="FF7C3AED"/>
      </right>
      <top style="thin">
        <color rgb="FF7C3AED"/>
      </top>
    </border>
    <border>
      <left style="thin">
        <color rgb="FF7C3AED"/>
      </left>
    </border>
    <border>
      <right style="thin">
        <color rgb="FF7C3AED"/>
      </right>
    </border>
    <border>
      <left style="thin">
        <color rgb="FF7C3AED"/>
      </left>
      <bottom style="thin">
        <color rgb="FF7C3AED"/>
      </bottom>
    </border>
    <border>
      <right style="thin">
        <color rgb="FF7C3AED"/>
      </right>
      <bottom style="thin">
        <color rgb="FF7C3AED"/>
      </bottom>
    </border>
    <border>
      <left style="thin">
        <color rgb="FFB8A8F5"/>
      </left>
      <top style="thin">
        <color rgb="FFB8A8F5"/>
      </top>
    </border>
    <border>
      <top style="thin">
        <color rgb="FFB8A8F5"/>
      </top>
    </border>
    <border>
      <right style="thin">
        <color rgb="FFB8A8F5"/>
      </right>
      <top style="thin">
        <color rgb="FFB8A8F5"/>
      </top>
    </border>
    <border>
      <left style="thin">
        <color rgb="FFB8A8F5"/>
      </left>
    </border>
    <border>
      <right style="thin">
        <color rgb="FFB8A8F5"/>
      </right>
    </border>
    <border>
      <left style="thin">
        <color rgb="FFB8A8F5"/>
      </left>
      <bottom style="thin">
        <color rgb="FFB8A8F5"/>
      </bottom>
    </border>
    <border>
      <bottom style="thin">
        <color rgb="FFB8A8F5"/>
      </bottom>
    </border>
    <border>
      <right style="thin">
        <color rgb="FFB8A8F5"/>
      </right>
      <bottom style="thin">
        <color rgb="FFB8A8F5"/>
      </bottom>
    </border>
    <border>
      <left style="thin">
        <color rgb="FFB8A8F5"/>
      </left>
      <right style="thin">
        <color rgb="FFB8A8F5"/>
      </right>
      <top style="thin">
        <color rgb="FFB8A8F5"/>
      </top>
      <bottom style="thin">
        <color rgb="FFB8A8F5"/>
      </bottom>
    </border>
    <border>
      <top style="thin">
        <color rgb="FFB8A8F5"/>
      </top>
      <bottom style="thin">
        <color rgb="FFB8A8F5"/>
      </bottom>
    </border>
    <border>
      <right style="thin">
        <color rgb="FFB8A8F5"/>
      </right>
      <top style="thin">
        <color rgb="FFB8A8F5"/>
      </top>
      <bottom style="thin">
        <color rgb="FFB8A8F5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6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6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6" fillId="6" borderId="1" pivotButton="0" quotePrefix="0" xfId="0"/>
    <xf numFmtId="0" fontId="6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2" pivotButton="0" quotePrefix="0" xfId="0"/>
    <xf numFmtId="0" fontId="7" fillId="8" borderId="3" pivotButton="0" quotePrefix="0" xfId="0"/>
    <xf numFmtId="0" fontId="7" fillId="8" borderId="4" pivotButton="0" quotePrefix="0" xfId="0"/>
    <xf numFmtId="0" fontId="7" fillId="8" borderId="5" pivotButton="0" quotePrefix="0" xfId="0"/>
    <xf numFmtId="0" fontId="7" fillId="8" borderId="6" pivotButton="0" quotePrefix="0" xfId="0"/>
    <xf numFmtId="0" fontId="7" fillId="8" borderId="7" pivotButton="0" quotePrefix="0" xfId="0"/>
    <xf numFmtId="0" fontId="7" fillId="8" borderId="2" applyAlignment="1" pivotButton="0" quotePrefix="0" xfId="0">
      <alignment wrapText="1"/>
    </xf>
    <xf numFmtId="0" fontId="7" fillId="8" borderId="3" applyAlignment="1" pivotButton="0" quotePrefix="0" xfId="0">
      <alignment wrapText="1"/>
    </xf>
    <xf numFmtId="0" fontId="7" fillId="8" borderId="4" applyAlignment="1" pivotButton="0" quotePrefix="0" xfId="0">
      <alignment wrapText="1"/>
    </xf>
    <xf numFmtId="0" fontId="7" fillId="8" borderId="5" applyAlignment="1" pivotButton="0" quotePrefix="0" xfId="0">
      <alignment wrapText="1"/>
    </xf>
    <xf numFmtId="0" fontId="7" fillId="8" borderId="6" applyAlignment="1" pivotButton="0" quotePrefix="0" xfId="0">
      <alignment wrapText="1"/>
    </xf>
    <xf numFmtId="0" fontId="7" fillId="8" borderId="7" applyAlignment="1" pivotButton="0" quotePrefix="0" xfId="0">
      <alignment wrapText="1"/>
    </xf>
    <xf numFmtId="0" fontId="7" fillId="8" borderId="2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7" fillId="8" borderId="5" applyAlignment="1" pivotButton="0" quotePrefix="0" xfId="0">
      <alignment vertical="center" wrapText="1"/>
    </xf>
    <xf numFmtId="0" fontId="7" fillId="8" borderId="6" applyAlignment="1" pivotButton="0" quotePrefix="0" xfId="0">
      <alignment vertical="center" wrapText="1"/>
    </xf>
    <xf numFmtId="0" fontId="7" fillId="8" borderId="7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vertical="center" wrapText="1"/>
    </xf>
    <xf numFmtId="0" fontId="7" fillId="10" borderId="7" applyAlignment="1" pivotButton="0" quotePrefix="0" xfId="0">
      <alignment horizontal="center" vertical="center" wrapText="1"/>
    </xf>
    <xf numFmtId="0" fontId="0" fillId="11" borderId="0" pivotButton="0" quotePrefix="0" xfId="0"/>
    <xf numFmtId="0" fontId="8" fillId="11" borderId="0" pivotButton="0" quotePrefix="0" xfId="0"/>
    <xf numFmtId="0" fontId="8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0"/>
    <xf numFmtId="0" fontId="8" fillId="13" borderId="0" applyAlignment="1" pivotButton="0" quotePrefix="0" xfId="0">
      <alignment horizontal="center"/>
    </xf>
    <xf numFmtId="0" fontId="9" fillId="14" borderId="0" pivotButton="0" quotePrefix="0" xfId="0"/>
    <xf numFmtId="0" fontId="8" fillId="15" borderId="0" applyAlignment="1" pivotButton="0" quotePrefix="0" xfId="0">
      <alignment horizontal="center"/>
    </xf>
    <xf numFmtId="0" fontId="9" fillId="16" borderId="0" pivotButton="0" quotePrefix="0" xfId="0"/>
    <xf numFmtId="0" fontId="8" fillId="17" borderId="0" applyAlignment="1" pivotButton="0" quotePrefix="0" xfId="0">
      <alignment horizontal="center"/>
    </xf>
    <xf numFmtId="0" fontId="9" fillId="18" borderId="0" pivotButton="0" quotePrefix="0" xfId="0"/>
    <xf numFmtId="0" fontId="8" fillId="19" borderId="0" applyAlignment="1" pivotButton="0" quotePrefix="0" xfId="0">
      <alignment horizontal="center"/>
    </xf>
    <xf numFmtId="0" fontId="9" fillId="2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wrapText="1"/>
    </xf>
    <xf numFmtId="0" fontId="0" fillId="4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0" fillId="24" borderId="0" pivotButton="0" quotePrefix="0" xfId="0"/>
    <xf numFmtId="0" fontId="8" fillId="24" borderId="0" pivotButton="0" quotePrefix="0" xfId="0"/>
    <xf numFmtId="0" fontId="8" fillId="24" borderId="0" applyAlignment="1" pivotButton="0" quotePrefix="0" xfId="0">
      <alignment horizontal="center"/>
    </xf>
    <xf numFmtId="0" fontId="8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10" fillId="25" borderId="0" pivotButton="0" quotePrefix="0" xfId="0"/>
    <xf numFmtId="0" fontId="10" fillId="25" borderId="0" applyAlignment="1" pivotButton="0" quotePrefix="0" xfId="0">
      <alignment wrapText="1"/>
    </xf>
    <xf numFmtId="0" fontId="10" fillId="25" borderId="0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8" applyAlignment="1" pivotButton="0" quotePrefix="0" xfId="0">
      <alignment vertical="center" wrapText="1"/>
    </xf>
    <xf numFmtId="0" fontId="11" fillId="25" borderId="9" applyAlignment="1" pivotButton="0" quotePrefix="0" xfId="0">
      <alignment vertical="center" wrapText="1"/>
    </xf>
    <xf numFmtId="0" fontId="10" fillId="25" borderId="10" applyAlignment="1" pivotButton="0" quotePrefix="0" xfId="0">
      <alignment vertical="center" wrapText="1"/>
    </xf>
    <xf numFmtId="0" fontId="10" fillId="25" borderId="11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12" applyAlignment="1" pivotButton="0" quotePrefix="0" xfId="0">
      <alignment vertical="center" wrapText="1"/>
    </xf>
    <xf numFmtId="0" fontId="10" fillId="25" borderId="13" applyAlignment="1" pivotButton="0" quotePrefix="0" xfId="0">
      <alignment vertical="center" wrapText="1"/>
    </xf>
    <xf numFmtId="0" fontId="11" fillId="25" borderId="14" applyAlignment="1" pivotButton="0" quotePrefix="0" xfId="0">
      <alignment vertical="center" wrapText="1"/>
    </xf>
    <xf numFmtId="0" fontId="10" fillId="25" borderId="15" applyAlignment="1" pivotButton="0" quotePrefix="0" xfId="0">
      <alignment vertical="center" wrapText="1"/>
    </xf>
    <xf numFmtId="0" fontId="8" fillId="2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26" borderId="0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0" fillId="29" borderId="0" pivotButton="0" quotePrefix="0" xfId="0"/>
    <xf numFmtId="0" fontId="8" fillId="29" borderId="0" pivotButton="0" quotePrefix="0" xfId="0"/>
    <xf numFmtId="0" fontId="8" fillId="29" borderId="0" applyAlignment="1" pivotButton="0" quotePrefix="0" xfId="0">
      <alignment horizontal="center"/>
    </xf>
    <xf numFmtId="0" fontId="8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10" fillId="30" borderId="0" pivotButton="0" quotePrefix="0" xfId="0"/>
    <xf numFmtId="0" fontId="10" fillId="30" borderId="0" applyAlignment="1" pivotButton="0" quotePrefix="0" xfId="0">
      <alignment wrapText="1"/>
    </xf>
    <xf numFmtId="0" fontId="10" fillId="30" borderId="0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8" applyAlignment="1" pivotButton="0" quotePrefix="0" xfId="0">
      <alignment vertical="center" wrapText="1"/>
    </xf>
    <xf numFmtId="0" fontId="11" fillId="30" borderId="9" applyAlignment="1" pivotButton="0" quotePrefix="0" xfId="0">
      <alignment vertical="center" wrapText="1"/>
    </xf>
    <xf numFmtId="0" fontId="10" fillId="30" borderId="10" applyAlignment="1" pivotButton="0" quotePrefix="0" xfId="0">
      <alignment vertical="center" wrapText="1"/>
    </xf>
    <xf numFmtId="0" fontId="10" fillId="30" borderId="11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12" applyAlignment="1" pivotButton="0" quotePrefix="0" xfId="0">
      <alignment vertical="center" wrapText="1"/>
    </xf>
    <xf numFmtId="0" fontId="10" fillId="30" borderId="13" applyAlignment="1" pivotButton="0" quotePrefix="0" xfId="0">
      <alignment vertical="center" wrapText="1"/>
    </xf>
    <xf numFmtId="0" fontId="11" fillId="30" borderId="14" applyAlignment="1" pivotButton="0" quotePrefix="0" xfId="0">
      <alignment vertical="center" wrapText="1"/>
    </xf>
    <xf numFmtId="0" fontId="10" fillId="30" borderId="15" applyAlignment="1" pivotButton="0" quotePrefix="0" xfId="0">
      <alignment vertical="center" wrapText="1"/>
    </xf>
    <xf numFmtId="0" fontId="8" fillId="29" borderId="0" applyAlignment="1" pivotButton="0" quotePrefix="0" xfId="0">
      <alignment wrapText="1"/>
    </xf>
    <xf numFmtId="0" fontId="9" fillId="31" borderId="0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6" fillId="32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6" fillId="31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6" fillId="33" borderId="1" applyAlignment="1" pivotButton="0" quotePrefix="0" xfId="0">
      <alignment vertical="top" wrapText="1"/>
    </xf>
    <xf numFmtId="0" fontId="0" fillId="34" borderId="0" pivotButton="0" quotePrefix="0" xfId="0"/>
    <xf numFmtId="0" fontId="8" fillId="34" borderId="0" pivotButton="0" quotePrefix="0" xfId="0"/>
    <xf numFmtId="0" fontId="8" fillId="34" borderId="0" applyAlignment="1" pivotButton="0" quotePrefix="0" xfId="0">
      <alignment horizontal="center"/>
    </xf>
    <xf numFmtId="0" fontId="8" fillId="34" borderId="0" applyAlignment="1" pivotButton="0" quotePrefix="0" xfId="0">
      <alignment horizontal="center" vertical="center"/>
    </xf>
    <xf numFmtId="0" fontId="0" fillId="35" borderId="0" pivotButton="0" quotePrefix="0" xfId="0"/>
    <xf numFmtId="0" fontId="10" fillId="35" borderId="0" pivotButton="0" quotePrefix="0" xfId="0"/>
    <xf numFmtId="0" fontId="10" fillId="35" borderId="0" applyAlignment="1" pivotButton="0" quotePrefix="0" xfId="0">
      <alignment wrapText="1"/>
    </xf>
    <xf numFmtId="0" fontId="10" fillId="35" borderId="0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8" applyAlignment="1" pivotButton="0" quotePrefix="0" xfId="0">
      <alignment vertical="center" wrapText="1"/>
    </xf>
    <xf numFmtId="0" fontId="11" fillId="35" borderId="9" applyAlignment="1" pivotButton="0" quotePrefix="0" xfId="0">
      <alignment vertical="center" wrapText="1"/>
    </xf>
    <xf numFmtId="0" fontId="10" fillId="35" borderId="10" applyAlignment="1" pivotButton="0" quotePrefix="0" xfId="0">
      <alignment vertical="center" wrapText="1"/>
    </xf>
    <xf numFmtId="0" fontId="10" fillId="35" borderId="11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12" applyAlignment="1" pivotButton="0" quotePrefix="0" xfId="0">
      <alignment vertical="center" wrapText="1"/>
    </xf>
    <xf numFmtId="0" fontId="10" fillId="35" borderId="13" applyAlignment="1" pivotButton="0" quotePrefix="0" xfId="0">
      <alignment vertical="center" wrapText="1"/>
    </xf>
    <xf numFmtId="0" fontId="11" fillId="35" borderId="14" applyAlignment="1" pivotButton="0" quotePrefix="0" xfId="0">
      <alignment vertical="center" wrapText="1"/>
    </xf>
    <xf numFmtId="0" fontId="10" fillId="35" borderId="15" applyAlignment="1" pivotButton="0" quotePrefix="0" xfId="0">
      <alignment vertical="center" wrapText="1"/>
    </xf>
    <xf numFmtId="0" fontId="8" fillId="34" borderId="0" applyAlignment="1" pivotButton="0" quotePrefix="0" xfId="0">
      <alignment wrapText="1"/>
    </xf>
    <xf numFmtId="0" fontId="9" fillId="36" borderId="0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6" fillId="37" borderId="1" applyAlignment="1" pivotButton="0" quotePrefix="0" xfId="0">
      <alignment vertical="top" wrapText="1"/>
    </xf>
    <xf numFmtId="0" fontId="0" fillId="36" borderId="1" applyAlignment="1" pivotButton="0" quotePrefix="0" xfId="0">
      <alignment vertical="top" wrapText="1"/>
    </xf>
    <xf numFmtId="0" fontId="6" fillId="36" borderId="1" applyAlignment="1" pivotButton="0" quotePrefix="0" xfId="0">
      <alignment vertical="top" wrapText="1"/>
    </xf>
    <xf numFmtId="0" fontId="0" fillId="38" borderId="1" applyAlignment="1" pivotButton="0" quotePrefix="0" xfId="0">
      <alignment vertical="top" wrapText="1"/>
    </xf>
    <xf numFmtId="0" fontId="6" fillId="38" borderId="1" applyAlignment="1" pivotButton="0" quotePrefix="0" xfId="0">
      <alignment vertical="top" wrapText="1"/>
    </xf>
    <xf numFmtId="0" fontId="0" fillId="39" borderId="0" pivotButton="0" quotePrefix="0" xfId="0"/>
    <xf numFmtId="0" fontId="8" fillId="39" borderId="0" pivotButton="0" quotePrefix="0" xfId="0"/>
    <xf numFmtId="0" fontId="8" fillId="39" borderId="0" applyAlignment="1" pivotButton="0" quotePrefix="0" xfId="0">
      <alignment horizontal="center"/>
    </xf>
    <xf numFmtId="0" fontId="8" fillId="39" borderId="0" applyAlignment="1" pivotButton="0" quotePrefix="0" xfId="0">
      <alignment horizontal="center" vertical="center"/>
    </xf>
    <xf numFmtId="0" fontId="0" fillId="40" borderId="0" pivotButton="0" quotePrefix="0" xfId="0"/>
    <xf numFmtId="0" fontId="10" fillId="40" borderId="0" pivotButton="0" quotePrefix="0" xfId="0"/>
    <xf numFmtId="0" fontId="10" fillId="40" borderId="0" applyAlignment="1" pivotButton="0" quotePrefix="0" xfId="0">
      <alignment wrapText="1"/>
    </xf>
    <xf numFmtId="0" fontId="10" fillId="40" borderId="0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8" applyAlignment="1" pivotButton="0" quotePrefix="0" xfId="0">
      <alignment vertical="center" wrapText="1"/>
    </xf>
    <xf numFmtId="0" fontId="11" fillId="40" borderId="9" applyAlignment="1" pivotButton="0" quotePrefix="0" xfId="0">
      <alignment vertical="center" wrapText="1"/>
    </xf>
    <xf numFmtId="0" fontId="10" fillId="40" borderId="10" applyAlignment="1" pivotButton="0" quotePrefix="0" xfId="0">
      <alignment vertical="center" wrapText="1"/>
    </xf>
    <xf numFmtId="0" fontId="10" fillId="40" borderId="11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12" applyAlignment="1" pivotButton="0" quotePrefix="0" xfId="0">
      <alignment vertical="center" wrapText="1"/>
    </xf>
    <xf numFmtId="0" fontId="10" fillId="40" borderId="13" applyAlignment="1" pivotButton="0" quotePrefix="0" xfId="0">
      <alignment vertical="center" wrapText="1"/>
    </xf>
    <xf numFmtId="0" fontId="11" fillId="40" borderId="14" applyAlignment="1" pivotButton="0" quotePrefix="0" xfId="0">
      <alignment vertical="center" wrapText="1"/>
    </xf>
    <xf numFmtId="0" fontId="10" fillId="40" borderId="15" applyAlignment="1" pivotButton="0" quotePrefix="0" xfId="0">
      <alignment vertical="center" wrapText="1"/>
    </xf>
    <xf numFmtId="0" fontId="8" fillId="39" borderId="0" applyAlignment="1" pivotButton="0" quotePrefix="0" xfId="0">
      <alignment wrapText="1"/>
    </xf>
    <xf numFmtId="0" fontId="9" fillId="41" borderId="0" applyAlignment="1" pivotButton="0" quotePrefix="0" xfId="0">
      <alignment vertical="top" wrapText="1"/>
    </xf>
    <xf numFmtId="0" fontId="0" fillId="42" borderId="1" applyAlignment="1" pivotButton="0" quotePrefix="0" xfId="0">
      <alignment vertical="top" wrapText="1"/>
    </xf>
    <xf numFmtId="0" fontId="6" fillId="42" borderId="1" applyAlignment="1" pivotButton="0" quotePrefix="0" xfId="0">
      <alignment vertical="top" wrapText="1"/>
    </xf>
    <xf numFmtId="0" fontId="0" fillId="41" borderId="1" applyAlignment="1" pivotButton="0" quotePrefix="0" xfId="0">
      <alignment vertical="top" wrapText="1"/>
    </xf>
    <xf numFmtId="0" fontId="6" fillId="41" borderId="1" applyAlignment="1" pivotButton="0" quotePrefix="0" xfId="0">
      <alignment vertical="top" wrapText="1"/>
    </xf>
    <xf numFmtId="0" fontId="0" fillId="43" borderId="1" applyAlignment="1" pivotButton="0" quotePrefix="0" xfId="0">
      <alignment vertical="top" wrapText="1"/>
    </xf>
    <xf numFmtId="0" fontId="6" fillId="43" borderId="1" applyAlignment="1" pivotButton="0" quotePrefix="0" xfId="0">
      <alignment vertical="top" wrapText="1"/>
    </xf>
    <xf numFmtId="0" fontId="0" fillId="44" borderId="0" pivotButton="0" quotePrefix="0" xfId="0"/>
    <xf numFmtId="0" fontId="8" fillId="44" borderId="0" pivotButton="0" quotePrefix="0" xfId="0"/>
    <xf numFmtId="0" fontId="8" fillId="44" borderId="0" applyAlignment="1" pivotButton="0" quotePrefix="0" xfId="0">
      <alignment horizontal="center"/>
    </xf>
    <xf numFmtId="0" fontId="8" fillId="44" borderId="0" applyAlignment="1" pivotButton="0" quotePrefix="0" xfId="0">
      <alignment horizontal="center" vertical="center"/>
    </xf>
    <xf numFmtId="0" fontId="0" fillId="45" borderId="0" pivotButton="0" quotePrefix="0" xfId="0"/>
    <xf numFmtId="0" fontId="10" fillId="45" borderId="0" pivotButton="0" quotePrefix="0" xfId="0"/>
    <xf numFmtId="0" fontId="10" fillId="45" borderId="0" applyAlignment="1" pivotButton="0" quotePrefix="0" xfId="0">
      <alignment wrapText="1"/>
    </xf>
    <xf numFmtId="0" fontId="10" fillId="45" borderId="0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8" applyAlignment="1" pivotButton="0" quotePrefix="0" xfId="0">
      <alignment vertical="center" wrapText="1"/>
    </xf>
    <xf numFmtId="0" fontId="11" fillId="45" borderId="9" applyAlignment="1" pivotButton="0" quotePrefix="0" xfId="0">
      <alignment vertical="center" wrapText="1"/>
    </xf>
    <xf numFmtId="0" fontId="10" fillId="45" borderId="10" applyAlignment="1" pivotButton="0" quotePrefix="0" xfId="0">
      <alignment vertical="center" wrapText="1"/>
    </xf>
    <xf numFmtId="0" fontId="10" fillId="45" borderId="11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12" applyAlignment="1" pivotButton="0" quotePrefix="0" xfId="0">
      <alignment vertical="center" wrapText="1"/>
    </xf>
    <xf numFmtId="0" fontId="10" fillId="45" borderId="13" applyAlignment="1" pivotButton="0" quotePrefix="0" xfId="0">
      <alignment vertical="center" wrapText="1"/>
    </xf>
    <xf numFmtId="0" fontId="11" fillId="45" borderId="14" applyAlignment="1" pivotButton="0" quotePrefix="0" xfId="0">
      <alignment vertical="center" wrapText="1"/>
    </xf>
    <xf numFmtId="0" fontId="10" fillId="45" borderId="15" applyAlignment="1" pivotButton="0" quotePrefix="0" xfId="0">
      <alignment vertical="center" wrapText="1"/>
    </xf>
    <xf numFmtId="0" fontId="8" fillId="44" borderId="0" applyAlignment="1" pivotButton="0" quotePrefix="0" xfId="0">
      <alignment wrapText="1"/>
    </xf>
    <xf numFmtId="0" fontId="9" fillId="46" borderId="0" applyAlignment="1" pivotButton="0" quotePrefix="0" xfId="0">
      <alignment vertical="top" wrapText="1"/>
    </xf>
    <xf numFmtId="0" fontId="0" fillId="47" borderId="1" applyAlignment="1" pivotButton="0" quotePrefix="0" xfId="0">
      <alignment vertical="top" wrapText="1"/>
    </xf>
    <xf numFmtId="0" fontId="6" fillId="47" borderId="1" applyAlignment="1" pivotButton="0" quotePrefix="0" xfId="0">
      <alignment vertical="top" wrapText="1"/>
    </xf>
    <xf numFmtId="0" fontId="0" fillId="46" borderId="1" applyAlignment="1" pivotButton="0" quotePrefix="0" xfId="0">
      <alignment vertical="top" wrapText="1"/>
    </xf>
    <xf numFmtId="0" fontId="6" fillId="46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 wrapText="1"/>
    </xf>
    <xf numFmtId="0" fontId="6" fillId="48" borderId="1" applyAlignment="1" pivotButton="0" quotePrefix="0" xfId="0">
      <alignment vertical="top" wrapText="1"/>
    </xf>
    <xf numFmtId="0" fontId="0" fillId="49" borderId="0" pivotButton="0" quotePrefix="0" xfId="0"/>
    <xf numFmtId="0" fontId="8" fillId="49" borderId="0" pivotButton="0" quotePrefix="0" xfId="0"/>
    <xf numFmtId="0" fontId="8" fillId="49" borderId="0" applyAlignment="1" pivotButton="0" quotePrefix="0" xfId="0">
      <alignment horizontal="center"/>
    </xf>
    <xf numFmtId="0" fontId="8" fillId="49" borderId="0" applyAlignment="1" pivotButton="0" quotePrefix="0" xfId="0">
      <alignment horizontal="center" vertical="center"/>
    </xf>
    <xf numFmtId="0" fontId="0" fillId="50" borderId="0" pivotButton="0" quotePrefix="0" xfId="0"/>
    <xf numFmtId="0" fontId="10" fillId="50" borderId="0" pivotButton="0" quotePrefix="0" xfId="0"/>
    <xf numFmtId="0" fontId="10" fillId="50" borderId="0" applyAlignment="1" pivotButton="0" quotePrefix="0" xfId="0">
      <alignment wrapText="1"/>
    </xf>
    <xf numFmtId="0" fontId="10" fillId="50" borderId="0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8" applyAlignment="1" pivotButton="0" quotePrefix="0" xfId="0">
      <alignment vertical="center" wrapText="1"/>
    </xf>
    <xf numFmtId="0" fontId="11" fillId="50" borderId="9" applyAlignment="1" pivotButton="0" quotePrefix="0" xfId="0">
      <alignment vertical="center" wrapText="1"/>
    </xf>
    <xf numFmtId="0" fontId="10" fillId="50" borderId="10" applyAlignment="1" pivotButton="0" quotePrefix="0" xfId="0">
      <alignment vertical="center" wrapText="1"/>
    </xf>
    <xf numFmtId="0" fontId="10" fillId="50" borderId="11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12" applyAlignment="1" pivotButton="0" quotePrefix="0" xfId="0">
      <alignment vertical="center" wrapText="1"/>
    </xf>
    <xf numFmtId="0" fontId="10" fillId="50" borderId="13" applyAlignment="1" pivotButton="0" quotePrefix="0" xfId="0">
      <alignment vertical="center" wrapText="1"/>
    </xf>
    <xf numFmtId="0" fontId="11" fillId="50" borderId="14" applyAlignment="1" pivotButton="0" quotePrefix="0" xfId="0">
      <alignment vertical="center" wrapText="1"/>
    </xf>
    <xf numFmtId="0" fontId="10" fillId="50" borderId="15" applyAlignment="1" pivotButton="0" quotePrefix="0" xfId="0">
      <alignment vertical="center" wrapText="1"/>
    </xf>
    <xf numFmtId="0" fontId="8" fillId="49" borderId="0" applyAlignment="1" pivotButton="0" quotePrefix="0" xfId="0">
      <alignment wrapText="1"/>
    </xf>
    <xf numFmtId="0" fontId="9" fillId="51" borderId="0" applyAlignment="1" pivotButton="0" quotePrefix="0" xfId="0">
      <alignment vertical="top" wrapText="1"/>
    </xf>
    <xf numFmtId="0" fontId="0" fillId="52" borderId="1" applyAlignment="1" pivotButton="0" quotePrefix="0" xfId="0">
      <alignment vertical="top" wrapText="1"/>
    </xf>
    <xf numFmtId="0" fontId="6" fillId="52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 wrapText="1"/>
    </xf>
    <xf numFmtId="0" fontId="6" fillId="51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 wrapText="1"/>
    </xf>
    <xf numFmtId="0" fontId="6" fillId="53" borderId="1" applyAlignment="1" pivotButton="0" quotePrefix="0" xfId="0">
      <alignment vertical="top" wrapText="1"/>
    </xf>
    <xf numFmtId="0" fontId="0" fillId="54" borderId="0" pivotButton="0" quotePrefix="0" xfId="0"/>
    <xf numFmtId="0" fontId="8" fillId="54" borderId="0" pivotButton="0" quotePrefix="0" xfId="0"/>
    <xf numFmtId="0" fontId="8" fillId="54" borderId="0" applyAlignment="1" pivotButton="0" quotePrefix="0" xfId="0">
      <alignment horizontal="center"/>
    </xf>
    <xf numFmtId="0" fontId="8" fillId="54" borderId="0" applyAlignment="1" pivotButton="0" quotePrefix="0" xfId="0">
      <alignment horizontal="center" vertical="center"/>
    </xf>
    <xf numFmtId="0" fontId="0" fillId="55" borderId="0" pivotButton="0" quotePrefix="0" xfId="0"/>
    <xf numFmtId="0" fontId="10" fillId="55" borderId="0" pivotButton="0" quotePrefix="0" xfId="0"/>
    <xf numFmtId="0" fontId="10" fillId="55" borderId="0" applyAlignment="1" pivotButton="0" quotePrefix="0" xfId="0">
      <alignment wrapText="1"/>
    </xf>
    <xf numFmtId="0" fontId="10" fillId="55" borderId="0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8" applyAlignment="1" pivotButton="0" quotePrefix="0" xfId="0">
      <alignment vertical="center" wrapText="1"/>
    </xf>
    <xf numFmtId="0" fontId="11" fillId="55" borderId="9" applyAlignment="1" pivotButton="0" quotePrefix="0" xfId="0">
      <alignment vertical="center" wrapText="1"/>
    </xf>
    <xf numFmtId="0" fontId="10" fillId="55" borderId="10" applyAlignment="1" pivotButton="0" quotePrefix="0" xfId="0">
      <alignment vertical="center" wrapText="1"/>
    </xf>
    <xf numFmtId="0" fontId="10" fillId="55" borderId="11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12" applyAlignment="1" pivotButton="0" quotePrefix="0" xfId="0">
      <alignment vertical="center" wrapText="1"/>
    </xf>
    <xf numFmtId="0" fontId="10" fillId="55" borderId="13" applyAlignment="1" pivotButton="0" quotePrefix="0" xfId="0">
      <alignment vertical="center" wrapText="1"/>
    </xf>
    <xf numFmtId="0" fontId="11" fillId="55" borderId="14" applyAlignment="1" pivotButton="0" quotePrefix="0" xfId="0">
      <alignment vertical="center" wrapText="1"/>
    </xf>
    <xf numFmtId="0" fontId="10" fillId="55" borderId="15" applyAlignment="1" pivotButton="0" quotePrefix="0" xfId="0">
      <alignment vertical="center" wrapText="1"/>
    </xf>
    <xf numFmtId="0" fontId="8" fillId="54" borderId="0" applyAlignment="1" pivotButton="0" quotePrefix="0" xfId="0">
      <alignment wrapText="1"/>
    </xf>
    <xf numFmtId="0" fontId="9" fillId="56" borderId="0" applyAlignment="1" pivotButton="0" quotePrefix="0" xfId="0">
      <alignment vertical="top" wrapText="1"/>
    </xf>
    <xf numFmtId="0" fontId="0" fillId="57" borderId="1" applyAlignment="1" pivotButton="0" quotePrefix="0" xfId="0">
      <alignment vertical="top" wrapText="1"/>
    </xf>
    <xf numFmtId="0" fontId="6" fillId="57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 wrapText="1"/>
    </xf>
    <xf numFmtId="0" fontId="6" fillId="56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 wrapText="1"/>
    </xf>
    <xf numFmtId="0" fontId="6" fillId="58" borderId="1" applyAlignment="1" pivotButton="0" quotePrefix="0" xfId="0">
      <alignment vertical="top" wrapText="1"/>
    </xf>
    <xf numFmtId="0" fontId="0" fillId="59" borderId="0" pivotButton="0" quotePrefix="0" xfId="0"/>
    <xf numFmtId="0" fontId="8" fillId="59" borderId="0" pivotButton="0" quotePrefix="0" xfId="0"/>
    <xf numFmtId="0" fontId="8" fillId="59" borderId="0" applyAlignment="1" pivotButton="0" quotePrefix="0" xfId="0">
      <alignment horizontal="center"/>
    </xf>
    <xf numFmtId="0" fontId="8" fillId="59" borderId="0" applyAlignment="1" pivotButton="0" quotePrefix="0" xfId="0">
      <alignment horizontal="center" vertical="center"/>
    </xf>
    <xf numFmtId="0" fontId="0" fillId="60" borderId="0" pivotButton="0" quotePrefix="0" xfId="0"/>
    <xf numFmtId="0" fontId="10" fillId="60" borderId="0" pivotButton="0" quotePrefix="0" xfId="0"/>
    <xf numFmtId="0" fontId="10" fillId="60" borderId="0" applyAlignment="1" pivotButton="0" quotePrefix="0" xfId="0">
      <alignment wrapText="1"/>
    </xf>
    <xf numFmtId="0" fontId="10" fillId="60" borderId="0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8" applyAlignment="1" pivotButton="0" quotePrefix="0" xfId="0">
      <alignment vertical="center" wrapText="1"/>
    </xf>
    <xf numFmtId="0" fontId="11" fillId="60" borderId="9" applyAlignment="1" pivotButton="0" quotePrefix="0" xfId="0">
      <alignment vertical="center" wrapText="1"/>
    </xf>
    <xf numFmtId="0" fontId="10" fillId="60" borderId="10" applyAlignment="1" pivotButton="0" quotePrefix="0" xfId="0">
      <alignment vertical="center" wrapText="1"/>
    </xf>
    <xf numFmtId="0" fontId="10" fillId="60" borderId="11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12" applyAlignment="1" pivotButton="0" quotePrefix="0" xfId="0">
      <alignment vertical="center" wrapText="1"/>
    </xf>
    <xf numFmtId="0" fontId="10" fillId="60" borderId="13" applyAlignment="1" pivotButton="0" quotePrefix="0" xfId="0">
      <alignment vertical="center" wrapText="1"/>
    </xf>
    <xf numFmtId="0" fontId="11" fillId="60" borderId="14" applyAlignment="1" pivotButton="0" quotePrefix="0" xfId="0">
      <alignment vertical="center" wrapText="1"/>
    </xf>
    <xf numFmtId="0" fontId="10" fillId="60" borderId="15" applyAlignment="1" pivotButton="0" quotePrefix="0" xfId="0">
      <alignment vertical="center" wrapText="1"/>
    </xf>
    <xf numFmtId="0" fontId="8" fillId="59" borderId="0" applyAlignment="1" pivotButton="0" quotePrefix="0" xfId="0">
      <alignment wrapText="1"/>
    </xf>
    <xf numFmtId="0" fontId="9" fillId="61" borderId="0" applyAlignment="1" pivotButton="0" quotePrefix="0" xfId="0">
      <alignment vertical="top" wrapText="1"/>
    </xf>
    <xf numFmtId="0" fontId="0" fillId="62" borderId="1" applyAlignment="1" pivotButton="0" quotePrefix="0" xfId="0">
      <alignment vertical="top" wrapText="1"/>
    </xf>
    <xf numFmtId="0" fontId="6" fillId="62" borderId="1" applyAlignment="1" pivotButton="0" quotePrefix="0" xfId="0">
      <alignment vertical="top" wrapText="1"/>
    </xf>
    <xf numFmtId="0" fontId="0" fillId="61" borderId="1" applyAlignment="1" pivotButton="0" quotePrefix="0" xfId="0">
      <alignment vertical="top" wrapText="1"/>
    </xf>
    <xf numFmtId="0" fontId="6" fillId="61" borderId="1" applyAlignment="1" pivotButton="0" quotePrefix="0" xfId="0">
      <alignment vertical="top" wrapText="1"/>
    </xf>
    <xf numFmtId="0" fontId="0" fillId="63" borderId="1" applyAlignment="1" pivotButton="0" quotePrefix="0" xfId="0">
      <alignment vertical="top" wrapText="1"/>
    </xf>
    <xf numFmtId="0" fontId="6" fillId="63" borderId="1" applyAlignment="1" pivotButton="0" quotePrefix="0" xfId="0">
      <alignment vertical="top" wrapText="1"/>
    </xf>
    <xf numFmtId="0" fontId="0" fillId="64" borderId="0" pivotButton="0" quotePrefix="0" xfId="0"/>
    <xf numFmtId="0" fontId="8" fillId="64" borderId="0" pivotButton="0" quotePrefix="0" xfId="0"/>
    <xf numFmtId="0" fontId="8" fillId="64" borderId="0" applyAlignment="1" pivotButton="0" quotePrefix="0" xfId="0">
      <alignment horizontal="center"/>
    </xf>
    <xf numFmtId="0" fontId="8" fillId="64" borderId="0" applyAlignment="1" pivotButton="0" quotePrefix="0" xfId="0">
      <alignment horizontal="center" vertical="center"/>
    </xf>
    <xf numFmtId="0" fontId="0" fillId="65" borderId="0" pivotButton="0" quotePrefix="0" xfId="0"/>
    <xf numFmtId="0" fontId="10" fillId="65" borderId="0" pivotButton="0" quotePrefix="0" xfId="0"/>
    <xf numFmtId="0" fontId="10" fillId="65" borderId="0" applyAlignment="1" pivotButton="0" quotePrefix="0" xfId="0">
      <alignment wrapText="1"/>
    </xf>
    <xf numFmtId="0" fontId="10" fillId="65" borderId="0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8" applyAlignment="1" pivotButton="0" quotePrefix="0" xfId="0">
      <alignment vertical="center" wrapText="1"/>
    </xf>
    <xf numFmtId="0" fontId="11" fillId="65" borderId="9" applyAlignment="1" pivotButton="0" quotePrefix="0" xfId="0">
      <alignment vertical="center" wrapText="1"/>
    </xf>
    <xf numFmtId="0" fontId="10" fillId="65" borderId="10" applyAlignment="1" pivotButton="0" quotePrefix="0" xfId="0">
      <alignment vertical="center" wrapText="1"/>
    </xf>
    <xf numFmtId="0" fontId="10" fillId="65" borderId="11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12" applyAlignment="1" pivotButton="0" quotePrefix="0" xfId="0">
      <alignment vertical="center" wrapText="1"/>
    </xf>
    <xf numFmtId="0" fontId="10" fillId="65" borderId="13" applyAlignment="1" pivotButton="0" quotePrefix="0" xfId="0">
      <alignment vertical="center" wrapText="1"/>
    </xf>
    <xf numFmtId="0" fontId="11" fillId="65" borderId="14" applyAlignment="1" pivotButton="0" quotePrefix="0" xfId="0">
      <alignment vertical="center" wrapText="1"/>
    </xf>
    <xf numFmtId="0" fontId="10" fillId="65" borderId="15" applyAlignment="1" pivotButton="0" quotePrefix="0" xfId="0">
      <alignment vertical="center" wrapText="1"/>
    </xf>
    <xf numFmtId="0" fontId="8" fillId="64" borderId="0" applyAlignment="1" pivotButton="0" quotePrefix="0" xfId="0">
      <alignment wrapText="1"/>
    </xf>
    <xf numFmtId="0" fontId="9" fillId="66" borderId="0" applyAlignment="1" pivotButton="0" quotePrefix="0" xfId="0">
      <alignment vertical="top" wrapText="1"/>
    </xf>
    <xf numFmtId="0" fontId="0" fillId="67" borderId="1" applyAlignment="1" pivotButton="0" quotePrefix="0" xfId="0">
      <alignment vertical="top" wrapText="1"/>
    </xf>
    <xf numFmtId="0" fontId="6" fillId="67" borderId="1" applyAlignment="1" pivotButton="0" quotePrefix="0" xfId="0">
      <alignment vertical="top" wrapText="1"/>
    </xf>
    <xf numFmtId="0" fontId="0" fillId="66" borderId="1" applyAlignment="1" pivotButton="0" quotePrefix="0" xfId="0">
      <alignment vertical="top" wrapText="1"/>
    </xf>
    <xf numFmtId="0" fontId="6" fillId="66" borderId="1" applyAlignment="1" pivotButton="0" quotePrefix="0" xfId="0">
      <alignment vertical="top" wrapText="1"/>
    </xf>
    <xf numFmtId="0" fontId="0" fillId="68" borderId="1" applyAlignment="1" pivotButton="0" quotePrefix="0" xfId="0">
      <alignment vertical="top" wrapText="1"/>
    </xf>
    <xf numFmtId="0" fontId="6" fillId="68" borderId="1" applyAlignment="1" pivotButton="0" quotePrefix="0" xfId="0">
      <alignment vertical="top" wrapText="1"/>
    </xf>
    <xf numFmtId="0" fontId="0" fillId="69" borderId="0" pivotButton="0" quotePrefix="0" xfId="0"/>
    <xf numFmtId="0" fontId="8" fillId="69" borderId="0" pivotButton="0" quotePrefix="0" xfId="0"/>
    <xf numFmtId="0" fontId="8" fillId="69" borderId="0" applyAlignment="1" pivotButton="0" quotePrefix="0" xfId="0">
      <alignment horizontal="center"/>
    </xf>
    <xf numFmtId="0" fontId="8" fillId="69" borderId="0" applyAlignment="1" pivotButton="0" quotePrefix="0" xfId="0">
      <alignment horizontal="center" vertical="center"/>
    </xf>
    <xf numFmtId="0" fontId="0" fillId="70" borderId="0" pivotButton="0" quotePrefix="0" xfId="0"/>
    <xf numFmtId="0" fontId="10" fillId="70" borderId="0" pivotButton="0" quotePrefix="0" xfId="0"/>
    <xf numFmtId="0" fontId="10" fillId="70" borderId="0" applyAlignment="1" pivotButton="0" quotePrefix="0" xfId="0">
      <alignment wrapText="1"/>
    </xf>
    <xf numFmtId="0" fontId="10" fillId="70" borderId="0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8" applyAlignment="1" pivotButton="0" quotePrefix="0" xfId="0">
      <alignment vertical="center" wrapText="1"/>
    </xf>
    <xf numFmtId="0" fontId="11" fillId="70" borderId="9" applyAlignment="1" pivotButton="0" quotePrefix="0" xfId="0">
      <alignment vertical="center" wrapText="1"/>
    </xf>
    <xf numFmtId="0" fontId="10" fillId="70" borderId="10" applyAlignment="1" pivotButton="0" quotePrefix="0" xfId="0">
      <alignment vertical="center" wrapText="1"/>
    </xf>
    <xf numFmtId="0" fontId="10" fillId="70" borderId="11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12" applyAlignment="1" pivotButton="0" quotePrefix="0" xfId="0">
      <alignment vertical="center" wrapText="1"/>
    </xf>
    <xf numFmtId="0" fontId="10" fillId="70" borderId="13" applyAlignment="1" pivotButton="0" quotePrefix="0" xfId="0">
      <alignment vertical="center" wrapText="1"/>
    </xf>
    <xf numFmtId="0" fontId="11" fillId="70" borderId="14" applyAlignment="1" pivotButton="0" quotePrefix="0" xfId="0">
      <alignment vertical="center" wrapText="1"/>
    </xf>
    <xf numFmtId="0" fontId="10" fillId="70" borderId="15" applyAlignment="1" pivotButton="0" quotePrefix="0" xfId="0">
      <alignment vertical="center" wrapText="1"/>
    </xf>
    <xf numFmtId="0" fontId="8" fillId="69" borderId="0" applyAlignment="1" pivotButton="0" quotePrefix="0" xfId="0">
      <alignment wrapText="1"/>
    </xf>
    <xf numFmtId="0" fontId="9" fillId="71" borderId="0" applyAlignment="1" pivotButton="0" quotePrefix="0" xfId="0">
      <alignment vertical="top" wrapText="1"/>
    </xf>
    <xf numFmtId="0" fontId="0" fillId="72" borderId="1" applyAlignment="1" pivotButton="0" quotePrefix="0" xfId="0">
      <alignment vertical="top" wrapText="1"/>
    </xf>
    <xf numFmtId="0" fontId="6" fillId="72" borderId="1" applyAlignment="1" pivotButton="0" quotePrefix="0" xfId="0">
      <alignment vertical="top" wrapText="1"/>
    </xf>
    <xf numFmtId="0" fontId="0" fillId="71" borderId="1" applyAlignment="1" pivotButton="0" quotePrefix="0" xfId="0">
      <alignment vertical="top" wrapText="1"/>
    </xf>
    <xf numFmtId="0" fontId="6" fillId="71" borderId="1" applyAlignment="1" pivotButton="0" quotePrefix="0" xfId="0">
      <alignment vertical="top" wrapText="1"/>
    </xf>
    <xf numFmtId="0" fontId="0" fillId="73" borderId="1" applyAlignment="1" pivotButton="0" quotePrefix="0" xfId="0">
      <alignment vertical="top" wrapText="1"/>
    </xf>
    <xf numFmtId="0" fontId="6" fillId="73" borderId="1" applyAlignment="1" pivotButton="0" quotePrefix="0" xfId="0">
      <alignment vertical="top" wrapText="1"/>
    </xf>
    <xf numFmtId="0" fontId="0" fillId="74" borderId="0" pivotButton="0" quotePrefix="0" xfId="0"/>
    <xf numFmtId="0" fontId="8" fillId="74" borderId="0" pivotButton="0" quotePrefix="0" xfId="0"/>
    <xf numFmtId="0" fontId="8" fillId="74" borderId="0" applyAlignment="1" pivotButton="0" quotePrefix="0" xfId="0">
      <alignment horizontal="center"/>
    </xf>
    <xf numFmtId="0" fontId="8" fillId="74" borderId="0" applyAlignment="1" pivotButton="0" quotePrefix="0" xfId="0">
      <alignment horizontal="center" vertical="center"/>
    </xf>
    <xf numFmtId="0" fontId="0" fillId="75" borderId="0" pivotButton="0" quotePrefix="0" xfId="0"/>
    <xf numFmtId="0" fontId="10" fillId="75" borderId="0" pivotButton="0" quotePrefix="0" xfId="0"/>
    <xf numFmtId="0" fontId="10" fillId="75" borderId="0" applyAlignment="1" pivotButton="0" quotePrefix="0" xfId="0">
      <alignment wrapText="1"/>
    </xf>
    <xf numFmtId="0" fontId="10" fillId="75" borderId="0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8" applyAlignment="1" pivotButton="0" quotePrefix="0" xfId="0">
      <alignment vertical="center" wrapText="1"/>
    </xf>
    <xf numFmtId="0" fontId="11" fillId="75" borderId="9" applyAlignment="1" pivotButton="0" quotePrefix="0" xfId="0">
      <alignment vertical="center" wrapText="1"/>
    </xf>
    <xf numFmtId="0" fontId="10" fillId="75" borderId="10" applyAlignment="1" pivotButton="0" quotePrefix="0" xfId="0">
      <alignment vertical="center" wrapText="1"/>
    </xf>
    <xf numFmtId="0" fontId="10" fillId="75" borderId="11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12" applyAlignment="1" pivotButton="0" quotePrefix="0" xfId="0">
      <alignment vertical="center" wrapText="1"/>
    </xf>
    <xf numFmtId="0" fontId="10" fillId="75" borderId="13" applyAlignment="1" pivotButton="0" quotePrefix="0" xfId="0">
      <alignment vertical="center" wrapText="1"/>
    </xf>
    <xf numFmtId="0" fontId="11" fillId="75" borderId="14" applyAlignment="1" pivotButton="0" quotePrefix="0" xfId="0">
      <alignment vertical="center" wrapText="1"/>
    </xf>
    <xf numFmtId="0" fontId="10" fillId="75" borderId="15" applyAlignment="1" pivotButton="0" quotePrefix="0" xfId="0">
      <alignment vertical="center" wrapText="1"/>
    </xf>
    <xf numFmtId="0" fontId="8" fillId="74" borderId="0" applyAlignment="1" pivotButton="0" quotePrefix="0" xfId="0">
      <alignment wrapText="1"/>
    </xf>
    <xf numFmtId="0" fontId="8" fillId="76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left" vertical="center"/>
    </xf>
    <xf numFmtId="0" fontId="11" fillId="77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center" vertical="center"/>
    </xf>
    <xf numFmtId="0" fontId="12" fillId="78" borderId="19" applyAlignment="1" pivotButton="0" quotePrefix="0" xfId="0">
      <alignment vertical="top" wrapText="1"/>
    </xf>
    <xf numFmtId="0" fontId="12" fillId="78" borderId="19" applyAlignment="1" pivotButton="0" quotePrefix="0" xfId="0">
      <alignment horizontal="center" vertical="top"/>
    </xf>
    <xf numFmtId="0" fontId="12" fillId="79" borderId="19" applyAlignment="1" pivotButton="0" quotePrefix="0" xfId="0">
      <alignment vertical="top" wrapText="1"/>
    </xf>
  </cellXfs>
  <cellStyles count="1">
    <cellStyle name="Normal" xfId="0"/>
  </cellStyles>
  <dxfs count="6"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b val="1"/>
        <color rgb="FF1B5E20"/>
      </font>
      <fill>
        <patternFill>
          <bgColor rgb="FFC6EFCE"/>
        </patternFill>
      </fill>
    </dxf>
    <dxf>
      <font>
        <b val="1"/>
        <color rgb="FFC62828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customFormat="1" s="1">
      <c r="A1" s="1" t="inlineStr">
        <is>
          <t>BANCO DE PREGUNTAS - GUIA OFICIAL</t>
        </is>
      </c>
    </row>
    <row r="3" customFormat="1" s="2">
      <c r="A3" s="3" t="inlineStr">
        <is>
          <t>1. CODIGOS DE PREGUNTA (Columna TIPO)</t>
        </is>
      </c>
    </row>
    <row r="4">
      <c r="A4" t="inlineStr">
        <is>
          <t>Verdadero o Falso Simple</t>
        </is>
      </c>
      <c r="B4" t="inlineStr">
        <is>
          <t>Se completan automáticamente opcion_a=Verdadero y opcion_b=Falso. Deje opcion_c, opcion_d y opcion_e vacías.</t>
        </is>
      </c>
    </row>
    <row r="5">
      <c r="A5" t="inlineStr">
        <is>
          <t>Verdadero o Falso Complejas</t>
        </is>
      </c>
      <c r="B5" t="inlineStr">
        <is>
          <t>Escriba las premisas 1-4 en opcion_a a opcion_d. opcion_e se completa vacía; respuesta_correcta puede ser A, B, C, D o E según la combinación de premisas.</t>
        </is>
      </c>
    </row>
    <row r="6">
      <c r="A6" t="inlineStr">
        <is>
          <t>Selección de la mejor respuesta</t>
        </is>
      </c>
      <c r="B6" t="inlineStr">
        <is>
          <t>Complete las cinco alternativas en opcion_a a opcion_e y marque una sola letra en respuesta_correcta.</t>
        </is>
      </c>
    </row>
    <row r="7">
      <c r="A7" t="inlineStr">
        <is>
          <t>Respuesta A/B/Ambas/Ninguna</t>
        </is>
      </c>
      <c r="B7" s="4" t="inlineStr">
        <is>
          <t>Se completan automáticamente las opciones A-D. opcion_e debe permanecer vacía y respuesta_correcta debe ser A, B, C o D.</t>
        </is>
      </c>
    </row>
    <row r="8">
      <c r="A8" t="inlineStr">
        <is>
          <t>Ítems agrupados por caso clínico o problema</t>
        </is>
      </c>
      <c r="B8" s="4" t="inlineStr">
        <is>
          <t>Solo complete grupo y enunciado. Este tronco no lleva opciones, dificultad ni respuesta_correcta.</t>
        </is>
      </c>
    </row>
    <row r="9">
      <c r="A9" t="inlineStr">
        <is>
          <t>Subítem de caso o problema</t>
        </is>
      </c>
      <c r="B9" t="inlineStr">
        <is>
          <t>Complete grupo, enunciado, las cinco alternativas y respuesta_correcta. El subítem sí lleva dificultad.</t>
        </is>
      </c>
    </row>
    <row r="10">
      <c r="A10" t="inlineStr">
        <is>
          <t>Emparejamiento Ampliado</t>
        </is>
      </c>
      <c r="B10" s="4" t="inlineStr">
        <is>
          <t>Complete grupo y enunciado con las claves de emparejamiento. Este tronco no lleva dificultad ni respuesta_correcta.</t>
        </is>
      </c>
    </row>
    <row r="11">
      <c r="A11" t="inlineStr">
        <is>
          <t>Opción de Emparejamiento Ampliado</t>
        </is>
      </c>
      <c r="B11" t="inlineStr">
        <is>
          <t>Complete grupo, enunciado y respuesta_correcta. No lleva opciones en columnas ni dificultad.</t>
        </is>
      </c>
    </row>
    <row r="13" customFormat="1" s="2">
      <c r="A13" s="3" t="inlineStr">
        <is>
          <t>2. RESPUESTAS VALIDAS</t>
        </is>
      </c>
    </row>
    <row r="14">
      <c r="A14" t="inlineStr">
        <is>
          <t>Verdadero o Falso Complejas</t>
        </is>
      </c>
      <c r="B14" t="inlineStr">
        <is>
          <t>Use una de las combinaciones fijas: A: 1, 2, 3 correctas; B: 1 y 3 correctas; C: 2 y 4 correctas; D: Solo 4 es correcta; E: Todas son correctas.</t>
        </is>
      </c>
    </row>
    <row r="15">
      <c r="A15" t="inlineStr">
        <is>
          <t>Selección de la mejor respuesta / Subítem de caso o problema</t>
        </is>
      </c>
      <c r="B15" t="inlineStr">
        <is>
          <t>Use una sola letra: A, B, C, D o E.</t>
        </is>
      </c>
    </row>
    <row r="16">
      <c r="A16" t="inlineStr">
        <is>
          <t>Emparejamiento Ampliado / Ítems agrupados por caso clínico o problema</t>
        </is>
      </c>
      <c r="B16" t="inlineStr">
        <is>
          <t>Deje respuesta_correcta vacia.</t>
        </is>
      </c>
    </row>
    <row r="17">
      <c r="A17" t="inlineStr">
        <is>
          <t>Respuesta A/B/Ambas/Ninguna</t>
        </is>
      </c>
      <c r="B17" s="4" t="inlineStr">
        <is>
          <t>La respuesta_correcta solo puede ser A, B, C o D.</t>
        </is>
      </c>
    </row>
    <row r="18">
      <c r="A18" t="inlineStr">
        <is>
          <t>Verdadero o Falso Simple</t>
        </is>
      </c>
      <c r="B18" t="inlineStr">
        <is>
          <t>A para Verdadero, B para Falso.</t>
        </is>
      </c>
    </row>
    <row r="19">
      <c r="A19" t="inlineStr">
        <is>
          <t>Opción de Emparejamiento Ampliado</t>
        </is>
      </c>
      <c r="B19" t="inlineStr">
        <is>
          <t>Use la letra correcta segun las opciones activas definidas en el encabezado del emparejamiento.</t>
        </is>
      </c>
    </row>
    <row r="20">
      <c r="A20" t="inlineStr">
        <is>
          <t>Ítems agrupados por caso clínico o problema</t>
        </is>
      </c>
      <c r="B20" s="4" t="inlineStr">
        <is>
          <t>No debe llevar respuesta_correcta.</t>
        </is>
      </c>
    </row>
    <row r="22" customFormat="1" s="2">
      <c r="A22" s="3" t="inlineStr">
        <is>
          <t>3. CONFIGURACION DEL EXAMEN</t>
        </is>
      </c>
    </row>
    <row r="23">
      <c r="A23" s="4" t="inlineStr">
        <is>
          <t>Dificultad (Nivel)</t>
        </is>
      </c>
      <c r="B23" s="4" t="inlineStr">
        <is>
          <t>1 (Facil), 2 (Medio), 3 (Dificil). Casos/problemas y Emparejamiento Ampliado no llevan dificultad.</t>
        </is>
      </c>
    </row>
    <row r="24">
      <c r="A24" t="inlineStr">
        <is>
          <t>Parcial activo</t>
        </is>
      </c>
      <c r="B24" t="inlineStr">
        <is>
          <t>2P (2do Parcial)</t>
        </is>
      </c>
    </row>
    <row r="25">
      <c r="A25" t="inlineStr">
        <is>
          <t>Registro por grupo</t>
        </is>
      </c>
      <c r="B25" t="inlineStr">
        <is>
          <t>En el 2do Parcial el banco se organiza y se valida individualmente por grupo teorico.</t>
        </is>
      </c>
    </row>
    <row r="26">
      <c r="A26" t="inlineStr">
        <is>
          <t>Columna observaciones</t>
        </is>
      </c>
      <c r="B26" t="inlineStr">
        <is>
          <t>La columna L se completa automaticamente y te dira si la fila esta OK o que campos faltan/revisar.</t>
        </is>
      </c>
    </row>
    <row r="27">
      <c r="A27" t="inlineStr">
        <is>
          <t>M (imagen_base64)</t>
        </is>
      </c>
      <c r="B27" t="inlineStr">
        <is>
          <t>Imagen opcional. Puede incluir #sea-size=GRANDE, MEDIANA, PEQUENA o MUY_PEQUENA; MEDIANA es el tamaño predeterminado.</t>
        </is>
      </c>
    </row>
    <row r="28" customFormat="1" s="2">
      <c r="A28" s="3" t="inlineStr">
        <is>
          <t>NOTAS IMPORTANTES</t>
        </is>
      </c>
    </row>
    <row r="29" customFormat="1" s="5">
      <c r="A29" s="5" t="inlineStr">
        <is>
          <t>- No elimine columnas ni cambie el nombre de la hoja "Banco".</t>
        </is>
      </c>
    </row>
    <row r="30" customFormat="1" s="4">
      <c r="A30" s="4" t="inlineStr">
        <is>
          <t>- IMPORTANTE: Respuesta A/B/Ambas/Ninguna usa solo las premisas I. y II. en enunciado; opcion_a a opcion_d lleva las respuestas fijas y opcion_e no se usa.</t>
        </is>
      </c>
    </row>
    <row r="31" customFormat="1" s="4">
      <c r="A31" s="4" t="inlineStr">
        <is>
          <t>- IMPORTANTE: Verdadero o Falso Complejas usa los incisos 1, 2, 3 y 4 en opcion_a a opcion_d. opcion_e debe quedar vacia; respuesta_correcta puede ser A, B, C, D o E, porque E representa una combinacion.</t>
        </is>
      </c>
    </row>
    <row r="32" customFormat="1" s="4">
      <c r="A32" s="4" t="inlineStr">
        <is>
          <t>- IMPORTANTE: Casos/problemas y Emparejamiento Ampliado son encabezados y no deben tener dificultad.</t>
        </is>
      </c>
    </row>
    <row r="33" customFormat="1" s="4">
      <c r="A33" s="4" t="inlineStr">
        <is>
          <t>- IMPORTANTE: Si la columna L no indica "OK", corrige esa fila antes de importar.</t>
        </is>
      </c>
    </row>
    <row r="34">
      <c r="A34" t="inlineStr">
        <is>
          <t>- Conteo por grupos de tipo: Grupo 1 = VF simple + VF complejas + A/B/Ambas/Ninguna. Grupo 2 = mejor respuesta. Grupo 3 = casos/problemas y emparejamiento ampliado.</t>
        </is>
      </c>
    </row>
    <row r="35">
      <c r="A35" s="366" t="inlineStr">
        <is>
          <t>AYUDA RÁPIDA PARA INCISOS</t>
        </is>
      </c>
      <c r="B35" s="366" t="str"/>
    </row>
    <row r="36">
      <c r="A36" s="106" t="inlineStr">
        <is>
          <t>Verdadero o Falso Simple</t>
        </is>
      </c>
      <c r="B36" s="106" t="inlineStr">
        <is>
          <t>A=Verdadero y B=Falso se completan automáticamente; deje C-E vacíos.</t>
        </is>
      </c>
    </row>
    <row r="37">
      <c r="A37" s="106" t="inlineStr">
        <is>
          <t>Respuesta A/B/Ambas/Ninguna</t>
        </is>
      </c>
      <c r="B37" s="106" t="inlineStr">
        <is>
          <t>A-D se completan automáticamente; deje E vacío.</t>
        </is>
      </c>
    </row>
    <row r="38">
      <c r="A38" s="106" t="inlineStr">
        <is>
          <t>Verdadero o Falso Complejas</t>
        </is>
      </c>
      <c r="B38" s="106" t="inlineStr">
        <is>
          <t>Escriba las premisas 1-4 en A-D; E vacío. La respuesta correcta puede ser A-E por las combinaciones.</t>
        </is>
      </c>
    </row>
    <row r="39">
      <c r="A39" s="106" t="inlineStr">
        <is>
          <t>Selección de la mejor respuesta</t>
        </is>
      </c>
      <c r="B39" s="106" t="inlineStr">
        <is>
          <t>Complete las cinco alternativas A-E y luego indique una sola letra como respuesta correcta.</t>
        </is>
      </c>
    </row>
    <row r="40">
      <c r="A40" s="106" t="inlineStr">
        <is>
          <t>Subítem de caso o problema</t>
        </is>
      </c>
      <c r="B40" s="106" t="inlineStr">
        <is>
          <t>Complete las cinco alternativas A-E, respuesta_correcta y dificultad.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31" customWidth="1" min="1" max="1"/>
    <col width="18" customWidth="1" min="2" max="2"/>
    <col width="7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24" customWidth="1" min="9" max="9"/>
    <col width="13" customWidth="1" min="10" max="10"/>
    <col width="12" customWidth="1" min="11" max="11"/>
    <col width="52" customWidth="1" min="12" max="12"/>
    <col width="30" customWidth="1" min="13" max="13"/>
    <col hidden="1" width="13" customWidth="1" min="14" max="40"/>
    <col width="24" customWidth="1" min="41" max="41"/>
    <col width="14" customWidth="1" min="42" max="42"/>
    <col width="14" customWidth="1" min="43" max="43"/>
  </cols>
  <sheetData>
    <row r="1" ht="30" customHeight="1">
      <c r="A1" s="68" t="inlineStr">
        <is>
          <t>tipo</t>
        </is>
      </c>
      <c r="B1" s="68" t="inlineStr">
        <is>
          <t>grupo</t>
        </is>
      </c>
      <c r="C1" s="68" t="inlineStr">
        <is>
          <t>enunciado</t>
        </is>
      </c>
      <c r="D1" s="68" t="inlineStr">
        <is>
          <t>opcion_a</t>
        </is>
      </c>
      <c r="E1" s="68" t="inlineStr">
        <is>
          <t>opcion_b</t>
        </is>
      </c>
      <c r="F1" s="68" t="inlineStr">
        <is>
          <t>opcion_c</t>
        </is>
      </c>
      <c r="G1" s="68" t="inlineStr">
        <is>
          <t>opcion_d</t>
        </is>
      </c>
      <c r="H1" s="68" t="inlineStr">
        <is>
          <t>opcion_e</t>
        </is>
      </c>
      <c r="I1" s="68" t="inlineStr">
        <is>
          <t>respuesta_correcta</t>
        </is>
      </c>
      <c r="J1" s="68" t="inlineStr">
        <is>
          <t>dificultad</t>
        </is>
      </c>
      <c r="K1" s="68" t="inlineStr">
        <is>
          <t>parcial</t>
        </is>
      </c>
      <c r="L1" s="68" t="inlineStr">
        <is>
          <t>observaciones</t>
        </is>
      </c>
      <c r="M1" s="69" t="inlineStr">
        <is>
          <t>imagen_base64</t>
        </is>
      </c>
      <c r="Q1" t="inlineStr">
        <is>
          <t>_obs_1</t>
        </is>
      </c>
      <c r="R1" t="inlineStr">
        <is>
          <t>_obs_2</t>
        </is>
      </c>
      <c r="S1" t="inlineStr">
        <is>
          <t>_obs_3</t>
        </is>
      </c>
      <c r="T1" t="inlineStr">
        <is>
          <t>_obs_4</t>
        </is>
      </c>
      <c r="U1" t="inlineStr">
        <is>
          <t>_obs_1</t>
        </is>
      </c>
      <c r="V1" t="inlineStr">
        <is>
          <t>_obs_2</t>
        </is>
      </c>
      <c r="W1" t="inlineStr">
        <is>
          <t>_obs_3</t>
        </is>
      </c>
      <c r="X1" t="inlineStr">
        <is>
          <t>_obs_4</t>
        </is>
      </c>
      <c r="Y1" t="inlineStr">
        <is>
          <t>_obs_1</t>
        </is>
      </c>
      <c r="Z1" t="inlineStr">
        <is>
          <t>_obs_2</t>
        </is>
      </c>
      <c r="AA1" t="inlineStr">
        <is>
          <t>_obs_3</t>
        </is>
      </c>
      <c r="AB1" t="inlineStr">
        <is>
          <t>_obs_4</t>
        </is>
      </c>
      <c r="AC1" t="inlineStr">
        <is>
          <t>_obs_1</t>
        </is>
      </c>
      <c r="AD1" t="inlineStr">
        <is>
          <t>_obs_2</t>
        </is>
      </c>
      <c r="AE1" t="inlineStr">
        <is>
          <t>_obs_3</t>
        </is>
      </c>
      <c r="AF1" t="inlineStr">
        <is>
          <t>_obs_4</t>
        </is>
      </c>
      <c r="AG1" t="inlineStr">
        <is>
          <t>_obs_1</t>
        </is>
      </c>
      <c r="AH1" t="inlineStr">
        <is>
          <t>_obs_2</t>
        </is>
      </c>
      <c r="AI1" t="inlineStr">
        <is>
          <t>_obs_3</t>
        </is>
      </c>
      <c r="AJ1" t="inlineStr">
        <is>
          <t>_obs_4</t>
        </is>
      </c>
      <c r="AK1" t="inlineStr">
        <is>
          <t>_obs_1</t>
        </is>
      </c>
      <c r="AL1" t="inlineStr">
        <is>
          <t>_obs_2</t>
        </is>
      </c>
      <c r="AM1" t="inlineStr">
        <is>
          <t>_obs_3</t>
        </is>
      </c>
      <c r="AN1" t="inlineStr">
        <is>
          <t>_obs_4</t>
        </is>
      </c>
      <c r="AO1" s="351" t="inlineStr">
        <is>
          <t>CONTROL DE DISTRIBUCIÓN – 2P</t>
        </is>
      </c>
    </row>
    <row r="2" ht="24" customHeight="1">
      <c r="A2" s="342" t="n"/>
      <c r="B2" s="342" t="n"/>
      <c r="C2" s="342" t="n"/>
      <c r="D2" s="342">
        <f>IF($A2="Verdadero o Falso Simple","Verdadero",IF($A2="Respuesta A/B/Ambas/Ninguna","A. Si la primera es verdadera",IF($A2="Verdadero o Falso Complejas","1. ","")))</f>
        <v/>
      </c>
      <c r="E2" s="342">
        <f>IF($A2="Verdadero o Falso Simple","Falso",IF($A2="Respuesta A/B/Ambas/Ninguna","B. Si la segunda es verdadera",IF($A2="Verdadero o Falso Complejas","2. ","")))</f>
        <v/>
      </c>
      <c r="F2" s="342">
        <f>IF($A2="Respuesta A/B/Ambas/Ninguna","C. Si ambas son verdaderas",IF($A2="Verdadero o Falso Complejas","3. ",""))</f>
        <v/>
      </c>
      <c r="G2" s="342">
        <f>IF($A2="Respuesta A/B/Ambas/Ninguna","D. Si ninguna es verdadera",IF($A2="Verdadero o Falso Complejas","4. ",""))</f>
        <v/>
      </c>
      <c r="H2" s="342">
        <f>IF($A2="Verdadero o Falso Simple","",IF($A2="Respuesta A/B/Ambas/Ninguna","",IF($A2="Verdadero o Falso Complejas","","")))</f>
        <v/>
      </c>
      <c r="I2" s="342" t="n"/>
      <c r="J2" s="342" t="n">
        <v>1</v>
      </c>
      <c r="K2" s="342" t="inlineStr">
        <is>
          <t>2P</t>
        </is>
      </c>
      <c r="L2" s="343">
        <f>IF(TRIM($A2)="","",IF(OR($A2="Selección de la mejor respuesta",$A2="SELECCION_MEJOR_RESPUESTA",$A2="Subítem de caso o problema",$A2="SUBITEM_CASO"),IF(TRIM($C2)="","Completar enunciado",IF(SUMPRODUCT(--(LEN(TRIM($D2:$H2&amp;""))&gt;0))&lt;5,"Completar opciones A-E",IF(AND(TRIM($I2)&lt;&gt;"",OR(LEFT(TRIM($I2),1)="A",LEFT(TRIM($I2),1)="B",LEFT(TRIM($I2),1)="C",LEFT(TRIM($I2),1)="D",LEFT(TRIM($I2),1)="E")),"OK","Completar respuesta correcta A-E"))),IF(TRIM($A2)="","",IF(COUNTIF($Q2:$AJ2,"?*")=0,"OK","Falta revisar: "&amp;$Q2&amp;$R2&amp;$S2&amp;$T2&amp;$U2&amp;$V2&amp;$W2&amp;$X2&amp;$Y2&amp;$Z2&amp;$AA2&amp;$AB2&amp;$AC2&amp;$AD2&amp;$AE2&amp;$AF2&amp;$AG2&amp;$AH2&amp;$AI2&amp;$AJ2))))</f>
        <v/>
      </c>
      <c r="M2" s="341" t="n"/>
      <c r="Q2">
        <f>IF(TRIM($C2)="","enunciado","")</f>
        <v/>
      </c>
      <c r="R2">
        <f>IF(TRIM($K2)="",IF(COUNTIF($Q2:$Q2,"?*")&gt;0,", ","")&amp;"parcial","")</f>
        <v/>
      </c>
      <c r="S2">
        <f>IF(AND(TRIM($K2)&lt;&gt;"",TRIM($K2)&lt;&gt;VALIDACIONES!$G$1),IF(COUNTIF($Q2:$R2,"?*")&gt;0,", ","")&amp;"parcial distinto a "&amp;VALIDACIONES!$G$1,"")</f>
        <v/>
      </c>
      <c r="T2">
        <f>IF(AND(OR($A2="Ítems agrupados por caso clínico o problema",$A2="Subítem de caso o problema",$A2="Emparejamiento Ampliado",$A2="Opción de Emparejamiento Ampliado"),TRIM($B2)=""),IF(COUNTIF($Q2:$S2,"?*")&gt;0,", ","")&amp;"grupo","")</f>
        <v/>
      </c>
      <c r="U2">
        <f>IF(AND(OR($A2="Verdadero o Falso Simple",$A2="Respuesta A/B/Ambas/Ninguna",$A2="Verdadero o Falso Complejas",$A2="Selección de la mejor respuesta",$A2="Subítem de caso o problema",$A2="Opción de Emparejamiento Ampliado"),TRIM($I2)=""),IF(COUNTIF($Q2:$T2,"?*")&gt;0,", ","")&amp;"respuesta_correcta","")</f>
        <v/>
      </c>
      <c r="V2">
        <f>IF(AND(OR($A2="Verdadero o Falso Simple",$A2="Respuesta A/B/Ambas/Ninguna",$A2="Verdadero o Falso Complejas",$A2="Selección de la mejor respuesta",$A2="Subítem de caso o problema",$A2="Opción de Emparejamiento Ampliado"),TRIM($J2)=""),IF(COUNTIF($Q2:$U2,"?*")&gt;0,", ","")&amp;"dificultad","")</f>
        <v/>
      </c>
      <c r="W2">
        <f>IF(AND(OR($A2="Ítems agrupados por caso clínico o problema",$A2="Emparejamiento Ampliado"),TRIM($I2)&lt;&gt;""),IF(COUNTIF($Q2:$V2,"?*")&gt;0,", ","")&amp;"respuesta debe ir vacia","")</f>
        <v/>
      </c>
      <c r="X2">
        <f>IF(AND(OR($A2="Ítems agrupados por caso clínico o problema",$A2="Emparejamiento Ampliado"),TRIM($J2)&lt;&gt;""),IF(COUNTIF($Q2:$W2,"?*")&gt;0,", ","")&amp;"dificultad debe ir vacia","")</f>
        <v/>
      </c>
      <c r="Y2">
        <f>IF(AND($A2="Verdadero o Falso Simple",OR(COUNTIF($D2:$E2,"?*")&lt;2,COUNTIF($F2:$H2,"?*")&gt;0)),IF(COUNTIF($Q2:$X2,"?*")&gt;0,", ","")&amp;"incisos A-B","")</f>
        <v/>
      </c>
      <c r="Z2">
        <f>IF(AND($A2="Verdadero o Falso Simple",TRIM($I2)&lt;&gt;"",NOT(OR(LEFT(TRIM($I2),1)="A",LEFT(TRIM($I2),1)="B"))),IF(COUNTIF($Q2:$Y2,"?*")&gt;0,", ","")&amp;"respuesta A-B","")</f>
        <v/>
      </c>
      <c r="AA2">
        <f>IF(AND($A2="Respuesta A/B/Ambas/Ninguna",COUNTIF($D2:$G2,"?*")&lt;4),IF(COUNTIF($Q2:$Z2,"?*")&gt;0,", ","")&amp;"opciones A-D","")</f>
        <v/>
      </c>
      <c r="AB2">
        <f>IF(AND($A2="Respuesta A/B/Ambas/Ninguna",COUNTIF($H2:$H2,"?*")&gt;0),IF(COUNTIF($Q2:$AA2,"?*")&gt;0,", ","")&amp;"opcion E deshabilitada","")</f>
        <v/>
      </c>
      <c r="AC2">
        <f>IF(AND($A2="Respuesta A/B/Ambas/Ninguna",TRIM($I2)&lt;&gt;"",NOT(OR(LEFT(TRIM($I2),1)="A",LEFT(TRIM($I2),1)="B",LEFT(TRIM($I2),1)="C",LEFT(TRIM($I2),1)="D"))),IF(COUNTIF($Q2:$AB2,"?*")&gt;0,", ","")&amp;"respuesta A-D","")</f>
        <v/>
      </c>
      <c r="AD2">
        <f>IF(AND($A2="Verdadero o Falso Complejas",OR(LEN(TRIM(SUBSTITUTE($D2,"1.","")))=0,LEN(TRIM(SUBSTITUTE($E2,"2.","")))=0,LEN(TRIM(SUBSTITUTE($F2,"3.","")))=0,LEN(TRIM(SUBSTITUTE($G2,"4.","")))=0)),IF(COUNTIF($Q2:$AC2,"?*")&gt;0,", ","")&amp;"incisos 1-4","")</f>
        <v/>
      </c>
      <c r="AE2">
        <f>IF(AND($A2="Verdadero o Falso Complejas",COUNTIF($H2:$H2,"?*")&gt;0),IF(COUNTIF($Q2:$AD2,"?*")&gt;0,", ","")&amp;"opcion E deshabilitada","")</f>
        <v/>
      </c>
      <c r="AF2">
        <f>IF(AND($A2="Verdadero o Falso Complejas",TRIM($I2)&lt;&gt;"",NOT(OR(LEFT(TRIM($I2),1)="A",LEFT(TRIM($I2),1)="B",LEFT(TRIM($I2),1)="C",LEFT(TRIM($I2),1)="D",LEFT(TRIM($I2),1)="E"))),IF(COUNTIF($Q2:$AE2,"?*")&gt;0,", ","")&amp;"respuesta A-E","")</f>
        <v/>
      </c>
      <c r="AG2">
        <f>IF(AND(OR($A2="Selección de la mejor respuesta",$A2="Subítem de caso o problema"),COUNTA($D2:$H2)&lt;5),IF(COUNTIF($Q2:$AF2,"?*")&gt;0,", ","")&amp;"incisos A-E","")</f>
        <v/>
      </c>
      <c r="AH2">
        <f>IF(AND(OR($A2="Selección de la mejor respuesta",$A2="Subítem de caso o problema"),TRIM($I2)&lt;&gt;"",NOT(OR(LEFT(TRIM($I2),1)="A",LEFT(TRIM($I2),1)="B",LEFT(TRIM($I2),1)="C",LEFT(TRIM($I2),1)="D",LEFT(TRIM($I2),1)="E"))),IF(COUNTIF($Q2:$AG2,"?*")&gt;0,", ","")&amp;"respuesta A-E","")</f>
        <v/>
      </c>
      <c r="AI2">
        <f>IF(AND(OR($A2="Ítems agrupados por caso clínico o problema",$A2="Opción de Emparejamiento Ampliado"),COUNTIF($D2:$H2,"?*")&gt;0),IF(COUNTIF($Q2:$AH2,"?*")&gt;0,", ","")&amp;"sin incisos","")</f>
        <v/>
      </c>
      <c r="AJ2">
        <f>IF(AND($A2="Emparejamiento Ampliado",COUNTIF($D2:$H2,"?*")&lt;2),IF(COUNTIF($Q2:$AI2,"?*")&gt;0,", ","")&amp;"minimo 2 claves","")</f>
        <v/>
      </c>
      <c r="AK2">
        <f>IF(AND($A2="Opción de Emparejamiento Ampliado",NOT(OR(LEFT(TRIM($I2),1)="A",LEFT(TRIM($I2),1)="B",LEFT(TRIM($I2),1)="C",LEFT(TRIM($I2),1)="D",LEFT(TRIM($I2),1)="E"))),IF(COUNTIF($Q2:$AJ2,"?*")&gt;0,", ","")&amp;"respuesta A-E","")</f>
        <v/>
      </c>
      <c r="AL2">
        <f>IF(TRIM($K2)="",IF(COUNTIF($M2:$M2,"?*")&gt;0,", ","")&amp;"parcial","")</f>
        <v/>
      </c>
      <c r="AM2">
        <f>IF(AND(TRIM($K2)&lt;&gt;"",TRIM($K2)&lt;&gt;VALIDACIONES!$G$1),IF(COUNTIF($M2:$N2,"?*")&gt;0,", ","")&amp;"parcial distinto a "&amp;VALIDACIONES!$G$1,"")</f>
        <v/>
      </c>
      <c r="AN2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AO2" s="357" t="inlineStr">
        <is>
          <t>Fáciles (1)</t>
        </is>
      </c>
      <c r="AP2" s="358">
        <f>COUNTIF($J$2:$J$1001,1)</f>
        <v/>
      </c>
      <c r="AQ2" s="359" t="inlineStr">
        <is>
          <t>Meta: 15</t>
        </is>
      </c>
    </row>
    <row r="3" ht="24" customHeight="1">
      <c r="A3" s="342" t="n"/>
      <c r="B3" s="342" t="n"/>
      <c r="C3" s="342" t="n"/>
      <c r="D3" s="342">
        <f>IF($A3="Verdadero o Falso Simple","Verdadero",IF($A3="Respuesta A/B/Ambas/Ninguna","A. Si la primera es verdadera",IF($A3="Verdadero o Falso Complejas","1. ","")))</f>
        <v/>
      </c>
      <c r="E3" s="342">
        <f>IF($A3="Verdadero o Falso Simple","Falso",IF($A3="Respuesta A/B/Ambas/Ninguna","B. Si la segunda es verdadera",IF($A3="Verdadero o Falso Complejas","2. ","")))</f>
        <v/>
      </c>
      <c r="F3" s="342">
        <f>IF($A3="Respuesta A/B/Ambas/Ninguna","C. Si ambas son verdaderas",IF($A3="Verdadero o Falso Complejas","3. ",""))</f>
        <v/>
      </c>
      <c r="G3" s="342">
        <f>IF($A3="Respuesta A/B/Ambas/Ninguna","D. Si ninguna es verdadera",IF($A3="Verdadero o Falso Complejas","4. ",""))</f>
        <v/>
      </c>
      <c r="H3" s="342">
        <f>IF($A3="Verdadero o Falso Simple","",IF($A3="Respuesta A/B/Ambas/Ninguna","",IF($A3="Verdadero o Falso Complejas","","")))</f>
        <v/>
      </c>
      <c r="I3" s="342" t="n"/>
      <c r="J3" s="342" t="n">
        <v>1</v>
      </c>
      <c r="K3" s="342" t="inlineStr">
        <is>
          <t>2P</t>
        </is>
      </c>
      <c r="L3" s="343">
        <f>IF(TRIM($A3)="","",IF(OR($A3="Selección de la mejor respuesta",$A3="SELECCION_MEJOR_RESPUESTA",$A3="Subítem de caso o problema",$A3="SUBITEM_CASO"),IF(TRIM($C3)="","Completar enunciado",IF(SUMPRODUCT(--(LEN(TRIM($D3:$H3&amp;""))&gt;0))&lt;5,"Completar opciones A-E",IF(AND(TRIM($I3)&lt;&gt;"",OR(LEFT(TRIM($I3),1)="A",LEFT(TRIM($I3),1)="B",LEFT(TRIM($I3),1)="C",LEFT(TRIM($I3),1)="D",LEFT(TRIM($I3),1)="E")),"OK","Completar respuesta correcta A-E"))),IF(TRIM($A3)="","",IF(COUNTIF($Q3:$AJ3,"?*")=0,"OK","Falta revisar: "&amp;$Q3&amp;$R3&amp;$S3&amp;$T3&amp;$U3&amp;$V3&amp;$W3&amp;$X3&amp;$Y3&amp;$Z3&amp;$AA3&amp;$AB3&amp;$AC3&amp;$AD3&amp;$AE3&amp;$AF3&amp;$AG3&amp;$AH3&amp;$AI3&amp;$AJ3))))</f>
        <v/>
      </c>
      <c r="M3" s="341" t="n"/>
      <c r="Q3">
        <f>IF(TRIM($C3)="","enunciado","")</f>
        <v/>
      </c>
      <c r="R3">
        <f>IF(TRIM($K3)="",IF(COUNTIF($Q3:$Q3,"?*")&gt;0,", ","")&amp;"parcial","")</f>
        <v/>
      </c>
      <c r="S3">
        <f>IF(AND(TRIM($K3)&lt;&gt;"",TRIM($K3)&lt;&gt;VALIDACIONES!$G$1),IF(COUNTIF($Q3:$R3,"?*")&gt;0,", ","")&amp;"parcial distinto a "&amp;VALIDACIONES!$G$1,"")</f>
        <v/>
      </c>
      <c r="T3">
        <f>IF(AND(OR($A3="Ítems agrupados por caso clínico o problema",$A3="Subítem de caso o problema",$A3="Emparejamiento Ampliado",$A3="Opción de Emparejamiento Ampliado"),TRIM($B3)=""),IF(COUNTIF($Q3:$S3,"?*")&gt;0,", ","")&amp;"grupo","")</f>
        <v/>
      </c>
      <c r="U3">
        <f>IF(AND(OR($A3="Verdadero o Falso Simple",$A3="Respuesta A/B/Ambas/Ninguna",$A3="Verdadero o Falso Complejas",$A3="Selección de la mejor respuesta",$A3="Subítem de caso o problema",$A3="Opción de Emparejamiento Ampliado"),TRIM($I3)=""),IF(COUNTIF($Q3:$T3,"?*")&gt;0,", ","")&amp;"respuesta_correcta","")</f>
        <v/>
      </c>
      <c r="V3">
        <f>IF(AND(OR($A3="Verdadero o Falso Simple",$A3="Respuesta A/B/Ambas/Ninguna",$A3="Verdadero o Falso Complejas",$A3="Selección de la mejor respuesta",$A3="Subítem de caso o problema",$A3="Opción de Emparejamiento Ampliado"),TRIM($J3)=""),IF(COUNTIF($Q3:$U3,"?*")&gt;0,", ","")&amp;"dificultad","")</f>
        <v/>
      </c>
      <c r="W3">
        <f>IF(AND(OR($A3="Ítems agrupados por caso clínico o problema",$A3="Emparejamiento Ampliado"),TRIM($I3)&lt;&gt;""),IF(COUNTIF($Q3:$V3,"?*")&gt;0,", ","")&amp;"respuesta debe ir vacia","")</f>
        <v/>
      </c>
      <c r="X3">
        <f>IF(AND(OR($A3="Ítems agrupados por caso clínico o problema",$A3="Emparejamiento Ampliado"),TRIM($J3)&lt;&gt;""),IF(COUNTIF($Q3:$W3,"?*")&gt;0,", ","")&amp;"dificultad debe ir vacia","")</f>
        <v/>
      </c>
      <c r="Y3">
        <f>IF(AND($A3="Verdadero o Falso Simple",OR(COUNTIF($D3:$E3,"?*")&lt;2,COUNTIF($F3:$H3,"?*")&gt;0)),IF(COUNTIF($Q3:$X3,"?*")&gt;0,", ","")&amp;"incisos A-B","")</f>
        <v/>
      </c>
      <c r="Z3">
        <f>IF(AND($A3="Verdadero o Falso Simple",TRIM($I3)&lt;&gt;"",NOT(OR(LEFT(TRIM($I3),1)="A",LEFT(TRIM($I3),1)="B"))),IF(COUNTIF($Q3:$Y3,"?*")&gt;0,", ","")&amp;"respuesta A-B","")</f>
        <v/>
      </c>
      <c r="AA3">
        <f>IF(AND($A3="Respuesta A/B/Ambas/Ninguna",COUNTIF($D3:$G3,"?*")&lt;4),IF(COUNTIF($Q3:$Z3,"?*")&gt;0,", ","")&amp;"opciones A-D","")</f>
        <v/>
      </c>
      <c r="AB3">
        <f>IF(AND($A3="Respuesta A/B/Ambas/Ninguna",COUNTIF($H3:$H3,"?*")&gt;0),IF(COUNTIF($Q3:$AA3,"?*")&gt;0,", ","")&amp;"opcion E deshabilitada","")</f>
        <v/>
      </c>
      <c r="AC3">
        <f>IF(AND($A3="Respuesta A/B/Ambas/Ninguna",TRIM($I3)&lt;&gt;"",NOT(OR(LEFT(TRIM($I3),1)="A",LEFT(TRIM($I3),1)="B",LEFT(TRIM($I3),1)="C",LEFT(TRIM($I3),1)="D"))),IF(COUNTIF($Q3:$AB3,"?*")&gt;0,", ","")&amp;"respuesta A-D","")</f>
        <v/>
      </c>
      <c r="AD3">
        <f>IF(AND($A3="Verdadero o Falso Complejas",OR(LEN(TRIM(SUBSTITUTE($D3,"1.","")))=0,LEN(TRIM(SUBSTITUTE($E3,"2.","")))=0,LEN(TRIM(SUBSTITUTE($F3,"3.","")))=0,LEN(TRIM(SUBSTITUTE($G3,"4.","")))=0)),IF(COUNTIF($Q3:$AC3,"?*")&gt;0,", ","")&amp;"incisos 1-4","")</f>
        <v/>
      </c>
      <c r="AE3">
        <f>IF(AND($A3="Verdadero o Falso Complejas",COUNTIF($H3:$H3,"?*")&gt;0),IF(COUNTIF($Q3:$AD3,"?*")&gt;0,", ","")&amp;"opcion E deshabilitada","")</f>
        <v/>
      </c>
      <c r="AF3">
        <f>IF(AND($A3="Verdadero o Falso Complejas",TRIM($I3)&lt;&gt;"",NOT(OR(LEFT(TRIM($I3),1)="A",LEFT(TRIM($I3),1)="B",LEFT(TRIM($I3),1)="C",LEFT(TRIM($I3),1)="D",LEFT(TRIM($I3),1)="E"))),IF(COUNTIF($Q3:$AE3,"?*")&gt;0,", ","")&amp;"respuesta A-E","")</f>
        <v/>
      </c>
      <c r="AG3">
        <f>IF(AND(OR($A3="Selección de la mejor respuesta",$A3="Subítem de caso o problema"),COUNTA($D3:$H3)&lt;5),IF(COUNTIF($Q3:$AF3,"?*")&gt;0,", ","")&amp;"incisos A-E","")</f>
        <v/>
      </c>
      <c r="AH3">
        <f>IF(AND(OR($A3="Selección de la mejor respuesta",$A3="Subítem de caso o problema"),TRIM($I3)&lt;&gt;"",NOT(OR(LEFT(TRIM($I3),1)="A",LEFT(TRIM($I3),1)="B",LEFT(TRIM($I3),1)="C",LEFT(TRIM($I3),1)="D",LEFT(TRIM($I3),1)="E"))),IF(COUNTIF($Q3:$AG3,"?*")&gt;0,", ","")&amp;"respuesta A-E","")</f>
        <v/>
      </c>
      <c r="AI3">
        <f>IF(AND(OR($A3="Ítems agrupados por caso clínico o problema",$A3="Opción de Emparejamiento Ampliado"),COUNTIF($D3:$H3,"?*")&gt;0),IF(COUNTIF($Q3:$AH3,"?*")&gt;0,", ","")&amp;"sin incisos","")</f>
        <v/>
      </c>
      <c r="AJ3">
        <f>IF(AND($A3="Emparejamiento Ampliado",COUNTIF($D3:$H3,"?*")&lt;2),IF(COUNTIF($Q3:$AI3,"?*")&gt;0,", ","")&amp;"minimo 2 claves","")</f>
        <v/>
      </c>
      <c r="AK3">
        <f>IF(AND($A3="Opción de Emparejamiento Ampliado",NOT(OR(LEFT(TRIM($I3),1)="A",LEFT(TRIM($I3),1)="B",LEFT(TRIM($I3),1)="C",LEFT(TRIM($I3),1)="D",LEFT(TRIM($I3),1)="E"))),IF(COUNTIF($Q3:$AJ3,"?*")&gt;0,", ","")&amp;"respuesta A-E","")</f>
        <v/>
      </c>
      <c r="AL3">
        <f>IF(TRIM($K3)="",IF(COUNTIF($M3:$M3,"?*")&gt;0,", ","")&amp;"parcial","")</f>
        <v/>
      </c>
      <c r="AM3">
        <f>IF(AND(TRIM($K3)&lt;&gt;"",TRIM($K3)&lt;&gt;VALIDACIONES!$G$1),IF(COUNTIF($M3:$N3,"?*")&gt;0,", ","")&amp;"parcial distinto a "&amp;VALIDACIONES!$G$1,"")</f>
        <v/>
      </c>
      <c r="AN3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AO3" s="360" t="inlineStr">
        <is>
          <t>Medias (2)</t>
        </is>
      </c>
      <c r="AP3" s="361">
        <f>COUNTIF($J$2:$J$1001,2)</f>
        <v/>
      </c>
      <c r="AQ3" s="362" t="inlineStr">
        <is>
          <t>Meta: 30</t>
        </is>
      </c>
    </row>
    <row r="4" ht="24" customHeight="1">
      <c r="A4" s="342" t="n"/>
      <c r="B4" s="342" t="n"/>
      <c r="C4" s="342" t="n"/>
      <c r="D4" s="342">
        <f>IF($A4="Verdadero o Falso Simple","Verdadero",IF($A4="Respuesta A/B/Ambas/Ninguna","A. Si la primera es verdadera",IF($A4="Verdadero o Falso Complejas","1. ","")))</f>
        <v/>
      </c>
      <c r="E4" s="342">
        <f>IF($A4="Verdadero o Falso Simple","Falso",IF($A4="Respuesta A/B/Ambas/Ninguna","B. Si la segunda es verdadera",IF($A4="Verdadero o Falso Complejas","2. ","")))</f>
        <v/>
      </c>
      <c r="F4" s="342">
        <f>IF($A4="Respuesta A/B/Ambas/Ninguna","C. Si ambas son verdaderas",IF($A4="Verdadero o Falso Complejas","3. ",""))</f>
        <v/>
      </c>
      <c r="G4" s="342">
        <f>IF($A4="Respuesta A/B/Ambas/Ninguna","D. Si ninguna es verdadera",IF($A4="Verdadero o Falso Complejas","4. ",""))</f>
        <v/>
      </c>
      <c r="H4" s="342">
        <f>IF($A4="Verdadero o Falso Simple","",IF($A4="Respuesta A/B/Ambas/Ninguna","",IF($A4="Verdadero o Falso Complejas","","")))</f>
        <v/>
      </c>
      <c r="I4" s="342" t="n"/>
      <c r="J4" s="342" t="n">
        <v>1</v>
      </c>
      <c r="K4" s="342" t="inlineStr">
        <is>
          <t>2P</t>
        </is>
      </c>
      <c r="L4" s="343">
        <f>IF(TRIM($A4)="","",IF(OR($A4="Selección de la mejor respuesta",$A4="SELECCION_MEJOR_RESPUESTA",$A4="Subítem de caso o problema",$A4="SUBITEM_CASO"),IF(TRIM($C4)="","Completar enunciado",IF(SUMPRODUCT(--(LEN(TRIM($D4:$H4&amp;""))&gt;0))&lt;5,"Completar opciones A-E",IF(AND(TRIM($I4)&lt;&gt;"",OR(LEFT(TRIM($I4),1)="A",LEFT(TRIM($I4),1)="B",LEFT(TRIM($I4),1)="C",LEFT(TRIM($I4),1)="D",LEFT(TRIM($I4),1)="E")),"OK","Completar respuesta correcta A-E"))),IF(TRIM($A4)="","",IF(COUNTIF($Q4:$AJ4,"?*")=0,"OK","Falta revisar: "&amp;$Q4&amp;$R4&amp;$S4&amp;$T4&amp;$U4&amp;$V4&amp;$W4&amp;$X4&amp;$Y4&amp;$Z4&amp;$AA4&amp;$AB4&amp;$AC4&amp;$AD4&amp;$AE4&amp;$AF4&amp;$AG4&amp;$AH4&amp;$AI4&amp;$AJ4))))</f>
        <v/>
      </c>
      <c r="M4" s="341" t="n"/>
      <c r="Q4">
        <f>IF(TRIM($C4)="","enunciado","")</f>
        <v/>
      </c>
      <c r="R4">
        <f>IF(TRIM($K4)="",IF(COUNTIF($Q4:$Q4,"?*")&gt;0,", ","")&amp;"parcial","")</f>
        <v/>
      </c>
      <c r="S4">
        <f>IF(AND(TRIM($K4)&lt;&gt;"",TRIM($K4)&lt;&gt;VALIDACIONES!$G$1),IF(COUNTIF($Q4:$R4,"?*")&gt;0,", ","")&amp;"parcial distinto a "&amp;VALIDACIONES!$G$1,"")</f>
        <v/>
      </c>
      <c r="T4">
        <f>IF(AND(OR($A4="Ítems agrupados por caso clínico o problema",$A4="Subítem de caso o problema",$A4="Emparejamiento Ampliado",$A4="Opción de Emparejamiento Ampliado"),TRIM($B4)=""),IF(COUNTIF($Q4:$S4,"?*")&gt;0,", ","")&amp;"grupo","")</f>
        <v/>
      </c>
      <c r="U4">
        <f>IF(AND(OR($A4="Verdadero o Falso Simple",$A4="Respuesta A/B/Ambas/Ninguna",$A4="Verdadero o Falso Complejas",$A4="Selección de la mejor respuesta",$A4="Subítem de caso o problema",$A4="Opción de Emparejamiento Ampliado"),TRIM($I4)=""),IF(COUNTIF($Q4:$T4,"?*")&gt;0,", ","")&amp;"respuesta_correcta","")</f>
        <v/>
      </c>
      <c r="V4">
        <f>IF(AND(OR($A4="Verdadero o Falso Simple",$A4="Respuesta A/B/Ambas/Ninguna",$A4="Verdadero o Falso Complejas",$A4="Selección de la mejor respuesta",$A4="Subítem de caso o problema",$A4="Opción de Emparejamiento Ampliado"),TRIM($J4)=""),IF(COUNTIF($Q4:$U4,"?*")&gt;0,", ","")&amp;"dificultad","")</f>
        <v/>
      </c>
      <c r="W4">
        <f>IF(AND(OR($A4="Ítems agrupados por caso clínico o problema",$A4="Emparejamiento Ampliado"),TRIM($I4)&lt;&gt;""),IF(COUNTIF($Q4:$V4,"?*")&gt;0,", ","")&amp;"respuesta debe ir vacia","")</f>
        <v/>
      </c>
      <c r="X4">
        <f>IF(AND(OR($A4="Ítems agrupados por caso clínico o problema",$A4="Emparejamiento Ampliado"),TRIM($J4)&lt;&gt;""),IF(COUNTIF($Q4:$W4,"?*")&gt;0,", ","")&amp;"dificultad debe ir vacia","")</f>
        <v/>
      </c>
      <c r="Y4">
        <f>IF(AND($A4="Verdadero o Falso Simple",OR(COUNTIF($D4:$E4,"?*")&lt;2,COUNTIF($F4:$H4,"?*")&gt;0)),IF(COUNTIF($Q4:$X4,"?*")&gt;0,", ","")&amp;"incisos A-B","")</f>
        <v/>
      </c>
      <c r="Z4">
        <f>IF(AND($A4="Verdadero o Falso Simple",TRIM($I4)&lt;&gt;"",NOT(OR(LEFT(TRIM($I4),1)="A",LEFT(TRIM($I4),1)="B"))),IF(COUNTIF($Q4:$Y4,"?*")&gt;0,", ","")&amp;"respuesta A-B","")</f>
        <v/>
      </c>
      <c r="AA4">
        <f>IF(AND($A4="Respuesta A/B/Ambas/Ninguna",COUNTIF($D4:$G4,"?*")&lt;4),IF(COUNTIF($Q4:$Z4,"?*")&gt;0,", ","")&amp;"opciones A-D","")</f>
        <v/>
      </c>
      <c r="AB4">
        <f>IF(AND($A4="Respuesta A/B/Ambas/Ninguna",COUNTIF($H4:$H4,"?*")&gt;0),IF(COUNTIF($Q4:$AA4,"?*")&gt;0,", ","")&amp;"opcion E deshabilitada","")</f>
        <v/>
      </c>
      <c r="AC4">
        <f>IF(AND($A4="Respuesta A/B/Ambas/Ninguna",TRIM($I4)&lt;&gt;"",NOT(OR(LEFT(TRIM($I4),1)="A",LEFT(TRIM($I4),1)="B",LEFT(TRIM($I4),1)="C",LEFT(TRIM($I4),1)="D"))),IF(COUNTIF($Q4:$AB4,"?*")&gt;0,", ","")&amp;"respuesta A-D","")</f>
        <v/>
      </c>
      <c r="AD4">
        <f>IF(AND($A4="Verdadero o Falso Complejas",OR(LEN(TRIM(SUBSTITUTE($D4,"1.","")))=0,LEN(TRIM(SUBSTITUTE($E4,"2.","")))=0,LEN(TRIM(SUBSTITUTE($F4,"3.","")))=0,LEN(TRIM(SUBSTITUTE($G4,"4.","")))=0)),IF(COUNTIF($Q4:$AC4,"?*")&gt;0,", ","")&amp;"incisos 1-4","")</f>
        <v/>
      </c>
      <c r="AE4">
        <f>IF(AND($A4="Verdadero o Falso Complejas",COUNTIF($H4:$H4,"?*")&gt;0),IF(COUNTIF($Q4:$AD4,"?*")&gt;0,", ","")&amp;"opcion E deshabilitada","")</f>
        <v/>
      </c>
      <c r="AF4">
        <f>IF(AND($A4="Verdadero o Falso Complejas",TRIM($I4)&lt;&gt;"",NOT(OR(LEFT(TRIM($I4),1)="A",LEFT(TRIM($I4),1)="B",LEFT(TRIM($I4),1)="C",LEFT(TRIM($I4),1)="D",LEFT(TRIM($I4),1)="E"))),IF(COUNTIF($Q4:$AE4,"?*")&gt;0,", ","")&amp;"respuesta A-E","")</f>
        <v/>
      </c>
      <c r="AG4">
        <f>IF(AND(OR($A4="Selección de la mejor respuesta",$A4="Subítem de caso o problema"),COUNTA($D4:$H4)&lt;5),IF(COUNTIF($Q4:$AF4,"?*")&gt;0,", ","")&amp;"incisos A-E","")</f>
        <v/>
      </c>
      <c r="AH4">
        <f>IF(AND(OR($A4="Selección de la mejor respuesta",$A4="Subítem de caso o problema"),TRIM($I4)&lt;&gt;"",NOT(OR(LEFT(TRIM($I4),1)="A",LEFT(TRIM($I4),1)="B",LEFT(TRIM($I4),1)="C",LEFT(TRIM($I4),1)="D",LEFT(TRIM($I4),1)="E"))),IF(COUNTIF($Q4:$AG4,"?*")&gt;0,", ","")&amp;"respuesta A-E","")</f>
        <v/>
      </c>
      <c r="AI4">
        <f>IF(AND(OR($A4="Ítems agrupados por caso clínico o problema",$A4="Opción de Emparejamiento Ampliado"),COUNTIF($D4:$H4,"?*")&gt;0),IF(COUNTIF($Q4:$AH4,"?*")&gt;0,", ","")&amp;"sin incisos","")</f>
        <v/>
      </c>
      <c r="AJ4">
        <f>IF(AND($A4="Emparejamiento Ampliado",COUNTIF($D4:$H4,"?*")&lt;2),IF(COUNTIF($Q4:$AI4,"?*")&gt;0,", ","")&amp;"minimo 2 claves","")</f>
        <v/>
      </c>
      <c r="AK4">
        <f>IF(AND($A4="Opción de Emparejamiento Ampliado",NOT(OR(LEFT(TRIM($I4),1)="A",LEFT(TRIM($I4),1)="B",LEFT(TRIM($I4),1)="C",LEFT(TRIM($I4),1)="D",LEFT(TRIM($I4),1)="E"))),IF(COUNTIF($Q4:$AJ4,"?*")&gt;0,", ","")&amp;"respuesta A-E","")</f>
        <v/>
      </c>
      <c r="AL4">
        <f>IF(TRIM($K4)="",IF(COUNTIF($M4:$M4,"?*")&gt;0,", ","")&amp;"parcial","")</f>
        <v/>
      </c>
      <c r="AM4">
        <f>IF(AND(TRIM($K4)&lt;&gt;"",TRIM($K4)&lt;&gt;VALIDACIONES!$G$1),IF(COUNTIF($M4:$N4,"?*")&gt;0,", ","")&amp;"parcial distinto a "&amp;VALIDACIONES!$G$1,"")</f>
        <v/>
      </c>
      <c r="AN4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AO4" s="360" t="inlineStr">
        <is>
          <t>Difíciles (3)</t>
        </is>
      </c>
      <c r="AP4" s="361">
        <f>COUNTIF($J$2:$J$1001,3)</f>
        <v/>
      </c>
      <c r="AQ4" s="362" t="inlineStr">
        <is>
          <t>Meta: 15</t>
        </is>
      </c>
    </row>
    <row r="5" ht="24" customHeight="1">
      <c r="A5" s="342" t="n"/>
      <c r="B5" s="342" t="n"/>
      <c r="C5" s="342" t="n"/>
      <c r="D5" s="342">
        <f>IF($A5="Verdadero o Falso Simple","Verdadero",IF($A5="Respuesta A/B/Ambas/Ninguna","A. Si la primera es verdadera",IF($A5="Verdadero o Falso Complejas","1. ","")))</f>
        <v/>
      </c>
      <c r="E5" s="342">
        <f>IF($A5="Verdadero o Falso Simple","Falso",IF($A5="Respuesta A/B/Ambas/Ninguna","B. Si la segunda es verdadera",IF($A5="Verdadero o Falso Complejas","2. ","")))</f>
        <v/>
      </c>
      <c r="F5" s="342">
        <f>IF($A5="Respuesta A/B/Ambas/Ninguna","C. Si ambas son verdaderas",IF($A5="Verdadero o Falso Complejas","3. ",""))</f>
        <v/>
      </c>
      <c r="G5" s="342">
        <f>IF($A5="Respuesta A/B/Ambas/Ninguna","D. Si ninguna es verdadera",IF($A5="Verdadero o Falso Complejas","4. ",""))</f>
        <v/>
      </c>
      <c r="H5" s="342">
        <f>IF($A5="Verdadero o Falso Simple","",IF($A5="Respuesta A/B/Ambas/Ninguna","",IF($A5="Verdadero o Falso Complejas","","")))</f>
        <v/>
      </c>
      <c r="I5" s="342" t="n"/>
      <c r="J5" s="342" t="n">
        <v>1</v>
      </c>
      <c r="K5" s="342" t="inlineStr">
        <is>
          <t>2P</t>
        </is>
      </c>
      <c r="L5" s="343">
        <f>IF(TRIM($A5)="","",IF(OR($A5="Selección de la mejor respuesta",$A5="SELECCION_MEJOR_RESPUESTA",$A5="Subítem de caso o problema",$A5="SUBITEM_CASO"),IF(TRIM($C5)="","Completar enunciado",IF(SUMPRODUCT(--(LEN(TRIM($D5:$H5&amp;""))&gt;0))&lt;5,"Completar opciones A-E",IF(AND(TRIM($I5)&lt;&gt;"",OR(LEFT(TRIM($I5),1)="A",LEFT(TRIM($I5),1)="B",LEFT(TRIM($I5),1)="C",LEFT(TRIM($I5),1)="D",LEFT(TRIM($I5),1)="E")),"OK","Completar respuesta correcta A-E"))),IF(TRIM($A5)="","",IF(COUNTIF($Q5:$AJ5,"?*")=0,"OK","Falta revisar: "&amp;$Q5&amp;$R5&amp;$S5&amp;$T5&amp;$U5&amp;$V5&amp;$W5&amp;$X5&amp;$Y5&amp;$Z5&amp;$AA5&amp;$AB5&amp;$AC5&amp;$AD5&amp;$AE5&amp;$AF5&amp;$AG5&amp;$AH5&amp;$AI5&amp;$AJ5))))</f>
        <v/>
      </c>
      <c r="M5" s="341" t="n"/>
      <c r="Q5">
        <f>IF(TRIM($C5)="","enunciado","")</f>
        <v/>
      </c>
      <c r="R5">
        <f>IF(TRIM($K5)="",IF(COUNTIF($Q5:$Q5,"?*")&gt;0,", ","")&amp;"parcial","")</f>
        <v/>
      </c>
      <c r="S5">
        <f>IF(AND(TRIM($K5)&lt;&gt;"",TRIM($K5)&lt;&gt;VALIDACIONES!$G$1),IF(COUNTIF($Q5:$R5,"?*")&gt;0,", ","")&amp;"parcial distinto a "&amp;VALIDACIONES!$G$1,"")</f>
        <v/>
      </c>
      <c r="T5">
        <f>IF(AND(OR($A5="Ítems agrupados por caso clínico o problema",$A5="Subítem de caso o problema",$A5="Emparejamiento Ampliado",$A5="Opción de Emparejamiento Ampliado"),TRIM($B5)=""),IF(COUNTIF($Q5:$S5,"?*")&gt;0,", ","")&amp;"grupo","")</f>
        <v/>
      </c>
      <c r="U5">
        <f>IF(AND(OR($A5="Verdadero o Falso Simple",$A5="Respuesta A/B/Ambas/Ninguna",$A5="Verdadero o Falso Complejas",$A5="Selección de la mejor respuesta",$A5="Subítem de caso o problema",$A5="Opción de Emparejamiento Ampliado"),TRIM($I5)=""),IF(COUNTIF($Q5:$T5,"?*")&gt;0,", ","")&amp;"respuesta_correcta","")</f>
        <v/>
      </c>
      <c r="V5">
        <f>IF(AND(OR($A5="Verdadero o Falso Simple",$A5="Respuesta A/B/Ambas/Ninguna",$A5="Verdadero o Falso Complejas",$A5="Selección de la mejor respuesta",$A5="Subítem de caso o problema",$A5="Opción de Emparejamiento Ampliado"),TRIM($J5)=""),IF(COUNTIF($Q5:$U5,"?*")&gt;0,", ","")&amp;"dificultad","")</f>
        <v/>
      </c>
      <c r="W5">
        <f>IF(AND(OR($A5="Ítems agrupados por caso clínico o problema",$A5="Emparejamiento Ampliado"),TRIM($I5)&lt;&gt;""),IF(COUNTIF($Q5:$V5,"?*")&gt;0,", ","")&amp;"respuesta debe ir vacia","")</f>
        <v/>
      </c>
      <c r="X5">
        <f>IF(AND(OR($A5="Ítems agrupados por caso clínico o problema",$A5="Emparejamiento Ampliado"),TRIM($J5)&lt;&gt;""),IF(COUNTIF($Q5:$W5,"?*")&gt;0,", ","")&amp;"dificultad debe ir vacia","")</f>
        <v/>
      </c>
      <c r="Y5">
        <f>IF(AND($A5="Verdadero o Falso Simple",OR(COUNTIF($D5:$E5,"?*")&lt;2,COUNTIF($F5:$H5,"?*")&gt;0)),IF(COUNTIF($Q5:$X5,"?*")&gt;0,", ","")&amp;"incisos A-B","")</f>
        <v/>
      </c>
      <c r="Z5">
        <f>IF(AND($A5="Verdadero o Falso Simple",TRIM($I5)&lt;&gt;"",NOT(OR(LEFT(TRIM($I5),1)="A",LEFT(TRIM($I5),1)="B"))),IF(COUNTIF($Q5:$Y5,"?*")&gt;0,", ","")&amp;"respuesta A-B","")</f>
        <v/>
      </c>
      <c r="AA5">
        <f>IF(AND($A5="Respuesta A/B/Ambas/Ninguna",COUNTIF($D5:$G5,"?*")&lt;4),IF(COUNTIF($Q5:$Z5,"?*")&gt;0,", ","")&amp;"opciones A-D","")</f>
        <v/>
      </c>
      <c r="AB5">
        <f>IF(AND($A5="Respuesta A/B/Ambas/Ninguna",COUNTIF($H5:$H5,"?*")&gt;0),IF(COUNTIF($Q5:$AA5,"?*")&gt;0,", ","")&amp;"opcion E deshabilitada","")</f>
        <v/>
      </c>
      <c r="AC5">
        <f>IF(AND($A5="Respuesta A/B/Ambas/Ninguna",TRIM($I5)&lt;&gt;"",NOT(OR(LEFT(TRIM($I5),1)="A",LEFT(TRIM($I5),1)="B",LEFT(TRIM($I5),1)="C",LEFT(TRIM($I5),1)="D"))),IF(COUNTIF($Q5:$AB5,"?*")&gt;0,", ","")&amp;"respuesta A-D","")</f>
        <v/>
      </c>
      <c r="AD5">
        <f>IF(AND($A5="Verdadero o Falso Complejas",OR(LEN(TRIM(SUBSTITUTE($D5,"1.","")))=0,LEN(TRIM(SUBSTITUTE($E5,"2.","")))=0,LEN(TRIM(SUBSTITUTE($F5,"3.","")))=0,LEN(TRIM(SUBSTITUTE($G5,"4.","")))=0)),IF(COUNTIF($Q5:$AC5,"?*")&gt;0,", ","")&amp;"incisos 1-4","")</f>
        <v/>
      </c>
      <c r="AE5">
        <f>IF(AND($A5="Verdadero o Falso Complejas",COUNTIF($H5:$H5,"?*")&gt;0),IF(COUNTIF($Q5:$AD5,"?*")&gt;0,", ","")&amp;"opcion E deshabilitada","")</f>
        <v/>
      </c>
      <c r="AF5">
        <f>IF(AND($A5="Verdadero o Falso Complejas",TRIM($I5)&lt;&gt;"",NOT(OR(LEFT(TRIM($I5),1)="A",LEFT(TRIM($I5),1)="B",LEFT(TRIM($I5),1)="C",LEFT(TRIM($I5),1)="D",LEFT(TRIM($I5),1)="E"))),IF(COUNTIF($Q5:$AE5,"?*")&gt;0,", ","")&amp;"respuesta A-E","")</f>
        <v/>
      </c>
      <c r="AG5">
        <f>IF(AND(OR($A5="Selección de la mejor respuesta",$A5="Subítem de caso o problema"),COUNTA($D5:$H5)&lt;5),IF(COUNTIF($Q5:$AF5,"?*")&gt;0,", ","")&amp;"incisos A-E","")</f>
        <v/>
      </c>
      <c r="AH5">
        <f>IF(AND(OR($A5="Selección de la mejor respuesta",$A5="Subítem de caso o problema"),TRIM($I5)&lt;&gt;"",NOT(OR(LEFT(TRIM($I5),1)="A",LEFT(TRIM($I5),1)="B",LEFT(TRIM($I5),1)="C",LEFT(TRIM($I5),1)="D",LEFT(TRIM($I5),1)="E"))),IF(COUNTIF($Q5:$AG5,"?*")&gt;0,", ","")&amp;"respuesta A-E","")</f>
        <v/>
      </c>
      <c r="AI5">
        <f>IF(AND(OR($A5="Ítems agrupados por caso clínico o problema",$A5="Opción de Emparejamiento Ampliado"),COUNTIF($D5:$H5,"?*")&gt;0),IF(COUNTIF($Q5:$AH5,"?*")&gt;0,", ","")&amp;"sin incisos","")</f>
        <v/>
      </c>
      <c r="AJ5">
        <f>IF(AND($A5="Emparejamiento Ampliado",COUNTIF($D5:$H5,"?*")&lt;2),IF(COUNTIF($Q5:$AI5,"?*")&gt;0,", ","")&amp;"minimo 2 claves","")</f>
        <v/>
      </c>
      <c r="AK5">
        <f>IF(AND($A5="Opción de Emparejamiento Ampliado",NOT(OR(LEFT(TRIM($I5),1)="A",LEFT(TRIM($I5),1)="B",LEFT(TRIM($I5),1)="C",LEFT(TRIM($I5),1)="D",LEFT(TRIM($I5),1)="E"))),IF(COUNTIF($Q5:$AJ5,"?*")&gt;0,", ","")&amp;"respuesta A-E","")</f>
        <v/>
      </c>
      <c r="AL5">
        <f>IF(TRIM($K5)="",IF(COUNTIF($M5:$M5,"?*")&gt;0,", ","")&amp;"parcial","")</f>
        <v/>
      </c>
      <c r="AM5">
        <f>IF(AND(TRIM($K5)&lt;&gt;"",TRIM($K5)&lt;&gt;VALIDACIONES!$G$1),IF(COUNTIF($M5:$N5,"?*")&gt;0,", ","")&amp;"parcial distinto a "&amp;VALIDACIONES!$G$1,"")</f>
        <v/>
      </c>
      <c r="AN5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AO5" s="360" t="inlineStr">
        <is>
          <t>Total Dificultad</t>
        </is>
      </c>
      <c r="AP5" s="361">
        <f>SUM(AP2:AP4)</f>
        <v/>
      </c>
      <c r="AQ5" s="362" t="inlineStr">
        <is>
          <t>Meta: 60</t>
        </is>
      </c>
    </row>
    <row r="6" ht="24" customHeight="1">
      <c r="A6" s="342" t="n"/>
      <c r="B6" s="342" t="n"/>
      <c r="C6" s="342" t="n"/>
      <c r="D6" s="342">
        <f>IF($A6="Verdadero o Falso Simple","Verdadero",IF($A6="Respuesta A/B/Ambas/Ninguna","A. Si la primera es verdadera",IF($A6="Verdadero o Falso Complejas","1. ","")))</f>
        <v/>
      </c>
      <c r="E6" s="342">
        <f>IF($A6="Verdadero o Falso Simple","Falso",IF($A6="Respuesta A/B/Ambas/Ninguna","B. Si la segunda es verdadera",IF($A6="Verdadero o Falso Complejas","2. ","")))</f>
        <v/>
      </c>
      <c r="F6" s="342">
        <f>IF($A6="Respuesta A/B/Ambas/Ninguna","C. Si ambas son verdaderas",IF($A6="Verdadero o Falso Complejas","3. ",""))</f>
        <v/>
      </c>
      <c r="G6" s="342">
        <f>IF($A6="Respuesta A/B/Ambas/Ninguna","D. Si ninguna es verdadera",IF($A6="Verdadero o Falso Complejas","4. ",""))</f>
        <v/>
      </c>
      <c r="H6" s="342">
        <f>IF($A6="Verdadero o Falso Simple","",IF($A6="Respuesta A/B/Ambas/Ninguna","",IF($A6="Verdadero o Falso Complejas","","")))</f>
        <v/>
      </c>
      <c r="I6" s="342" t="n"/>
      <c r="J6" s="342" t="n">
        <v>1</v>
      </c>
      <c r="K6" s="342" t="inlineStr">
        <is>
          <t>2P</t>
        </is>
      </c>
      <c r="L6" s="343">
        <f>IF(TRIM($A6)="","",IF(OR($A6="Selección de la mejor respuesta",$A6="SELECCION_MEJOR_RESPUESTA",$A6="Subítem de caso o problema",$A6="SUBITEM_CASO"),IF(TRIM($C6)="","Completar enunciado",IF(SUMPRODUCT(--(LEN(TRIM($D6:$H6&amp;""))&gt;0))&lt;5,"Completar opciones A-E",IF(AND(TRIM($I6)&lt;&gt;"",OR(LEFT(TRIM($I6),1)="A",LEFT(TRIM($I6),1)="B",LEFT(TRIM($I6),1)="C",LEFT(TRIM($I6),1)="D",LEFT(TRIM($I6),1)="E")),"OK","Completar respuesta correcta A-E"))),IF(TRIM($A6)="","",IF(COUNTIF($Q6:$AJ6,"?*")=0,"OK","Falta revisar: "&amp;$Q6&amp;$R6&amp;$S6&amp;$T6&amp;$U6&amp;$V6&amp;$W6&amp;$X6&amp;$Y6&amp;$Z6&amp;$AA6&amp;$AB6&amp;$AC6&amp;$AD6&amp;$AE6&amp;$AF6&amp;$AG6&amp;$AH6&amp;$AI6&amp;$AJ6))))</f>
        <v/>
      </c>
      <c r="M6" s="341" t="n"/>
      <c r="Q6">
        <f>IF(TRIM($C6)="","enunciado","")</f>
        <v/>
      </c>
      <c r="R6">
        <f>IF(TRIM($K6)="",IF(COUNTIF($Q6:$Q6,"?*")&gt;0,", ","")&amp;"parcial","")</f>
        <v/>
      </c>
      <c r="S6">
        <f>IF(AND(TRIM($K6)&lt;&gt;"",TRIM($K6)&lt;&gt;VALIDACIONES!$G$1),IF(COUNTIF($Q6:$R6,"?*")&gt;0,", ","")&amp;"parcial distinto a "&amp;VALIDACIONES!$G$1,"")</f>
        <v/>
      </c>
      <c r="T6">
        <f>IF(AND(OR($A6="Ítems agrupados por caso clínico o problema",$A6="Subítem de caso o problema",$A6="Emparejamiento Ampliado",$A6="Opción de Emparejamiento Ampliado"),TRIM($B6)=""),IF(COUNTIF($Q6:$S6,"?*")&gt;0,", ","")&amp;"grupo","")</f>
        <v/>
      </c>
      <c r="U6">
        <f>IF(AND(OR($A6="Verdadero o Falso Simple",$A6="Respuesta A/B/Ambas/Ninguna",$A6="Verdadero o Falso Complejas",$A6="Selección de la mejor respuesta",$A6="Subítem de caso o problema",$A6="Opción de Emparejamiento Ampliado"),TRIM($I6)=""),IF(COUNTIF($Q6:$T6,"?*")&gt;0,", ","")&amp;"respuesta_correcta","")</f>
        <v/>
      </c>
      <c r="V6">
        <f>IF(AND(OR($A6="Verdadero o Falso Simple",$A6="Respuesta A/B/Ambas/Ninguna",$A6="Verdadero o Falso Complejas",$A6="Selección de la mejor respuesta",$A6="Subítem de caso o problema",$A6="Opción de Emparejamiento Ampliado"),TRIM($J6)=""),IF(COUNTIF($Q6:$U6,"?*")&gt;0,", ","")&amp;"dificultad","")</f>
        <v/>
      </c>
      <c r="W6">
        <f>IF(AND(OR($A6="Ítems agrupados por caso clínico o problema",$A6="Emparejamiento Ampliado"),TRIM($I6)&lt;&gt;""),IF(COUNTIF($Q6:$V6,"?*")&gt;0,", ","")&amp;"respuesta debe ir vacia","")</f>
        <v/>
      </c>
      <c r="X6">
        <f>IF(AND(OR($A6="Ítems agrupados por caso clínico o problema",$A6="Emparejamiento Ampliado"),TRIM($J6)&lt;&gt;""),IF(COUNTIF($Q6:$W6,"?*")&gt;0,", ","")&amp;"dificultad debe ir vacia","")</f>
        <v/>
      </c>
      <c r="Y6">
        <f>IF(AND($A6="Verdadero o Falso Simple",OR(COUNTIF($D6:$E6,"?*")&lt;2,COUNTIF($F6:$H6,"?*")&gt;0)),IF(COUNTIF($Q6:$X6,"?*")&gt;0,", ","")&amp;"incisos A-B","")</f>
        <v/>
      </c>
      <c r="Z6">
        <f>IF(AND($A6="Verdadero o Falso Simple",TRIM($I6)&lt;&gt;"",NOT(OR(LEFT(TRIM($I6),1)="A",LEFT(TRIM($I6),1)="B"))),IF(COUNTIF($Q6:$Y6,"?*")&gt;0,", ","")&amp;"respuesta A-B","")</f>
        <v/>
      </c>
      <c r="AA6">
        <f>IF(AND($A6="Respuesta A/B/Ambas/Ninguna",COUNTIF($D6:$G6,"?*")&lt;4),IF(COUNTIF($Q6:$Z6,"?*")&gt;0,", ","")&amp;"opciones A-D","")</f>
        <v/>
      </c>
      <c r="AB6">
        <f>IF(AND($A6="Respuesta A/B/Ambas/Ninguna",COUNTIF($H6:$H6,"?*")&gt;0),IF(COUNTIF($Q6:$AA6,"?*")&gt;0,", ","")&amp;"opcion E deshabilitada","")</f>
        <v/>
      </c>
      <c r="AC6">
        <f>IF(AND($A6="Respuesta A/B/Ambas/Ninguna",TRIM($I6)&lt;&gt;"",NOT(OR(LEFT(TRIM($I6),1)="A",LEFT(TRIM($I6),1)="B",LEFT(TRIM($I6),1)="C",LEFT(TRIM($I6),1)="D"))),IF(COUNTIF($Q6:$AB6,"?*")&gt;0,", ","")&amp;"respuesta A-D","")</f>
        <v/>
      </c>
      <c r="AD6">
        <f>IF(AND($A6="Verdadero o Falso Complejas",OR(LEN(TRIM(SUBSTITUTE($D6,"1.","")))=0,LEN(TRIM(SUBSTITUTE($E6,"2.","")))=0,LEN(TRIM(SUBSTITUTE($F6,"3.","")))=0,LEN(TRIM(SUBSTITUTE($G6,"4.","")))=0)),IF(COUNTIF($Q6:$AC6,"?*")&gt;0,", ","")&amp;"incisos 1-4","")</f>
        <v/>
      </c>
      <c r="AE6">
        <f>IF(AND($A6="Verdadero o Falso Complejas",COUNTIF($H6:$H6,"?*")&gt;0),IF(COUNTIF($Q6:$AD6,"?*")&gt;0,", ","")&amp;"opcion E deshabilitada","")</f>
        <v/>
      </c>
      <c r="AF6">
        <f>IF(AND($A6="Verdadero o Falso Complejas",TRIM($I6)&lt;&gt;"",NOT(OR(LEFT(TRIM($I6),1)="A",LEFT(TRIM($I6),1)="B",LEFT(TRIM($I6),1)="C",LEFT(TRIM($I6),1)="D",LEFT(TRIM($I6),1)="E"))),IF(COUNTIF($Q6:$AE6,"?*")&gt;0,", ","")&amp;"respuesta A-E","")</f>
        <v/>
      </c>
      <c r="AG6">
        <f>IF(AND(OR($A6="Selección de la mejor respuesta",$A6="Subítem de caso o problema"),COUNTA($D6:$H6)&lt;5),IF(COUNTIF($Q6:$AF6,"?*")&gt;0,", ","")&amp;"incisos A-E","")</f>
        <v/>
      </c>
      <c r="AH6">
        <f>IF(AND(OR($A6="Selección de la mejor respuesta",$A6="Subítem de caso o problema"),TRIM($I6)&lt;&gt;"",NOT(OR(LEFT(TRIM($I6),1)="A",LEFT(TRIM($I6),1)="B",LEFT(TRIM($I6),1)="C",LEFT(TRIM($I6),1)="D",LEFT(TRIM($I6),1)="E"))),IF(COUNTIF($Q6:$AG6,"?*")&gt;0,", ","")&amp;"respuesta A-E","")</f>
        <v/>
      </c>
      <c r="AI6">
        <f>IF(AND(OR($A6="Ítems agrupados por caso clínico o problema",$A6="Opción de Emparejamiento Ampliado"),COUNTIF($D6:$H6,"?*")&gt;0),IF(COUNTIF($Q6:$AH6,"?*")&gt;0,", ","")&amp;"sin incisos","")</f>
        <v/>
      </c>
      <c r="AJ6">
        <f>IF(AND($A6="Emparejamiento Ampliado",COUNTIF($D6:$H6,"?*")&lt;2),IF(COUNTIF($Q6:$AI6,"?*")&gt;0,", ","")&amp;"minimo 2 claves","")</f>
        <v/>
      </c>
      <c r="AK6">
        <f>IF(AND($A6="Opción de Emparejamiento Ampliado",NOT(OR(LEFT(TRIM($I6),1)="A",LEFT(TRIM($I6),1)="B",LEFT(TRIM($I6),1)="C",LEFT(TRIM($I6),1)="D",LEFT(TRIM($I6),1)="E"))),IF(COUNTIF($Q6:$AJ6,"?*")&gt;0,", ","")&amp;"respuesta A-E","")</f>
        <v/>
      </c>
      <c r="AL6">
        <f>IF(TRIM($K6)="",IF(COUNTIF($M6:$M6,"?*")&gt;0,", ","")&amp;"parcial","")</f>
        <v/>
      </c>
      <c r="AM6">
        <f>IF(AND(TRIM($K6)&lt;&gt;"",TRIM($K6)&lt;&gt;VALIDACIONES!$G$1),IF(COUNTIF($M6:$N6,"?*")&gt;0,", ","")&amp;"parcial distinto a "&amp;VALIDACIONES!$G$1,"")</f>
        <v/>
      </c>
      <c r="AN6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AO6" s="363" t="inlineStr">
        <is>
          <t>Estado Dificultad</t>
        </is>
      </c>
      <c r="AP6" s="364">
        <f>IF(AND(AP2&gt;=15,AP3&gt;=30,AP4&gt;=15,AP5&gt;=60),"COMPLETA","REVISAR")</f>
        <v/>
      </c>
      <c r="AQ6" s="365" t="str"/>
    </row>
    <row r="7" ht="24" customHeight="1">
      <c r="A7" s="342" t="n"/>
      <c r="B7" s="342" t="n"/>
      <c r="C7" s="342" t="n"/>
      <c r="D7" s="342">
        <f>IF($A7="Verdadero o Falso Simple","Verdadero",IF($A7="Respuesta A/B/Ambas/Ninguna","A. Si la primera es verdadera",IF($A7="Verdadero o Falso Complejas","1. ","")))</f>
        <v/>
      </c>
      <c r="E7" s="342">
        <f>IF($A7="Verdadero o Falso Simple","Falso",IF($A7="Respuesta A/B/Ambas/Ninguna","B. Si la segunda es verdadera",IF($A7="Verdadero o Falso Complejas","2. ","")))</f>
        <v/>
      </c>
      <c r="F7" s="342">
        <f>IF($A7="Respuesta A/B/Ambas/Ninguna","C. Si ambas son verdaderas",IF($A7="Verdadero o Falso Complejas","3. ",""))</f>
        <v/>
      </c>
      <c r="G7" s="342">
        <f>IF($A7="Respuesta A/B/Ambas/Ninguna","D. Si ninguna es verdadera",IF($A7="Verdadero o Falso Complejas","4. ",""))</f>
        <v/>
      </c>
      <c r="H7" s="342">
        <f>IF($A7="Verdadero o Falso Simple","",IF($A7="Respuesta A/B/Ambas/Ninguna","",IF($A7="Verdadero o Falso Complejas","","")))</f>
        <v/>
      </c>
      <c r="I7" s="342" t="n"/>
      <c r="J7" s="342" t="n">
        <v>1</v>
      </c>
      <c r="K7" s="342" t="inlineStr">
        <is>
          <t>2P</t>
        </is>
      </c>
      <c r="L7" s="343">
        <f>IF(TRIM($A7)="","",IF(OR($A7="Selección de la mejor respuesta",$A7="SELECCION_MEJOR_RESPUESTA",$A7="Subítem de caso o problema",$A7="SUBITEM_CASO"),IF(TRIM($C7)="","Completar enunciado",IF(SUMPRODUCT(--(LEN(TRIM($D7:$H7&amp;""))&gt;0))&lt;5,"Completar opciones A-E",IF(AND(TRIM($I7)&lt;&gt;"",OR(LEFT(TRIM($I7),1)="A",LEFT(TRIM($I7),1)="B",LEFT(TRIM($I7),1)="C",LEFT(TRIM($I7),1)="D",LEFT(TRIM($I7),1)="E")),"OK","Completar respuesta correcta A-E"))),IF(TRIM($A7)="","",IF(COUNTIF($Q7:$AJ7,"?*")=0,"OK","Falta revisar: "&amp;$Q7&amp;$R7&amp;$S7&amp;$T7&amp;$U7&amp;$V7&amp;$W7&amp;$X7&amp;$Y7&amp;$Z7&amp;$AA7&amp;$AB7&amp;$AC7&amp;$AD7&amp;$AE7&amp;$AF7&amp;$AG7&amp;$AH7&amp;$AI7&amp;$AJ7))))</f>
        <v/>
      </c>
      <c r="M7" s="341" t="n"/>
      <c r="Q7">
        <f>IF(TRIM($C7)="","enunciado","")</f>
        <v/>
      </c>
      <c r="R7">
        <f>IF(TRIM($K7)="",IF(COUNTIF($Q7:$Q7,"?*")&gt;0,", ","")&amp;"parcial","")</f>
        <v/>
      </c>
      <c r="S7">
        <f>IF(AND(TRIM($K7)&lt;&gt;"",TRIM($K7)&lt;&gt;VALIDACIONES!$G$1),IF(COUNTIF($Q7:$R7,"?*")&gt;0,", ","")&amp;"parcial distinto a "&amp;VALIDACIONES!$G$1,"")</f>
        <v/>
      </c>
      <c r="T7">
        <f>IF(AND(OR($A7="Ítems agrupados por caso clínico o problema",$A7="Subítem de caso o problema",$A7="Emparejamiento Ampliado",$A7="Opción de Emparejamiento Ampliado"),TRIM($B7)=""),IF(COUNTIF($Q7:$S7,"?*")&gt;0,", ","")&amp;"grupo","")</f>
        <v/>
      </c>
      <c r="U7">
        <f>IF(AND(OR($A7="Verdadero o Falso Simple",$A7="Respuesta A/B/Ambas/Ninguna",$A7="Verdadero o Falso Complejas",$A7="Selección de la mejor respuesta",$A7="Subítem de caso o problema",$A7="Opción de Emparejamiento Ampliado"),TRIM($I7)=""),IF(COUNTIF($Q7:$T7,"?*")&gt;0,", ","")&amp;"respuesta_correcta","")</f>
        <v/>
      </c>
      <c r="V7">
        <f>IF(AND(OR($A7="Verdadero o Falso Simple",$A7="Respuesta A/B/Ambas/Ninguna",$A7="Verdadero o Falso Complejas",$A7="Selección de la mejor respuesta",$A7="Subítem de caso o problema",$A7="Opción de Emparejamiento Ampliado"),TRIM($J7)=""),IF(COUNTIF($Q7:$U7,"?*")&gt;0,", ","")&amp;"dificultad","")</f>
        <v/>
      </c>
      <c r="W7">
        <f>IF(AND(OR($A7="Ítems agrupados por caso clínico o problema",$A7="Emparejamiento Ampliado"),TRIM($I7)&lt;&gt;""),IF(COUNTIF($Q7:$V7,"?*")&gt;0,", ","")&amp;"respuesta debe ir vacia","")</f>
        <v/>
      </c>
      <c r="X7">
        <f>IF(AND(OR($A7="Ítems agrupados por caso clínico o problema",$A7="Emparejamiento Ampliado"),TRIM($J7)&lt;&gt;""),IF(COUNTIF($Q7:$W7,"?*")&gt;0,", ","")&amp;"dificultad debe ir vacia","")</f>
        <v/>
      </c>
      <c r="Y7">
        <f>IF(AND($A7="Verdadero o Falso Simple",OR(COUNTIF($D7:$E7,"?*")&lt;2,COUNTIF($F7:$H7,"?*")&gt;0)),IF(COUNTIF($Q7:$X7,"?*")&gt;0,", ","")&amp;"incisos A-B","")</f>
        <v/>
      </c>
      <c r="Z7">
        <f>IF(AND($A7="Verdadero o Falso Simple",TRIM($I7)&lt;&gt;"",NOT(OR(LEFT(TRIM($I7),1)="A",LEFT(TRIM($I7),1)="B"))),IF(COUNTIF($Q7:$Y7,"?*")&gt;0,", ","")&amp;"respuesta A-B","")</f>
        <v/>
      </c>
      <c r="AA7">
        <f>IF(AND($A7="Respuesta A/B/Ambas/Ninguna",COUNTIF($D7:$G7,"?*")&lt;4),IF(COUNTIF($Q7:$Z7,"?*")&gt;0,", ","")&amp;"opciones A-D","")</f>
        <v/>
      </c>
      <c r="AB7">
        <f>IF(AND($A7="Respuesta A/B/Ambas/Ninguna",COUNTIF($H7:$H7,"?*")&gt;0),IF(COUNTIF($Q7:$AA7,"?*")&gt;0,", ","")&amp;"opcion E deshabilitada","")</f>
        <v/>
      </c>
      <c r="AC7">
        <f>IF(AND($A7="Respuesta A/B/Ambas/Ninguna",TRIM($I7)&lt;&gt;"",NOT(OR(LEFT(TRIM($I7),1)="A",LEFT(TRIM($I7),1)="B",LEFT(TRIM($I7),1)="C",LEFT(TRIM($I7),1)="D"))),IF(COUNTIF($Q7:$AB7,"?*")&gt;0,", ","")&amp;"respuesta A-D","")</f>
        <v/>
      </c>
      <c r="AD7">
        <f>IF(AND($A7="Verdadero o Falso Complejas",OR(LEN(TRIM(SUBSTITUTE($D7,"1.","")))=0,LEN(TRIM(SUBSTITUTE($E7,"2.","")))=0,LEN(TRIM(SUBSTITUTE($F7,"3.","")))=0,LEN(TRIM(SUBSTITUTE($G7,"4.","")))=0)),IF(COUNTIF($Q7:$AC7,"?*")&gt;0,", ","")&amp;"incisos 1-4","")</f>
        <v/>
      </c>
      <c r="AE7">
        <f>IF(AND($A7="Verdadero o Falso Complejas",COUNTIF($H7:$H7,"?*")&gt;0),IF(COUNTIF($Q7:$AD7,"?*")&gt;0,", ","")&amp;"opcion E deshabilitada","")</f>
        <v/>
      </c>
      <c r="AF7">
        <f>IF(AND($A7="Verdadero o Falso Complejas",TRIM($I7)&lt;&gt;"",NOT(OR(LEFT(TRIM($I7),1)="A",LEFT(TRIM($I7),1)="B",LEFT(TRIM($I7),1)="C",LEFT(TRIM($I7),1)="D",LEFT(TRIM($I7),1)="E"))),IF(COUNTIF($Q7:$AE7,"?*")&gt;0,", ","")&amp;"respuesta A-E","")</f>
        <v/>
      </c>
      <c r="AG7">
        <f>IF(AND(OR($A7="Selección de la mejor respuesta",$A7="Subítem de caso o problema"),COUNTA($D7:$H7)&lt;5),IF(COUNTIF($Q7:$AF7,"?*")&gt;0,", ","")&amp;"incisos A-E","")</f>
        <v/>
      </c>
      <c r="AH7">
        <f>IF(AND(OR($A7="Selección de la mejor respuesta",$A7="Subítem de caso o problema"),TRIM($I7)&lt;&gt;"",NOT(OR(LEFT(TRIM($I7),1)="A",LEFT(TRIM($I7),1)="B",LEFT(TRIM($I7),1)="C",LEFT(TRIM($I7),1)="D",LEFT(TRIM($I7),1)="E"))),IF(COUNTIF($Q7:$AG7,"?*")&gt;0,", ","")&amp;"respuesta A-E","")</f>
        <v/>
      </c>
      <c r="AI7">
        <f>IF(AND(OR($A7="Ítems agrupados por caso clínico o problema",$A7="Opción de Emparejamiento Ampliado"),COUNTIF($D7:$H7,"?*")&gt;0),IF(COUNTIF($Q7:$AH7,"?*")&gt;0,", ","")&amp;"sin incisos","")</f>
        <v/>
      </c>
      <c r="AJ7">
        <f>IF(AND($A7="Emparejamiento Ampliado",COUNTIF($D7:$H7,"?*")&lt;2),IF(COUNTIF($Q7:$AI7,"?*")&gt;0,", ","")&amp;"minimo 2 claves","")</f>
        <v/>
      </c>
      <c r="AK7">
        <f>IF(AND($A7="Opción de Emparejamiento Ampliado",NOT(OR(LEFT(TRIM($I7),1)="A",LEFT(TRIM($I7),1)="B",LEFT(TRIM($I7),1)="C",LEFT(TRIM($I7),1)="D",LEFT(TRIM($I7),1)="E"))),IF(COUNTIF($Q7:$AJ7,"?*")&gt;0,", ","")&amp;"respuesta A-E","")</f>
        <v/>
      </c>
      <c r="AL7">
        <f>IF(TRIM($K7)="",IF(COUNTIF($M7:$M7,"?*")&gt;0,", ","")&amp;"parcial","")</f>
        <v/>
      </c>
      <c r="AM7">
        <f>IF(AND(TRIM($K7)&lt;&gt;"",TRIM($K7)&lt;&gt;VALIDACIONES!$G$1),IF(COUNTIF($M7:$N7,"?*")&gt;0,", ","")&amp;"parcial distinto a "&amp;VALIDACIONES!$G$1,"")</f>
        <v/>
      </c>
      <c r="AN7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</row>
    <row r="8" ht="30" customHeight="1">
      <c r="A8" s="342" t="n"/>
      <c r="B8" s="342" t="n"/>
      <c r="C8" s="342" t="n"/>
      <c r="D8" s="342">
        <f>IF($A8="Verdadero o Falso Simple","Verdadero",IF($A8="Respuesta A/B/Ambas/Ninguna","A. Si la primera es verdadera",IF($A8="Verdadero o Falso Complejas","1. ","")))</f>
        <v/>
      </c>
      <c r="E8" s="342">
        <f>IF($A8="Verdadero o Falso Simple","Falso",IF($A8="Respuesta A/B/Ambas/Ninguna","B. Si la segunda es verdadera",IF($A8="Verdadero o Falso Complejas","2. ","")))</f>
        <v/>
      </c>
      <c r="F8" s="342">
        <f>IF($A8="Respuesta A/B/Ambas/Ninguna","C. Si ambas son verdaderas",IF($A8="Verdadero o Falso Complejas","3. ",""))</f>
        <v/>
      </c>
      <c r="G8" s="342">
        <f>IF($A8="Respuesta A/B/Ambas/Ninguna","D. Si ninguna es verdadera",IF($A8="Verdadero o Falso Complejas","4. ",""))</f>
        <v/>
      </c>
      <c r="H8" s="342">
        <f>IF($A8="Verdadero o Falso Simple","",IF($A8="Respuesta A/B/Ambas/Ninguna","",IF($A8="Verdadero o Falso Complejas","","")))</f>
        <v/>
      </c>
      <c r="I8" s="342" t="n"/>
      <c r="J8" s="342" t="n">
        <v>1</v>
      </c>
      <c r="K8" s="342" t="inlineStr">
        <is>
          <t>2P</t>
        </is>
      </c>
      <c r="L8" s="343">
        <f>IF(TRIM($A8)="","",IF(OR($A8="Selección de la mejor respuesta",$A8="SELECCION_MEJOR_RESPUESTA",$A8="Subítem de caso o problema",$A8="SUBITEM_CASO"),IF(TRIM($C8)="","Completar enunciado",IF(SUMPRODUCT(--(LEN(TRIM($D8:$H8&amp;""))&gt;0))&lt;5,"Completar opciones A-E",IF(AND(TRIM($I8)&lt;&gt;"",OR(LEFT(TRIM($I8),1)="A",LEFT(TRIM($I8),1)="B",LEFT(TRIM($I8),1)="C",LEFT(TRIM($I8),1)="D",LEFT(TRIM($I8),1)="E")),"OK","Completar respuesta correcta A-E"))),IF(TRIM($A8)="","",IF(COUNTIF($Q8:$AJ8,"?*")=0,"OK","Falta revisar: "&amp;$Q8&amp;$R8&amp;$S8&amp;$T8&amp;$U8&amp;$V8&amp;$W8&amp;$X8&amp;$Y8&amp;$Z8&amp;$AA8&amp;$AB8&amp;$AC8&amp;$AD8&amp;$AE8&amp;$AF8&amp;$AG8&amp;$AH8&amp;$AI8&amp;$AJ8))))</f>
        <v/>
      </c>
      <c r="M8" s="341" t="n"/>
      <c r="Q8">
        <f>IF(TRIM($C8)="","enunciado","")</f>
        <v/>
      </c>
      <c r="R8">
        <f>IF(TRIM($K8)="",IF(COUNTIF($Q8:$Q8,"?*")&gt;0,", ","")&amp;"parcial","")</f>
        <v/>
      </c>
      <c r="S8">
        <f>IF(AND(TRIM($K8)&lt;&gt;"",TRIM($K8)&lt;&gt;VALIDACIONES!$G$1),IF(COUNTIF($Q8:$R8,"?*")&gt;0,", ","")&amp;"parcial distinto a "&amp;VALIDACIONES!$G$1,"")</f>
        <v/>
      </c>
      <c r="T8">
        <f>IF(AND(OR($A8="Ítems agrupados por caso clínico o problema",$A8="Subítem de caso o problema",$A8="Emparejamiento Ampliado",$A8="Opción de Emparejamiento Ampliado"),TRIM($B8)=""),IF(COUNTIF($Q8:$S8,"?*")&gt;0,", ","")&amp;"grupo","")</f>
        <v/>
      </c>
      <c r="U8">
        <f>IF(AND(OR($A8="Verdadero o Falso Simple",$A8="Respuesta A/B/Ambas/Ninguna",$A8="Verdadero o Falso Complejas",$A8="Selección de la mejor respuesta",$A8="Subítem de caso o problema",$A8="Opción de Emparejamiento Ampliado"),TRIM($I8)=""),IF(COUNTIF($Q8:$T8,"?*")&gt;0,", ","")&amp;"respuesta_correcta","")</f>
        <v/>
      </c>
      <c r="V8">
        <f>IF(AND(OR($A8="Verdadero o Falso Simple",$A8="Respuesta A/B/Ambas/Ninguna",$A8="Verdadero o Falso Complejas",$A8="Selección de la mejor respuesta",$A8="Subítem de caso o problema",$A8="Opción de Emparejamiento Ampliado"),TRIM($J8)=""),IF(COUNTIF($Q8:$U8,"?*")&gt;0,", ","")&amp;"dificultad","")</f>
        <v/>
      </c>
      <c r="W8">
        <f>IF(AND(OR($A8="Ítems agrupados por caso clínico o problema",$A8="Emparejamiento Ampliado"),TRIM($I8)&lt;&gt;""),IF(COUNTIF($Q8:$V8,"?*")&gt;0,", ","")&amp;"respuesta debe ir vacia","")</f>
        <v/>
      </c>
      <c r="X8">
        <f>IF(AND(OR($A8="Ítems agrupados por caso clínico o problema",$A8="Emparejamiento Ampliado"),TRIM($J8)&lt;&gt;""),IF(COUNTIF($Q8:$W8,"?*")&gt;0,", ","")&amp;"dificultad debe ir vacia","")</f>
        <v/>
      </c>
      <c r="Y8">
        <f>IF(AND($A8="Verdadero o Falso Simple",OR(COUNTIF($D8:$E8,"?*")&lt;2,COUNTIF($F8:$H8,"?*")&gt;0)),IF(COUNTIF($Q8:$X8,"?*")&gt;0,", ","")&amp;"incisos A-B","")</f>
        <v/>
      </c>
      <c r="Z8">
        <f>IF(AND($A8="Verdadero o Falso Simple",TRIM($I8)&lt;&gt;"",NOT(OR(LEFT(TRIM($I8),1)="A",LEFT(TRIM($I8),1)="B"))),IF(COUNTIF($Q8:$Y8,"?*")&gt;0,", ","")&amp;"respuesta A-B","")</f>
        <v/>
      </c>
      <c r="AA8">
        <f>IF(AND($A8="Respuesta A/B/Ambas/Ninguna",COUNTIF($D8:$G8,"?*")&lt;4),IF(COUNTIF($Q8:$Z8,"?*")&gt;0,", ","")&amp;"opciones A-D","")</f>
        <v/>
      </c>
      <c r="AB8">
        <f>IF(AND($A8="Respuesta A/B/Ambas/Ninguna",COUNTIF($H8:$H8,"?*")&gt;0),IF(COUNTIF($Q8:$AA8,"?*")&gt;0,", ","")&amp;"opcion E deshabilitada","")</f>
        <v/>
      </c>
      <c r="AC8">
        <f>IF(AND($A8="Respuesta A/B/Ambas/Ninguna",TRIM($I8)&lt;&gt;"",NOT(OR(LEFT(TRIM($I8),1)="A",LEFT(TRIM($I8),1)="B",LEFT(TRIM($I8),1)="C",LEFT(TRIM($I8),1)="D"))),IF(COUNTIF($Q8:$AB8,"?*")&gt;0,", ","")&amp;"respuesta A-D","")</f>
        <v/>
      </c>
      <c r="AD8">
        <f>IF(AND($A8="Verdadero o Falso Complejas",OR(LEN(TRIM(SUBSTITUTE($D8,"1.","")))=0,LEN(TRIM(SUBSTITUTE($E8,"2.","")))=0,LEN(TRIM(SUBSTITUTE($F8,"3.","")))=0,LEN(TRIM(SUBSTITUTE($G8,"4.","")))=0)),IF(COUNTIF($Q8:$AC8,"?*")&gt;0,", ","")&amp;"incisos 1-4","")</f>
        <v/>
      </c>
      <c r="AE8">
        <f>IF(AND($A8="Verdadero o Falso Complejas",COUNTIF($H8:$H8,"?*")&gt;0),IF(COUNTIF($Q8:$AD8,"?*")&gt;0,", ","")&amp;"opcion E deshabilitada","")</f>
        <v/>
      </c>
      <c r="AF8">
        <f>IF(AND($A8="Verdadero o Falso Complejas",TRIM($I8)&lt;&gt;"",NOT(OR(LEFT(TRIM($I8),1)="A",LEFT(TRIM($I8),1)="B",LEFT(TRIM($I8),1)="C",LEFT(TRIM($I8),1)="D",LEFT(TRIM($I8),1)="E"))),IF(COUNTIF($Q8:$AE8,"?*")&gt;0,", ","")&amp;"respuesta A-E","")</f>
        <v/>
      </c>
      <c r="AG8">
        <f>IF(AND(OR($A8="Selección de la mejor respuesta",$A8="Subítem de caso o problema"),COUNTA($D8:$H8)&lt;5),IF(COUNTIF($Q8:$AF8,"?*")&gt;0,", ","")&amp;"incisos A-E","")</f>
        <v/>
      </c>
      <c r="AH8">
        <f>IF(AND(OR($A8="Selección de la mejor respuesta",$A8="Subítem de caso o problema"),TRIM($I8)&lt;&gt;"",NOT(OR(LEFT(TRIM($I8),1)="A",LEFT(TRIM($I8),1)="B",LEFT(TRIM($I8),1)="C",LEFT(TRIM($I8),1)="D",LEFT(TRIM($I8),1)="E"))),IF(COUNTIF($Q8:$AG8,"?*")&gt;0,", ","")&amp;"respuesta A-E","")</f>
        <v/>
      </c>
      <c r="AI8">
        <f>IF(AND(OR($A8="Ítems agrupados por caso clínico o problema",$A8="Opción de Emparejamiento Ampliado"),COUNTIF($D8:$H8,"?*")&gt;0),IF(COUNTIF($Q8:$AH8,"?*")&gt;0,", ","")&amp;"sin incisos","")</f>
        <v/>
      </c>
      <c r="AJ8">
        <f>IF(AND($A8="Emparejamiento Ampliado",COUNTIF($D8:$H8,"?*")&lt;2),IF(COUNTIF($Q8:$AI8,"?*")&gt;0,", ","")&amp;"minimo 2 claves","")</f>
        <v/>
      </c>
      <c r="AK8">
        <f>IF(AND($A8="Opción de Emparejamiento Ampliado",NOT(OR(LEFT(TRIM($I8),1)="A",LEFT(TRIM($I8),1)="B",LEFT(TRIM($I8),1)="C",LEFT(TRIM($I8),1)="D",LEFT(TRIM($I8),1)="E"))),IF(COUNTIF($Q8:$AJ8,"?*")&gt;0,", ","")&amp;"respuesta A-E","")</f>
        <v/>
      </c>
      <c r="AL8">
        <f>IF(TRIM($K8)="",IF(COUNTIF($M8:$M8,"?*")&gt;0,", ","")&amp;"parcial","")</f>
        <v/>
      </c>
      <c r="AM8">
        <f>IF(AND(TRIM($K8)&lt;&gt;"",TRIM($K8)&lt;&gt;VALIDACIONES!$G$1),IF(COUNTIF($M8:$N8,"?*")&gt;0,", ","")&amp;"parcial distinto a "&amp;VALIDACIONES!$G$1,"")</f>
        <v/>
      </c>
      <c r="AN8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AO8" s="367" t="inlineStr">
        <is>
          <t>CUOTAS POR GRUPO TIPOLÓGICO</t>
        </is>
      </c>
      <c r="AP8" s="367" t="n"/>
      <c r="AQ8" s="367" t="n"/>
    </row>
    <row r="9" ht="24" customHeight="1">
      <c r="A9" s="342" t="n"/>
      <c r="B9" s="342" t="n"/>
      <c r="C9" s="342" t="n"/>
      <c r="D9" s="342">
        <f>IF($A9="Verdadero o Falso Simple","Verdadero",IF($A9="Respuesta A/B/Ambas/Ninguna","A. Si la primera es verdadera",IF($A9="Verdadero o Falso Complejas","1. ","")))</f>
        <v/>
      </c>
      <c r="E9" s="342">
        <f>IF($A9="Verdadero o Falso Simple","Falso",IF($A9="Respuesta A/B/Ambas/Ninguna","B. Si la segunda es verdadera",IF($A9="Verdadero o Falso Complejas","2. ","")))</f>
        <v/>
      </c>
      <c r="F9" s="342">
        <f>IF($A9="Respuesta A/B/Ambas/Ninguna","C. Si ambas son verdaderas",IF($A9="Verdadero o Falso Complejas","3. ",""))</f>
        <v/>
      </c>
      <c r="G9" s="342">
        <f>IF($A9="Respuesta A/B/Ambas/Ninguna","D. Si ninguna es verdadera",IF($A9="Verdadero o Falso Complejas","4. ",""))</f>
        <v/>
      </c>
      <c r="H9" s="342">
        <f>IF($A9="Verdadero o Falso Simple","",IF($A9="Respuesta A/B/Ambas/Ninguna","",IF($A9="Verdadero o Falso Complejas","","")))</f>
        <v/>
      </c>
      <c r="I9" s="342" t="n"/>
      <c r="J9" s="342" t="n">
        <v>1</v>
      </c>
      <c r="K9" s="342" t="inlineStr">
        <is>
          <t>2P</t>
        </is>
      </c>
      <c r="L9" s="343">
        <f>IF(TRIM($A9)="","",IF(OR($A9="Selección de la mejor respuesta",$A9="SELECCION_MEJOR_RESPUESTA",$A9="Subítem de caso o problema",$A9="SUBITEM_CASO"),IF(TRIM($C9)="","Completar enunciado",IF(SUMPRODUCT(--(LEN(TRIM($D9:$H9&amp;""))&gt;0))&lt;5,"Completar opciones A-E",IF(AND(TRIM($I9)&lt;&gt;"",OR(LEFT(TRIM($I9),1)="A",LEFT(TRIM($I9),1)="B",LEFT(TRIM($I9),1)="C",LEFT(TRIM($I9),1)="D",LEFT(TRIM($I9),1)="E")),"OK","Completar respuesta correcta A-E"))),IF(TRIM($A9)="","",IF(COUNTIF($Q9:$AJ9,"?*")=0,"OK","Falta revisar: "&amp;$Q9&amp;$R9&amp;$S9&amp;$T9&amp;$U9&amp;$V9&amp;$W9&amp;$X9&amp;$Y9&amp;$Z9&amp;$AA9&amp;$AB9&amp;$AC9&amp;$AD9&amp;$AE9&amp;$AF9&amp;$AG9&amp;$AH9&amp;$AI9&amp;$AJ9))))</f>
        <v/>
      </c>
      <c r="M9" s="341" t="n"/>
      <c r="Q9">
        <f>IF(TRIM($C9)="","enunciado","")</f>
        <v/>
      </c>
      <c r="R9">
        <f>IF(TRIM($K9)="",IF(COUNTIF($Q9:$Q9,"?*")&gt;0,", ","")&amp;"parcial","")</f>
        <v/>
      </c>
      <c r="S9">
        <f>IF(AND(TRIM($K9)&lt;&gt;"",TRIM($K9)&lt;&gt;VALIDACIONES!$G$1),IF(COUNTIF($Q9:$R9,"?*")&gt;0,", ","")&amp;"parcial distinto a "&amp;VALIDACIONES!$G$1,"")</f>
        <v/>
      </c>
      <c r="T9">
        <f>IF(AND(OR($A9="Ítems agrupados por caso clínico o problema",$A9="Subítem de caso o problema",$A9="Emparejamiento Ampliado",$A9="Opción de Emparejamiento Ampliado"),TRIM($B9)=""),IF(COUNTIF($Q9:$S9,"?*")&gt;0,", ","")&amp;"grupo","")</f>
        <v/>
      </c>
      <c r="U9">
        <f>IF(AND(OR($A9="Verdadero o Falso Simple",$A9="Respuesta A/B/Ambas/Ninguna",$A9="Verdadero o Falso Complejas",$A9="Selección de la mejor respuesta",$A9="Subítem de caso o problema",$A9="Opción de Emparejamiento Ampliado"),TRIM($I9)=""),IF(COUNTIF($Q9:$T9,"?*")&gt;0,", ","")&amp;"respuesta_correcta","")</f>
        <v/>
      </c>
      <c r="V9">
        <f>IF(AND(OR($A9="Verdadero o Falso Simple",$A9="Respuesta A/B/Ambas/Ninguna",$A9="Verdadero o Falso Complejas",$A9="Selección de la mejor respuesta",$A9="Subítem de caso o problema",$A9="Opción de Emparejamiento Ampliado"),TRIM($J9)=""),IF(COUNTIF($Q9:$U9,"?*")&gt;0,", ","")&amp;"dificultad","")</f>
        <v/>
      </c>
      <c r="W9">
        <f>IF(AND(OR($A9="Ítems agrupados por caso clínico o problema",$A9="Emparejamiento Ampliado"),TRIM($I9)&lt;&gt;""),IF(COUNTIF($Q9:$V9,"?*")&gt;0,", ","")&amp;"respuesta debe ir vacia","")</f>
        <v/>
      </c>
      <c r="X9">
        <f>IF(AND(OR($A9="Ítems agrupados por caso clínico o problema",$A9="Emparejamiento Ampliado"),TRIM($J9)&lt;&gt;""),IF(COUNTIF($Q9:$W9,"?*")&gt;0,", ","")&amp;"dificultad debe ir vacia","")</f>
        <v/>
      </c>
      <c r="Y9">
        <f>IF(AND($A9="Verdadero o Falso Simple",OR(COUNTIF($D9:$E9,"?*")&lt;2,COUNTIF($F9:$H9,"?*")&gt;0)),IF(COUNTIF($Q9:$X9,"?*")&gt;0,", ","")&amp;"incisos A-B","")</f>
        <v/>
      </c>
      <c r="Z9">
        <f>IF(AND($A9="Verdadero o Falso Simple",TRIM($I9)&lt;&gt;"",NOT(OR(LEFT(TRIM($I9),1)="A",LEFT(TRIM($I9),1)="B"))),IF(COUNTIF($Q9:$Y9,"?*")&gt;0,", ","")&amp;"respuesta A-B","")</f>
        <v/>
      </c>
      <c r="AA9">
        <f>IF(AND($A9="Respuesta A/B/Ambas/Ninguna",COUNTIF($D9:$G9,"?*")&lt;4),IF(COUNTIF($Q9:$Z9,"?*")&gt;0,", ","")&amp;"opciones A-D","")</f>
        <v/>
      </c>
      <c r="AB9">
        <f>IF(AND($A9="Respuesta A/B/Ambas/Ninguna",COUNTIF($H9:$H9,"?*")&gt;0),IF(COUNTIF($Q9:$AA9,"?*")&gt;0,", ","")&amp;"opcion E deshabilitada","")</f>
        <v/>
      </c>
      <c r="AC9">
        <f>IF(AND($A9="Respuesta A/B/Ambas/Ninguna",TRIM($I9)&lt;&gt;"",NOT(OR(LEFT(TRIM($I9),1)="A",LEFT(TRIM($I9),1)="B",LEFT(TRIM($I9),1)="C",LEFT(TRIM($I9),1)="D"))),IF(COUNTIF($Q9:$AB9,"?*")&gt;0,", ","")&amp;"respuesta A-D","")</f>
        <v/>
      </c>
      <c r="AD9">
        <f>IF(AND($A9="Verdadero o Falso Complejas",OR(LEN(TRIM(SUBSTITUTE($D9,"1.","")))=0,LEN(TRIM(SUBSTITUTE($E9,"2.","")))=0,LEN(TRIM(SUBSTITUTE($F9,"3.","")))=0,LEN(TRIM(SUBSTITUTE($G9,"4.","")))=0)),IF(COUNTIF($Q9:$AC9,"?*")&gt;0,", ","")&amp;"incisos 1-4","")</f>
        <v/>
      </c>
      <c r="AE9">
        <f>IF(AND($A9="Verdadero o Falso Complejas",COUNTIF($H9:$H9,"?*")&gt;0),IF(COUNTIF($Q9:$AD9,"?*")&gt;0,", ","")&amp;"opcion E deshabilitada","")</f>
        <v/>
      </c>
      <c r="AF9">
        <f>IF(AND($A9="Verdadero o Falso Complejas",TRIM($I9)&lt;&gt;"",NOT(OR(LEFT(TRIM($I9),1)="A",LEFT(TRIM($I9),1)="B",LEFT(TRIM($I9),1)="C",LEFT(TRIM($I9),1)="D",LEFT(TRIM($I9),1)="E"))),IF(COUNTIF($Q9:$AE9,"?*")&gt;0,", ","")&amp;"respuesta A-E","")</f>
        <v/>
      </c>
      <c r="AG9">
        <f>IF(AND(OR($A9="Selección de la mejor respuesta",$A9="Subítem de caso o problema"),COUNTA($D9:$H9)&lt;5),IF(COUNTIF($Q9:$AF9,"?*")&gt;0,", ","")&amp;"incisos A-E","")</f>
        <v/>
      </c>
      <c r="AH9">
        <f>IF(AND(OR($A9="Selección de la mejor respuesta",$A9="Subítem de caso o problema"),TRIM($I9)&lt;&gt;"",NOT(OR(LEFT(TRIM($I9),1)="A",LEFT(TRIM($I9),1)="B",LEFT(TRIM($I9),1)="C",LEFT(TRIM($I9),1)="D",LEFT(TRIM($I9),1)="E"))),IF(COUNTIF($Q9:$AG9,"?*")&gt;0,", ","")&amp;"respuesta A-E","")</f>
        <v/>
      </c>
      <c r="AI9">
        <f>IF(AND(OR($A9="Ítems agrupados por caso clínico o problema",$A9="Opción de Emparejamiento Ampliado"),COUNTIF($D9:$H9,"?*")&gt;0),IF(COUNTIF($Q9:$AH9,"?*")&gt;0,", ","")&amp;"sin incisos","")</f>
        <v/>
      </c>
      <c r="AJ9">
        <f>IF(AND($A9="Emparejamiento Ampliado",COUNTIF($D9:$H9,"?*")&lt;2),IF(COUNTIF($Q9:$AI9,"?*")&gt;0,", ","")&amp;"minimo 2 claves","")</f>
        <v/>
      </c>
      <c r="AK9">
        <f>IF(AND($A9="Opción de Emparejamiento Ampliado",NOT(OR(LEFT(TRIM($I9),1)="A",LEFT(TRIM($I9),1)="B",LEFT(TRIM($I9),1)="C",LEFT(TRIM($I9),1)="D",LEFT(TRIM($I9),1)="E"))),IF(COUNTIF($Q9:$AJ9,"?*")&gt;0,", ","")&amp;"respuesta A-E","")</f>
        <v/>
      </c>
      <c r="AL9">
        <f>IF(TRIM($K9)="",IF(COUNTIF($M9:$M9,"?*")&gt;0,", ","")&amp;"parcial","")</f>
        <v/>
      </c>
      <c r="AM9">
        <f>IF(AND(TRIM($K9)&lt;&gt;"",TRIM($K9)&lt;&gt;VALIDACIONES!$G$1),IF(COUNTIF($M9:$N9,"?*")&gt;0,", ","")&amp;"parcial distinto a "&amp;VALIDACIONES!$G$1,"")</f>
        <v/>
      </c>
      <c r="AN9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AO9" s="368" t="inlineStr">
        <is>
          <t>Grupo 1 (V/F y Premisas)</t>
        </is>
      </c>
      <c r="AP9" s="369">
        <f>COUNTIF($A$2:$A$1001,VALIDACIONES!$A$1)+COUNTIF($A$2:$A$1001,VALIDACIONES!$A$2)+COUNTIF($A$2:$A$1001,VALIDACIONES!$A$3)+COUNTIF($A$2:$A$1001,"VERDADERO_O_FALSO_SIMPLE")+COUNTIF($A$2:$A$1001,"VERDADERO_O_FALSO_COMPLEJAS")+COUNTIF($A$2:$A$1001,"RESPUESTA_PREMISAS_ABCD")+COUNTIF($A$2:$A$1001,"FALSO_VERDADERO")+COUNTIF($A$2:$A$1001,"PREGUNTA_CON_CLAVE")+COUNTIF($A$2:$A$1001,"RESPUESTA_COMPUESTA")</f>
        <v/>
      </c>
      <c r="AQ9" s="370" t="inlineStr">
        <is>
          <t>Meta: 15</t>
        </is>
      </c>
    </row>
    <row r="10" ht="24" customHeight="1">
      <c r="A10" s="342" t="n"/>
      <c r="B10" s="342" t="n"/>
      <c r="C10" s="342" t="n"/>
      <c r="D10" s="342">
        <f>IF($A10="Verdadero o Falso Simple","Verdadero",IF($A10="Respuesta A/B/Ambas/Ninguna","A. Si la primera es verdadera",IF($A10="Verdadero o Falso Complejas","1. ","")))</f>
        <v/>
      </c>
      <c r="E10" s="342">
        <f>IF($A10="Verdadero o Falso Simple","Falso",IF($A10="Respuesta A/B/Ambas/Ninguna","B. Si la segunda es verdadera",IF($A10="Verdadero o Falso Complejas","2. ","")))</f>
        <v/>
      </c>
      <c r="F10" s="342">
        <f>IF($A10="Respuesta A/B/Ambas/Ninguna","C. Si ambas son verdaderas",IF($A10="Verdadero o Falso Complejas","3. ",""))</f>
        <v/>
      </c>
      <c r="G10" s="342">
        <f>IF($A10="Respuesta A/B/Ambas/Ninguna","D. Si ninguna es verdadera",IF($A10="Verdadero o Falso Complejas","4. ",""))</f>
        <v/>
      </c>
      <c r="H10" s="342">
        <f>IF($A10="Verdadero o Falso Simple","",IF($A10="Respuesta A/B/Ambas/Ninguna","",IF($A10="Verdadero o Falso Complejas","","")))</f>
        <v/>
      </c>
      <c r="I10" s="342" t="n"/>
      <c r="J10" s="342" t="n">
        <v>1</v>
      </c>
      <c r="K10" s="342" t="inlineStr">
        <is>
          <t>2P</t>
        </is>
      </c>
      <c r="L10" s="343">
        <f>IF(TRIM($A10)="","",IF(OR($A10="Selección de la mejor respuesta",$A10="SELECCION_MEJOR_RESPUESTA",$A10="Subítem de caso o problema",$A10="SUBITEM_CASO"),IF(TRIM($C10)="","Completar enunciado",IF(SUMPRODUCT(--(LEN(TRIM($D10:$H10&amp;""))&gt;0))&lt;5,"Completar opciones A-E",IF(AND(TRIM($I10)&lt;&gt;"",OR(LEFT(TRIM($I10),1)="A",LEFT(TRIM($I10),1)="B",LEFT(TRIM($I10),1)="C",LEFT(TRIM($I10),1)="D",LEFT(TRIM($I10),1)="E")),"OK","Completar respuesta correcta A-E"))),IF(TRIM($A10)="","",IF(COUNTIF($Q10:$AJ10,"?*")=0,"OK","Falta revisar: "&amp;$Q10&amp;$R10&amp;$S10&amp;$T10&amp;$U10&amp;$V10&amp;$W10&amp;$X10&amp;$Y10&amp;$Z10&amp;$AA10&amp;$AB10&amp;$AC10&amp;$AD10&amp;$AE10&amp;$AF10&amp;$AG10&amp;$AH10&amp;$AI10&amp;$AJ10))))</f>
        <v/>
      </c>
      <c r="M10" s="341" t="n"/>
      <c r="Q10">
        <f>IF(TRIM($C10)="","enunciado","")</f>
        <v/>
      </c>
      <c r="R10">
        <f>IF(TRIM($K10)="",IF(COUNTIF($Q10:$Q10,"?*")&gt;0,", ","")&amp;"parcial","")</f>
        <v/>
      </c>
      <c r="S10">
        <f>IF(AND(TRIM($K10)&lt;&gt;"",TRIM($K10)&lt;&gt;VALIDACIONES!$G$1),IF(COUNTIF($Q10:$R10,"?*")&gt;0,", ","")&amp;"parcial distinto a "&amp;VALIDACIONES!$G$1,"")</f>
        <v/>
      </c>
      <c r="T10">
        <f>IF(AND(OR($A10="Ítems agrupados por caso clínico o problema",$A10="Subítem de caso o problema",$A10="Emparejamiento Ampliado",$A10="Opción de Emparejamiento Ampliado"),TRIM($B10)=""),IF(COUNTIF($Q10:$S10,"?*")&gt;0,", ","")&amp;"grupo","")</f>
        <v/>
      </c>
      <c r="U10">
        <f>IF(AND(OR($A10="Verdadero o Falso Simple",$A10="Respuesta A/B/Ambas/Ninguna",$A10="Verdadero o Falso Complejas",$A10="Selección de la mejor respuesta",$A10="Subítem de caso o problema",$A10="Opción de Emparejamiento Ampliado"),TRIM($I10)=""),IF(COUNTIF($Q10:$T10,"?*")&gt;0,", ","")&amp;"respuesta_correcta","")</f>
        <v/>
      </c>
      <c r="V10">
        <f>IF(AND(OR($A10="Verdadero o Falso Simple",$A10="Respuesta A/B/Ambas/Ninguna",$A10="Verdadero o Falso Complejas",$A10="Selección de la mejor respuesta",$A10="Subítem de caso o problema",$A10="Opción de Emparejamiento Ampliado"),TRIM($J10)=""),IF(COUNTIF($Q10:$U10,"?*")&gt;0,", ","")&amp;"dificultad","")</f>
        <v/>
      </c>
      <c r="W10">
        <f>IF(AND(OR($A10="Ítems agrupados por caso clínico o problema",$A10="Emparejamiento Ampliado"),TRIM($I10)&lt;&gt;""),IF(COUNTIF($Q10:$V10,"?*")&gt;0,", ","")&amp;"respuesta debe ir vacia","")</f>
        <v/>
      </c>
      <c r="X10">
        <f>IF(AND(OR($A10="Ítems agrupados por caso clínico o problema",$A10="Emparejamiento Ampliado"),TRIM($J10)&lt;&gt;""),IF(COUNTIF($Q10:$W10,"?*")&gt;0,", ","")&amp;"dificultad debe ir vacia","")</f>
        <v/>
      </c>
      <c r="Y10">
        <f>IF(AND($A10="Verdadero o Falso Simple",OR(COUNTIF($D10:$E10,"?*")&lt;2,COUNTIF($F10:$H10,"?*")&gt;0)),IF(COUNTIF($Q10:$X10,"?*")&gt;0,", ","")&amp;"incisos A-B","")</f>
        <v/>
      </c>
      <c r="Z10">
        <f>IF(AND($A10="Verdadero o Falso Simple",TRIM($I10)&lt;&gt;"",NOT(OR(LEFT(TRIM($I10),1)="A",LEFT(TRIM($I10),1)="B"))),IF(COUNTIF($Q10:$Y10,"?*")&gt;0,", ","")&amp;"respuesta A-B","")</f>
        <v/>
      </c>
      <c r="AA10">
        <f>IF(AND($A10="Respuesta A/B/Ambas/Ninguna",COUNTIF($D10:$G10,"?*")&lt;4),IF(COUNTIF($Q10:$Z10,"?*")&gt;0,", ","")&amp;"opciones A-D","")</f>
        <v/>
      </c>
      <c r="AB10">
        <f>IF(AND($A10="Respuesta A/B/Ambas/Ninguna",COUNTIF($H10:$H10,"?*")&gt;0),IF(COUNTIF($Q10:$AA10,"?*")&gt;0,", ","")&amp;"opcion E deshabilitada","")</f>
        <v/>
      </c>
      <c r="AC10">
        <f>IF(AND($A10="Respuesta A/B/Ambas/Ninguna",TRIM($I10)&lt;&gt;"",NOT(OR(LEFT(TRIM($I10),1)="A",LEFT(TRIM($I10),1)="B",LEFT(TRIM($I10),1)="C",LEFT(TRIM($I10),1)="D"))),IF(COUNTIF($Q10:$AB10,"?*")&gt;0,", ","")&amp;"respuesta A-D","")</f>
        <v/>
      </c>
      <c r="AD10">
        <f>IF(AND($A10="Verdadero o Falso Complejas",OR(LEN(TRIM(SUBSTITUTE($D10,"1.","")))=0,LEN(TRIM(SUBSTITUTE($E10,"2.","")))=0,LEN(TRIM(SUBSTITUTE($F10,"3.","")))=0,LEN(TRIM(SUBSTITUTE($G10,"4.","")))=0)),IF(COUNTIF($Q10:$AC10,"?*")&gt;0,", ","")&amp;"incisos 1-4","")</f>
        <v/>
      </c>
      <c r="AE10">
        <f>IF(AND($A10="Verdadero o Falso Complejas",COUNTIF($H10:$H10,"?*")&gt;0),IF(COUNTIF($Q10:$AD10,"?*")&gt;0,", ","")&amp;"opcion E deshabilitada","")</f>
        <v/>
      </c>
      <c r="AF10">
        <f>IF(AND($A10="Verdadero o Falso Complejas",TRIM($I10)&lt;&gt;"",NOT(OR(LEFT(TRIM($I10),1)="A",LEFT(TRIM($I10),1)="B",LEFT(TRIM($I10),1)="C",LEFT(TRIM($I10),1)="D",LEFT(TRIM($I10),1)="E"))),IF(COUNTIF($Q10:$AE10,"?*")&gt;0,", ","")&amp;"respuesta A-E","")</f>
        <v/>
      </c>
      <c r="AG10">
        <f>IF(AND(OR($A10="Selección de la mejor respuesta",$A10="Subítem de caso o problema"),COUNTA($D10:$H10)&lt;5),IF(COUNTIF($Q10:$AF10,"?*")&gt;0,", ","")&amp;"incisos A-E","")</f>
        <v/>
      </c>
      <c r="AH10">
        <f>IF(AND(OR($A10="Selección de la mejor respuesta",$A10="Subítem de caso o problema"),TRIM($I10)&lt;&gt;"",NOT(OR(LEFT(TRIM($I10),1)="A",LEFT(TRIM($I10),1)="B",LEFT(TRIM($I10),1)="C",LEFT(TRIM($I10),1)="D",LEFT(TRIM($I10),1)="E"))),IF(COUNTIF($Q10:$AG10,"?*")&gt;0,", ","")&amp;"respuesta A-E","")</f>
        <v/>
      </c>
      <c r="AI10">
        <f>IF(AND(OR($A10="Ítems agrupados por caso clínico o problema",$A10="Opción de Emparejamiento Ampliado"),COUNTIF($D10:$H10,"?*")&gt;0),IF(COUNTIF($Q10:$AH10,"?*")&gt;0,", ","")&amp;"sin incisos","")</f>
        <v/>
      </c>
      <c r="AJ10">
        <f>IF(AND($A10="Emparejamiento Ampliado",COUNTIF($D10:$H10,"?*")&lt;2),IF(COUNTIF($Q10:$AI10,"?*")&gt;0,", ","")&amp;"minimo 2 claves","")</f>
        <v/>
      </c>
      <c r="AK10">
        <f>IF(AND($A10="Opción de Emparejamiento Ampliado",NOT(OR(LEFT(TRIM($I10),1)="A",LEFT(TRIM($I10),1)="B",LEFT(TRIM($I10),1)="C",LEFT(TRIM($I10),1)="D",LEFT(TRIM($I10),1)="E"))),IF(COUNTIF($Q10:$AJ10,"?*")&gt;0,", ","")&amp;"respuesta A-E","")</f>
        <v/>
      </c>
      <c r="AL10">
        <f>IF(TRIM($K10)="",IF(COUNTIF($M10:$M10,"?*")&gt;0,", ","")&amp;"parcial","")</f>
        <v/>
      </c>
      <c r="AM10">
        <f>IF(AND(TRIM($K10)&lt;&gt;"",TRIM($K10)&lt;&gt;VALIDACIONES!$G$1),IF(COUNTIF($M10:$N10,"?*")&gt;0,", ","")&amp;"parcial distinto a "&amp;VALIDACIONES!$G$1,"")</f>
        <v/>
      </c>
      <c r="AN10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AO10" s="368" t="inlineStr">
        <is>
          <t>Grupo 2 (Mejor Respuesta)</t>
        </is>
      </c>
      <c r="AP10" s="369">
        <f>COUNTIF($A$2:$A$1001,VALIDACIONES!$A$4)+COUNTIF($A$2:$A$1001,"SELECCION_MEJOR_RESPUESTA")+COUNTIF($A$2:$A$1001,"SELECCION_SIMPLE")+COUNTIF($A$2:$A$1001,"SELECCION_UNICA")</f>
        <v/>
      </c>
      <c r="AQ10" s="370" t="inlineStr">
        <is>
          <t>Meta: 30</t>
        </is>
      </c>
    </row>
    <row r="11" ht="24" customHeight="1">
      <c r="A11" s="342" t="n"/>
      <c r="B11" s="342" t="n"/>
      <c r="C11" s="342" t="n"/>
      <c r="D11" s="342">
        <f>IF($A11="Verdadero o Falso Simple","Verdadero",IF($A11="Respuesta A/B/Ambas/Ninguna","A. Si la primera es verdadera",IF($A11="Verdadero o Falso Complejas","1. ","")))</f>
        <v/>
      </c>
      <c r="E11" s="342">
        <f>IF($A11="Verdadero o Falso Simple","Falso",IF($A11="Respuesta A/B/Ambas/Ninguna","B. Si la segunda es verdadera",IF($A11="Verdadero o Falso Complejas","2. ","")))</f>
        <v/>
      </c>
      <c r="F11" s="342">
        <f>IF($A11="Respuesta A/B/Ambas/Ninguna","C. Si ambas son verdaderas",IF($A11="Verdadero o Falso Complejas","3. ",""))</f>
        <v/>
      </c>
      <c r="G11" s="342">
        <f>IF($A11="Respuesta A/B/Ambas/Ninguna","D. Si ninguna es verdadera",IF($A11="Verdadero o Falso Complejas","4. ",""))</f>
        <v/>
      </c>
      <c r="H11" s="342">
        <f>IF($A11="Verdadero o Falso Simple","",IF($A11="Respuesta A/B/Ambas/Ninguna","",IF($A11="Verdadero o Falso Complejas","","")))</f>
        <v/>
      </c>
      <c r="I11" s="342" t="n"/>
      <c r="J11" s="342" t="n">
        <v>1</v>
      </c>
      <c r="K11" s="342" t="inlineStr">
        <is>
          <t>2P</t>
        </is>
      </c>
      <c r="L11" s="343">
        <f>IF(TRIM($A11)="","",IF(OR($A11="Selección de la mejor respuesta",$A11="SELECCION_MEJOR_RESPUESTA",$A11="Subítem de caso o problema",$A11="SUBITEM_CASO"),IF(TRIM($C11)="","Completar enunciado",IF(SUMPRODUCT(--(LEN(TRIM($D11:$H11&amp;""))&gt;0))&lt;5,"Completar opciones A-E",IF(AND(TRIM($I11)&lt;&gt;"",OR(LEFT(TRIM($I11),1)="A",LEFT(TRIM($I11),1)="B",LEFT(TRIM($I11),1)="C",LEFT(TRIM($I11),1)="D",LEFT(TRIM($I11),1)="E")),"OK","Completar respuesta correcta A-E"))),IF(TRIM($A11)="","",IF(COUNTIF($Q11:$AJ11,"?*")=0,"OK","Falta revisar: "&amp;$Q11&amp;$R11&amp;$S11&amp;$T11&amp;$U11&amp;$V11&amp;$W11&amp;$X11&amp;$Y11&amp;$Z11&amp;$AA11&amp;$AB11&amp;$AC11&amp;$AD11&amp;$AE11&amp;$AF11&amp;$AG11&amp;$AH11&amp;$AI11&amp;$AJ11))))</f>
        <v/>
      </c>
      <c r="M11" s="341" t="n"/>
      <c r="Q11">
        <f>IF(TRIM($C11)="","enunciado","")</f>
        <v/>
      </c>
      <c r="R11">
        <f>IF(TRIM($K11)="",IF(COUNTIF($Q11:$Q11,"?*")&gt;0,", ","")&amp;"parcial","")</f>
        <v/>
      </c>
      <c r="S11">
        <f>IF(AND(TRIM($K11)&lt;&gt;"",TRIM($K11)&lt;&gt;VALIDACIONES!$G$1),IF(COUNTIF($Q11:$R11,"?*")&gt;0,", ","")&amp;"parcial distinto a "&amp;VALIDACIONES!$G$1,"")</f>
        <v/>
      </c>
      <c r="T11">
        <f>IF(AND(OR($A11="Ítems agrupados por caso clínico o problema",$A11="Subítem de caso o problema",$A11="Emparejamiento Ampliado",$A11="Opción de Emparejamiento Ampliado"),TRIM($B11)=""),IF(COUNTIF($Q11:$S11,"?*")&gt;0,", ","")&amp;"grupo","")</f>
        <v/>
      </c>
      <c r="U11">
        <f>IF(AND(OR($A11="Verdadero o Falso Simple",$A11="Respuesta A/B/Ambas/Ninguna",$A11="Verdadero o Falso Complejas",$A11="Selección de la mejor respuesta",$A11="Subítem de caso o problema",$A11="Opción de Emparejamiento Ampliado"),TRIM($I11)=""),IF(COUNTIF($Q11:$T11,"?*")&gt;0,", ","")&amp;"respuesta_correcta","")</f>
        <v/>
      </c>
      <c r="V11">
        <f>IF(AND(OR($A11="Verdadero o Falso Simple",$A11="Respuesta A/B/Ambas/Ninguna",$A11="Verdadero o Falso Complejas",$A11="Selección de la mejor respuesta",$A11="Subítem de caso o problema",$A11="Opción de Emparejamiento Ampliado"),TRIM($J11)=""),IF(COUNTIF($Q11:$U11,"?*")&gt;0,", ","")&amp;"dificultad","")</f>
        <v/>
      </c>
      <c r="W11">
        <f>IF(AND(OR($A11="Ítems agrupados por caso clínico o problema",$A11="Emparejamiento Ampliado"),TRIM($I11)&lt;&gt;""),IF(COUNTIF($Q11:$V11,"?*")&gt;0,", ","")&amp;"respuesta debe ir vacia","")</f>
        <v/>
      </c>
      <c r="X11">
        <f>IF(AND(OR($A11="Ítems agrupados por caso clínico o problema",$A11="Emparejamiento Ampliado"),TRIM($J11)&lt;&gt;""),IF(COUNTIF($Q11:$W11,"?*")&gt;0,", ","")&amp;"dificultad debe ir vacia","")</f>
        <v/>
      </c>
      <c r="Y11">
        <f>IF(AND($A11="Verdadero o Falso Simple",OR(COUNTIF($D11:$E11,"?*")&lt;2,COUNTIF($F11:$H11,"?*")&gt;0)),IF(COUNTIF($Q11:$X11,"?*")&gt;0,", ","")&amp;"incisos A-B","")</f>
        <v/>
      </c>
      <c r="Z11">
        <f>IF(AND($A11="Verdadero o Falso Simple",TRIM($I11)&lt;&gt;"",NOT(OR(LEFT(TRIM($I11),1)="A",LEFT(TRIM($I11),1)="B"))),IF(COUNTIF($Q11:$Y11,"?*")&gt;0,", ","")&amp;"respuesta A-B","")</f>
        <v/>
      </c>
      <c r="AA11">
        <f>IF(AND($A11="Respuesta A/B/Ambas/Ninguna",COUNTIF($D11:$G11,"?*")&lt;4),IF(COUNTIF($Q11:$Z11,"?*")&gt;0,", ","")&amp;"opciones A-D","")</f>
        <v/>
      </c>
      <c r="AB11">
        <f>IF(AND($A11="Respuesta A/B/Ambas/Ninguna",COUNTIF($H11:$H11,"?*")&gt;0),IF(COUNTIF($Q11:$AA11,"?*")&gt;0,", ","")&amp;"opcion E deshabilitada","")</f>
        <v/>
      </c>
      <c r="AC11">
        <f>IF(AND($A11="Respuesta A/B/Ambas/Ninguna",TRIM($I11)&lt;&gt;"",NOT(OR(LEFT(TRIM($I11),1)="A",LEFT(TRIM($I11),1)="B",LEFT(TRIM($I11),1)="C",LEFT(TRIM($I11),1)="D"))),IF(COUNTIF($Q11:$AB11,"?*")&gt;0,", ","")&amp;"respuesta A-D","")</f>
        <v/>
      </c>
      <c r="AD11">
        <f>IF(AND($A11="Verdadero o Falso Complejas",OR(LEN(TRIM(SUBSTITUTE($D11,"1.","")))=0,LEN(TRIM(SUBSTITUTE($E11,"2.","")))=0,LEN(TRIM(SUBSTITUTE($F11,"3.","")))=0,LEN(TRIM(SUBSTITUTE($G11,"4.","")))=0)),IF(COUNTIF($Q11:$AC11,"?*")&gt;0,", ","")&amp;"incisos 1-4","")</f>
        <v/>
      </c>
      <c r="AE11">
        <f>IF(AND($A11="Verdadero o Falso Complejas",COUNTIF($H11:$H11,"?*")&gt;0),IF(COUNTIF($Q11:$AD11,"?*")&gt;0,", ","")&amp;"opcion E deshabilitada","")</f>
        <v/>
      </c>
      <c r="AF11">
        <f>IF(AND($A11="Verdadero o Falso Complejas",TRIM($I11)&lt;&gt;"",NOT(OR(LEFT(TRIM($I11),1)="A",LEFT(TRIM($I11),1)="B",LEFT(TRIM($I11),1)="C",LEFT(TRIM($I11),1)="D",LEFT(TRIM($I11),1)="E"))),IF(COUNTIF($Q11:$AE11,"?*")&gt;0,", ","")&amp;"respuesta A-E","")</f>
        <v/>
      </c>
      <c r="AG11">
        <f>IF(AND(OR($A11="Selección de la mejor respuesta",$A11="Subítem de caso o problema"),COUNTA($D11:$H11)&lt;5),IF(COUNTIF($Q11:$AF11,"?*")&gt;0,", ","")&amp;"incisos A-E","")</f>
        <v/>
      </c>
      <c r="AH11">
        <f>IF(AND(OR($A11="Selección de la mejor respuesta",$A11="Subítem de caso o problema"),TRIM($I11)&lt;&gt;"",NOT(OR(LEFT(TRIM($I11),1)="A",LEFT(TRIM($I11),1)="B",LEFT(TRIM($I11),1)="C",LEFT(TRIM($I11),1)="D",LEFT(TRIM($I11),1)="E"))),IF(COUNTIF($Q11:$AG11,"?*")&gt;0,", ","")&amp;"respuesta A-E","")</f>
        <v/>
      </c>
      <c r="AI11">
        <f>IF(AND(OR($A11="Ítems agrupados por caso clínico o problema",$A11="Opción de Emparejamiento Ampliado"),COUNTIF($D11:$H11,"?*")&gt;0),IF(COUNTIF($Q11:$AH11,"?*")&gt;0,", ","")&amp;"sin incisos","")</f>
        <v/>
      </c>
      <c r="AJ11">
        <f>IF(AND($A11="Emparejamiento Ampliado",COUNTIF($D11:$H11,"?*")&lt;2),IF(COUNTIF($Q11:$AI11,"?*")&gt;0,", ","")&amp;"minimo 2 claves","")</f>
        <v/>
      </c>
      <c r="AK11">
        <f>IF(AND($A11="Opción de Emparejamiento Ampliado",NOT(OR(LEFT(TRIM($I11),1)="A",LEFT(TRIM($I11),1)="B",LEFT(TRIM($I11),1)="C",LEFT(TRIM($I11),1)="D",LEFT(TRIM($I11),1)="E"))),IF(COUNTIF($Q11:$AJ11,"?*")&gt;0,", ","")&amp;"respuesta A-E","")</f>
        <v/>
      </c>
      <c r="AL11">
        <f>IF(TRIM($K11)="",IF(COUNTIF($M11:$M11,"?*")&gt;0,", ","")&amp;"parcial","")</f>
        <v/>
      </c>
      <c r="AM11">
        <f>IF(AND(TRIM($K11)&lt;&gt;"",TRIM($K11)&lt;&gt;VALIDACIONES!$G$1),IF(COUNTIF($M11:$N11,"?*")&gt;0,", ","")&amp;"parcial distinto a "&amp;VALIDACIONES!$G$1,"")</f>
        <v/>
      </c>
      <c r="AN11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AO11" s="368" t="inlineStr">
        <is>
          <t>Grupo 3 (Casos y Emparej.)</t>
        </is>
      </c>
      <c r="AP11" s="369">
        <f>COUNTIF($A$2:$A$1001,VALIDACIONES!$A$6)+COUNTIF($A$2:$A$1001,VALIDACIONES!$A$8)+COUNTIF($A$2:$A$1001,"OPCION_EMPAREJAMIENTO")+COUNTIF($A$2:$A$1001,"SUBITEM_CASO")+COUNTIF($A$2:$A$1001,"SUBPROBLEMA")</f>
        <v/>
      </c>
      <c r="AQ11" s="370" t="inlineStr">
        <is>
          <t>Meta: 15</t>
        </is>
      </c>
    </row>
    <row r="12" ht="24" customHeight="1">
      <c r="A12" s="342" t="n"/>
      <c r="B12" s="342" t="n"/>
      <c r="C12" s="342" t="n"/>
      <c r="D12" s="342">
        <f>IF($A12="Verdadero o Falso Simple","Verdadero",IF($A12="Respuesta A/B/Ambas/Ninguna","A. Si la primera es verdadera",IF($A12="Verdadero o Falso Complejas","1. ","")))</f>
        <v/>
      </c>
      <c r="E12" s="342">
        <f>IF($A12="Verdadero o Falso Simple","Falso",IF($A12="Respuesta A/B/Ambas/Ninguna","B. Si la segunda es verdadera",IF($A12="Verdadero o Falso Complejas","2. ","")))</f>
        <v/>
      </c>
      <c r="F12" s="342">
        <f>IF($A12="Respuesta A/B/Ambas/Ninguna","C. Si ambas son verdaderas",IF($A12="Verdadero o Falso Complejas","3. ",""))</f>
        <v/>
      </c>
      <c r="G12" s="342">
        <f>IF($A12="Respuesta A/B/Ambas/Ninguna","D. Si ninguna es verdadera",IF($A12="Verdadero o Falso Complejas","4. ",""))</f>
        <v/>
      </c>
      <c r="H12" s="342">
        <f>IF($A12="Verdadero o Falso Simple","",IF($A12="Respuesta A/B/Ambas/Ninguna","",IF($A12="Verdadero o Falso Complejas","","")))</f>
        <v/>
      </c>
      <c r="I12" s="342" t="n"/>
      <c r="J12" s="342" t="n">
        <v>1</v>
      </c>
      <c r="K12" s="342" t="inlineStr">
        <is>
          <t>2P</t>
        </is>
      </c>
      <c r="L12" s="343">
        <f>IF(TRIM($A12)="","",IF(OR($A12="Selección de la mejor respuesta",$A12="SELECCION_MEJOR_RESPUESTA",$A12="Subítem de caso o problema",$A12="SUBITEM_CASO"),IF(TRIM($C12)="","Completar enunciado",IF(SUMPRODUCT(--(LEN(TRIM($D12:$H12&amp;""))&gt;0))&lt;5,"Completar opciones A-E",IF(AND(TRIM($I12)&lt;&gt;"",OR(LEFT(TRIM($I12),1)="A",LEFT(TRIM($I12),1)="B",LEFT(TRIM($I12),1)="C",LEFT(TRIM($I12),1)="D",LEFT(TRIM($I12),1)="E")),"OK","Completar respuesta correcta A-E"))),IF(TRIM($A12)="","",IF(COUNTIF($Q12:$AJ12,"?*")=0,"OK","Falta revisar: "&amp;$Q12&amp;$R12&amp;$S12&amp;$T12&amp;$U12&amp;$V12&amp;$W12&amp;$X12&amp;$Y12&amp;$Z12&amp;$AA12&amp;$AB12&amp;$AC12&amp;$AD12&amp;$AE12&amp;$AF12&amp;$AG12&amp;$AH12&amp;$AI12&amp;$AJ12))))</f>
        <v/>
      </c>
      <c r="M12" s="341" t="n"/>
      <c r="Q12">
        <f>IF(TRIM($C12)="","enunciado","")</f>
        <v/>
      </c>
      <c r="R12">
        <f>IF(TRIM($K12)="",IF(COUNTIF($Q12:$Q12,"?*")&gt;0,", ","")&amp;"parcial","")</f>
        <v/>
      </c>
      <c r="S12">
        <f>IF(AND(TRIM($K12)&lt;&gt;"",TRIM($K12)&lt;&gt;VALIDACIONES!$G$1),IF(COUNTIF($Q12:$R12,"?*")&gt;0,", ","")&amp;"parcial distinto a "&amp;VALIDACIONES!$G$1,"")</f>
        <v/>
      </c>
      <c r="T12">
        <f>IF(AND(OR($A12="Ítems agrupados por caso clínico o problema",$A12="Subítem de caso o problema",$A12="Emparejamiento Ampliado",$A12="Opción de Emparejamiento Ampliado"),TRIM($B12)=""),IF(COUNTIF($Q12:$S12,"?*")&gt;0,", ","")&amp;"grupo","")</f>
        <v/>
      </c>
      <c r="U12">
        <f>IF(AND(OR($A12="Verdadero o Falso Simple",$A12="Respuesta A/B/Ambas/Ninguna",$A12="Verdadero o Falso Complejas",$A12="Selección de la mejor respuesta",$A12="Subítem de caso o problema",$A12="Opción de Emparejamiento Ampliado"),TRIM($I12)=""),IF(COUNTIF($Q12:$T12,"?*")&gt;0,", ","")&amp;"respuesta_correcta","")</f>
        <v/>
      </c>
      <c r="V12">
        <f>IF(AND(OR($A12="Verdadero o Falso Simple",$A12="Respuesta A/B/Ambas/Ninguna",$A12="Verdadero o Falso Complejas",$A12="Selección de la mejor respuesta",$A12="Subítem de caso o problema",$A12="Opción de Emparejamiento Ampliado"),TRIM($J12)=""),IF(COUNTIF($Q12:$U12,"?*")&gt;0,", ","")&amp;"dificultad","")</f>
        <v/>
      </c>
      <c r="W12">
        <f>IF(AND(OR($A12="Ítems agrupados por caso clínico o problema",$A12="Emparejamiento Ampliado"),TRIM($I12)&lt;&gt;""),IF(COUNTIF($Q12:$V12,"?*")&gt;0,", ","")&amp;"respuesta debe ir vacia","")</f>
        <v/>
      </c>
      <c r="X12">
        <f>IF(AND(OR($A12="Ítems agrupados por caso clínico o problema",$A12="Emparejamiento Ampliado"),TRIM($J12)&lt;&gt;""),IF(COUNTIF($Q12:$W12,"?*")&gt;0,", ","")&amp;"dificultad debe ir vacia","")</f>
        <v/>
      </c>
      <c r="Y12">
        <f>IF(AND($A12="Verdadero o Falso Simple",OR(COUNTIF($D12:$E12,"?*")&lt;2,COUNTIF($F12:$H12,"?*")&gt;0)),IF(COUNTIF($Q12:$X12,"?*")&gt;0,", ","")&amp;"incisos A-B","")</f>
        <v/>
      </c>
      <c r="Z12">
        <f>IF(AND($A12="Verdadero o Falso Simple",TRIM($I12)&lt;&gt;"",NOT(OR(LEFT(TRIM($I12),1)="A",LEFT(TRIM($I12),1)="B"))),IF(COUNTIF($Q12:$Y12,"?*")&gt;0,", ","")&amp;"respuesta A-B","")</f>
        <v/>
      </c>
      <c r="AA12">
        <f>IF(AND($A12="Respuesta A/B/Ambas/Ninguna",COUNTIF($D12:$G12,"?*")&lt;4),IF(COUNTIF($Q12:$Z12,"?*")&gt;0,", ","")&amp;"opciones A-D","")</f>
        <v/>
      </c>
      <c r="AB12">
        <f>IF(AND($A12="Respuesta A/B/Ambas/Ninguna",COUNTIF($H12:$H12,"?*")&gt;0),IF(COUNTIF($Q12:$AA12,"?*")&gt;0,", ","")&amp;"opcion E deshabilitada","")</f>
        <v/>
      </c>
      <c r="AC12">
        <f>IF(AND($A12="Respuesta A/B/Ambas/Ninguna",TRIM($I12)&lt;&gt;"",NOT(OR(LEFT(TRIM($I12),1)="A",LEFT(TRIM($I12),1)="B",LEFT(TRIM($I12),1)="C",LEFT(TRIM($I12),1)="D"))),IF(COUNTIF($Q12:$AB12,"?*")&gt;0,", ","")&amp;"respuesta A-D","")</f>
        <v/>
      </c>
      <c r="AD12">
        <f>IF(AND($A12="Verdadero o Falso Complejas",OR(LEN(TRIM(SUBSTITUTE($D12,"1.","")))=0,LEN(TRIM(SUBSTITUTE($E12,"2.","")))=0,LEN(TRIM(SUBSTITUTE($F12,"3.","")))=0,LEN(TRIM(SUBSTITUTE($G12,"4.","")))=0)),IF(COUNTIF($Q12:$AC12,"?*")&gt;0,", ","")&amp;"incisos 1-4","")</f>
        <v/>
      </c>
      <c r="AE12">
        <f>IF(AND($A12="Verdadero o Falso Complejas",COUNTIF($H12:$H12,"?*")&gt;0),IF(COUNTIF($Q12:$AD12,"?*")&gt;0,", ","")&amp;"opcion E deshabilitada","")</f>
        <v/>
      </c>
      <c r="AF12">
        <f>IF(AND($A12="Verdadero o Falso Complejas",TRIM($I12)&lt;&gt;"",NOT(OR(LEFT(TRIM($I12),1)="A",LEFT(TRIM($I12),1)="B",LEFT(TRIM($I12),1)="C",LEFT(TRIM($I12),1)="D",LEFT(TRIM($I12),1)="E"))),IF(COUNTIF($Q12:$AE12,"?*")&gt;0,", ","")&amp;"respuesta A-E","")</f>
        <v/>
      </c>
      <c r="AG12">
        <f>IF(AND(OR($A12="Selección de la mejor respuesta",$A12="Subítem de caso o problema"),COUNTA($D12:$H12)&lt;5),IF(COUNTIF($Q12:$AF12,"?*")&gt;0,", ","")&amp;"incisos A-E","")</f>
        <v/>
      </c>
      <c r="AH12">
        <f>IF(AND(OR($A12="Selección de la mejor respuesta",$A12="Subítem de caso o problema"),TRIM($I12)&lt;&gt;"",NOT(OR(LEFT(TRIM($I12),1)="A",LEFT(TRIM($I12),1)="B",LEFT(TRIM($I12),1)="C",LEFT(TRIM($I12),1)="D",LEFT(TRIM($I12),1)="E"))),IF(COUNTIF($Q12:$AG12,"?*")&gt;0,", ","")&amp;"respuesta A-E","")</f>
        <v/>
      </c>
      <c r="AI12">
        <f>IF(AND(OR($A12="Ítems agrupados por caso clínico o problema",$A12="Opción de Emparejamiento Ampliado"),COUNTIF($D12:$H12,"?*")&gt;0),IF(COUNTIF($Q12:$AH12,"?*")&gt;0,", ","")&amp;"sin incisos","")</f>
        <v/>
      </c>
      <c r="AJ12">
        <f>IF(AND($A12="Emparejamiento Ampliado",COUNTIF($D12:$H12,"?*")&lt;2),IF(COUNTIF($Q12:$AI12,"?*")&gt;0,", ","")&amp;"minimo 2 claves","")</f>
        <v/>
      </c>
      <c r="AK12">
        <f>IF(AND($A12="Opción de Emparejamiento Ampliado",NOT(OR(LEFT(TRIM($I12),1)="A",LEFT(TRIM($I12),1)="B",LEFT(TRIM($I12),1)="C",LEFT(TRIM($I12),1)="D",LEFT(TRIM($I12),1)="E"))),IF(COUNTIF($Q12:$AJ12,"?*")&gt;0,", ","")&amp;"respuesta A-E","")</f>
        <v/>
      </c>
      <c r="AL12">
        <f>IF(TRIM($K12)="",IF(COUNTIF($M12:$M12,"?*")&gt;0,", ","")&amp;"parcial","")</f>
        <v/>
      </c>
      <c r="AM12">
        <f>IF(AND(TRIM($K12)&lt;&gt;"",TRIM($K12)&lt;&gt;VALIDACIONES!$G$1),IF(COUNTIF($M12:$N12,"?*")&gt;0,", ","")&amp;"parcial distinto a "&amp;VALIDACIONES!$G$1,"")</f>
        <v/>
      </c>
      <c r="AN12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AO12" s="368" t="inlineStr">
        <is>
          <t>Total por Grupos</t>
        </is>
      </c>
      <c r="AP12" s="369">
        <f>SUM(AP9:AP11)</f>
        <v/>
      </c>
      <c r="AQ12" s="370" t="inlineStr">
        <is>
          <t>Meta: 60</t>
        </is>
      </c>
    </row>
    <row r="13" ht="24" customHeight="1">
      <c r="A13" s="342" t="n"/>
      <c r="B13" s="342" t="n"/>
      <c r="C13" s="342" t="n"/>
      <c r="D13" s="342">
        <f>IF($A13="Verdadero o Falso Simple","Verdadero",IF($A13="Respuesta A/B/Ambas/Ninguna","A. Si la primera es verdadera",IF($A13="Verdadero o Falso Complejas","1. ","")))</f>
        <v/>
      </c>
      <c r="E13" s="342">
        <f>IF($A13="Verdadero o Falso Simple","Falso",IF($A13="Respuesta A/B/Ambas/Ninguna","B. Si la segunda es verdadera",IF($A13="Verdadero o Falso Complejas","2. ","")))</f>
        <v/>
      </c>
      <c r="F13" s="342">
        <f>IF($A13="Respuesta A/B/Ambas/Ninguna","C. Si ambas son verdaderas",IF($A13="Verdadero o Falso Complejas","3. ",""))</f>
        <v/>
      </c>
      <c r="G13" s="342">
        <f>IF($A13="Respuesta A/B/Ambas/Ninguna","D. Si ninguna es verdadera",IF($A13="Verdadero o Falso Complejas","4. ",""))</f>
        <v/>
      </c>
      <c r="H13" s="342">
        <f>IF($A13="Verdadero o Falso Simple","",IF($A13="Respuesta A/B/Ambas/Ninguna","",IF($A13="Verdadero o Falso Complejas","","")))</f>
        <v/>
      </c>
      <c r="I13" s="342" t="n"/>
      <c r="J13" s="342" t="n">
        <v>1</v>
      </c>
      <c r="K13" s="342" t="inlineStr">
        <is>
          <t>2P</t>
        </is>
      </c>
      <c r="L13" s="343">
        <f>IF(TRIM($A13)="","",IF(OR($A13="Selección de la mejor respuesta",$A13="SELECCION_MEJOR_RESPUESTA",$A13="Subítem de caso o problema",$A13="SUBITEM_CASO"),IF(TRIM($C13)="","Completar enunciado",IF(SUMPRODUCT(--(LEN(TRIM($D13:$H13&amp;""))&gt;0))&lt;5,"Completar opciones A-E",IF(AND(TRIM($I13)&lt;&gt;"",OR(LEFT(TRIM($I13),1)="A",LEFT(TRIM($I13),1)="B",LEFT(TRIM($I13),1)="C",LEFT(TRIM($I13),1)="D",LEFT(TRIM($I13),1)="E")),"OK","Completar respuesta correcta A-E"))),IF(TRIM($A13)="","",IF(COUNTIF($Q13:$AJ13,"?*")=0,"OK","Falta revisar: "&amp;$Q13&amp;$R13&amp;$S13&amp;$T13&amp;$U13&amp;$V13&amp;$W13&amp;$X13&amp;$Y13&amp;$Z13&amp;$AA13&amp;$AB13&amp;$AC13&amp;$AD13&amp;$AE13&amp;$AF13&amp;$AG13&amp;$AH13&amp;$AI13&amp;$AJ13))))</f>
        <v/>
      </c>
      <c r="M13" s="341" t="n"/>
      <c r="Q13">
        <f>IF(TRIM($C13)="","enunciado","")</f>
        <v/>
      </c>
      <c r="R13">
        <f>IF(TRIM($K13)="",IF(COUNTIF($Q13:$Q13,"?*")&gt;0,", ","")&amp;"parcial","")</f>
        <v/>
      </c>
      <c r="S13">
        <f>IF(AND(TRIM($K13)&lt;&gt;"",TRIM($K13)&lt;&gt;VALIDACIONES!$G$1),IF(COUNTIF($Q13:$R13,"?*")&gt;0,", ","")&amp;"parcial distinto a "&amp;VALIDACIONES!$G$1,"")</f>
        <v/>
      </c>
      <c r="T13">
        <f>IF(AND(OR($A13="Ítems agrupados por caso clínico o problema",$A13="Subítem de caso o problema",$A13="Emparejamiento Ampliado",$A13="Opción de Emparejamiento Ampliado"),TRIM($B13)=""),IF(COUNTIF($Q13:$S13,"?*")&gt;0,", ","")&amp;"grupo","")</f>
        <v/>
      </c>
      <c r="U13">
        <f>IF(AND(OR($A13="Verdadero o Falso Simple",$A13="Respuesta A/B/Ambas/Ninguna",$A13="Verdadero o Falso Complejas",$A13="Selección de la mejor respuesta",$A13="Subítem de caso o problema",$A13="Opción de Emparejamiento Ampliado"),TRIM($I13)=""),IF(COUNTIF($Q13:$T13,"?*")&gt;0,", ","")&amp;"respuesta_correcta","")</f>
        <v/>
      </c>
      <c r="V13">
        <f>IF(AND(OR($A13="Verdadero o Falso Simple",$A13="Respuesta A/B/Ambas/Ninguna",$A13="Verdadero o Falso Complejas",$A13="Selección de la mejor respuesta",$A13="Subítem de caso o problema",$A13="Opción de Emparejamiento Ampliado"),TRIM($J13)=""),IF(COUNTIF($Q13:$U13,"?*")&gt;0,", ","")&amp;"dificultad","")</f>
        <v/>
      </c>
      <c r="W13">
        <f>IF(AND(OR($A13="Ítems agrupados por caso clínico o problema",$A13="Emparejamiento Ampliado"),TRIM($I13)&lt;&gt;""),IF(COUNTIF($Q13:$V13,"?*")&gt;0,", ","")&amp;"respuesta debe ir vacia","")</f>
        <v/>
      </c>
      <c r="X13">
        <f>IF(AND(OR($A13="Ítems agrupados por caso clínico o problema",$A13="Emparejamiento Ampliado"),TRIM($J13)&lt;&gt;""),IF(COUNTIF($Q13:$W13,"?*")&gt;0,", ","")&amp;"dificultad debe ir vacia","")</f>
        <v/>
      </c>
      <c r="Y13">
        <f>IF(AND($A13="Verdadero o Falso Simple",OR(COUNTIF($D13:$E13,"?*")&lt;2,COUNTIF($F13:$H13,"?*")&gt;0)),IF(COUNTIF($Q13:$X13,"?*")&gt;0,", ","")&amp;"incisos A-B","")</f>
        <v/>
      </c>
      <c r="Z13">
        <f>IF(AND($A13="Verdadero o Falso Simple",TRIM($I13)&lt;&gt;"",NOT(OR(LEFT(TRIM($I13),1)="A",LEFT(TRIM($I13),1)="B"))),IF(COUNTIF($Q13:$Y13,"?*")&gt;0,", ","")&amp;"respuesta A-B","")</f>
        <v/>
      </c>
      <c r="AA13">
        <f>IF(AND($A13="Respuesta A/B/Ambas/Ninguna",COUNTIF($D13:$G13,"?*")&lt;4),IF(COUNTIF($Q13:$Z13,"?*")&gt;0,", ","")&amp;"opciones A-D","")</f>
        <v/>
      </c>
      <c r="AB13">
        <f>IF(AND($A13="Respuesta A/B/Ambas/Ninguna",COUNTIF($H13:$H13,"?*")&gt;0),IF(COUNTIF($Q13:$AA13,"?*")&gt;0,", ","")&amp;"opcion E deshabilitada","")</f>
        <v/>
      </c>
      <c r="AC13">
        <f>IF(AND($A13="Respuesta A/B/Ambas/Ninguna",TRIM($I13)&lt;&gt;"",NOT(OR(LEFT(TRIM($I13),1)="A",LEFT(TRIM($I13),1)="B",LEFT(TRIM($I13),1)="C",LEFT(TRIM($I13),1)="D"))),IF(COUNTIF($Q13:$AB13,"?*")&gt;0,", ","")&amp;"respuesta A-D","")</f>
        <v/>
      </c>
      <c r="AD13">
        <f>IF(AND($A13="Verdadero o Falso Complejas",OR(LEN(TRIM(SUBSTITUTE($D13,"1.","")))=0,LEN(TRIM(SUBSTITUTE($E13,"2.","")))=0,LEN(TRIM(SUBSTITUTE($F13,"3.","")))=0,LEN(TRIM(SUBSTITUTE($G13,"4.","")))=0)),IF(COUNTIF($Q13:$AC13,"?*")&gt;0,", ","")&amp;"incisos 1-4","")</f>
        <v/>
      </c>
      <c r="AE13">
        <f>IF(AND($A13="Verdadero o Falso Complejas",COUNTIF($H13:$H13,"?*")&gt;0),IF(COUNTIF($Q13:$AD13,"?*")&gt;0,", ","")&amp;"opcion E deshabilitada","")</f>
        <v/>
      </c>
      <c r="AF13">
        <f>IF(AND($A13="Verdadero o Falso Complejas",TRIM($I13)&lt;&gt;"",NOT(OR(LEFT(TRIM($I13),1)="A",LEFT(TRIM($I13),1)="B",LEFT(TRIM($I13),1)="C",LEFT(TRIM($I13),1)="D",LEFT(TRIM($I13),1)="E"))),IF(COUNTIF($Q13:$AE13,"?*")&gt;0,", ","")&amp;"respuesta A-E","")</f>
        <v/>
      </c>
      <c r="AG13">
        <f>IF(AND(OR($A13="Selección de la mejor respuesta",$A13="Subítem de caso o problema"),COUNTA($D13:$H13)&lt;5),IF(COUNTIF($Q13:$AF13,"?*")&gt;0,", ","")&amp;"incisos A-E","")</f>
        <v/>
      </c>
      <c r="AH13">
        <f>IF(AND(OR($A13="Selección de la mejor respuesta",$A13="Subítem de caso o problema"),TRIM($I13)&lt;&gt;"",NOT(OR(LEFT(TRIM($I13),1)="A",LEFT(TRIM($I13),1)="B",LEFT(TRIM($I13),1)="C",LEFT(TRIM($I13),1)="D",LEFT(TRIM($I13),1)="E"))),IF(COUNTIF($Q13:$AG13,"?*")&gt;0,", ","")&amp;"respuesta A-E","")</f>
        <v/>
      </c>
      <c r="AI13">
        <f>IF(AND(OR($A13="Ítems agrupados por caso clínico o problema",$A13="Opción de Emparejamiento Ampliado"),COUNTIF($D13:$H13,"?*")&gt;0),IF(COUNTIF($Q13:$AH13,"?*")&gt;0,", ","")&amp;"sin incisos","")</f>
        <v/>
      </c>
      <c r="AJ13">
        <f>IF(AND($A13="Emparejamiento Ampliado",COUNTIF($D13:$H13,"?*")&lt;2),IF(COUNTIF($Q13:$AI13,"?*")&gt;0,", ","")&amp;"minimo 2 claves","")</f>
        <v/>
      </c>
      <c r="AK13">
        <f>IF(AND($A13="Opción de Emparejamiento Ampliado",NOT(OR(LEFT(TRIM($I13),1)="A",LEFT(TRIM($I13),1)="B",LEFT(TRIM($I13),1)="C",LEFT(TRIM($I13),1)="D",LEFT(TRIM($I13),1)="E"))),IF(COUNTIF($Q13:$AJ13,"?*")&gt;0,", ","")&amp;"respuesta A-E","")</f>
        <v/>
      </c>
      <c r="AL13">
        <f>IF(TRIM($K13)="",IF(COUNTIF($M13:$M13,"?*")&gt;0,", ","")&amp;"parcial","")</f>
        <v/>
      </c>
      <c r="AM13">
        <f>IF(AND(TRIM($K13)&lt;&gt;"",TRIM($K13)&lt;&gt;VALIDACIONES!$G$1),IF(COUNTIF($M13:$N13,"?*")&gt;0,", ","")&amp;"parcial distinto a "&amp;VALIDACIONES!$G$1,"")</f>
        <v/>
      </c>
      <c r="AN13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AO13" s="368" t="inlineStr">
        <is>
          <t>Estado Grupos</t>
        </is>
      </c>
      <c r="AP13" s="369">
        <f>IF(AND(AP9&gt;=15,AP10&gt;=30,AP11&gt;=15,AP12&gt;=60),"COMPLETA","REVISAR")</f>
        <v/>
      </c>
      <c r="AQ13" s="370" t="n"/>
    </row>
    <row r="14" ht="24" customHeight="1">
      <c r="A14" s="342" t="n"/>
      <c r="B14" s="342" t="n"/>
      <c r="C14" s="342" t="n"/>
      <c r="D14" s="342">
        <f>IF($A14="Verdadero o Falso Simple","Verdadero",IF($A14="Respuesta A/B/Ambas/Ninguna","A. Si la primera es verdadera",IF($A14="Verdadero o Falso Complejas","1. ","")))</f>
        <v/>
      </c>
      <c r="E14" s="342">
        <f>IF($A14="Verdadero o Falso Simple","Falso",IF($A14="Respuesta A/B/Ambas/Ninguna","B. Si la segunda es verdadera",IF($A14="Verdadero o Falso Complejas","2. ","")))</f>
        <v/>
      </c>
      <c r="F14" s="342">
        <f>IF($A14="Respuesta A/B/Ambas/Ninguna","C. Si ambas son verdaderas",IF($A14="Verdadero o Falso Complejas","3. ",""))</f>
        <v/>
      </c>
      <c r="G14" s="342">
        <f>IF($A14="Respuesta A/B/Ambas/Ninguna","D. Si ninguna es verdadera",IF($A14="Verdadero o Falso Complejas","4. ",""))</f>
        <v/>
      </c>
      <c r="H14" s="342">
        <f>IF($A14="Verdadero o Falso Simple","",IF($A14="Respuesta A/B/Ambas/Ninguna","",IF($A14="Verdadero o Falso Complejas","","")))</f>
        <v/>
      </c>
      <c r="I14" s="342" t="n"/>
      <c r="J14" s="342" t="n">
        <v>1</v>
      </c>
      <c r="K14" s="342" t="inlineStr">
        <is>
          <t>2P</t>
        </is>
      </c>
      <c r="L14" s="343">
        <f>IF(TRIM($A14)="","",IF(OR($A14="Selección de la mejor respuesta",$A14="SELECCION_MEJOR_RESPUESTA",$A14="Subítem de caso o problema",$A14="SUBITEM_CASO"),IF(TRIM($C14)="","Completar enunciado",IF(SUMPRODUCT(--(LEN(TRIM($D14:$H14&amp;""))&gt;0))&lt;5,"Completar opciones A-E",IF(AND(TRIM($I14)&lt;&gt;"",OR(LEFT(TRIM($I14),1)="A",LEFT(TRIM($I14),1)="B",LEFT(TRIM($I14),1)="C",LEFT(TRIM($I14),1)="D",LEFT(TRIM($I14),1)="E")),"OK","Completar respuesta correcta A-E"))),IF(TRIM($A14)="","",IF(COUNTIF($Q14:$AJ14,"?*")=0,"OK","Falta revisar: "&amp;$Q14&amp;$R14&amp;$S14&amp;$T14&amp;$U14&amp;$V14&amp;$W14&amp;$X14&amp;$Y14&amp;$Z14&amp;$AA14&amp;$AB14&amp;$AC14&amp;$AD14&amp;$AE14&amp;$AF14&amp;$AG14&amp;$AH14&amp;$AI14&amp;$AJ14))))</f>
        <v/>
      </c>
      <c r="M14" s="341" t="n"/>
      <c r="Q14">
        <f>IF(TRIM($C14)="","enunciado","")</f>
        <v/>
      </c>
      <c r="R14">
        <f>IF(TRIM($K14)="",IF(COUNTIF($Q14:$Q14,"?*")&gt;0,", ","")&amp;"parcial","")</f>
        <v/>
      </c>
      <c r="S14">
        <f>IF(AND(TRIM($K14)&lt;&gt;"",TRIM($K14)&lt;&gt;VALIDACIONES!$G$1),IF(COUNTIF($Q14:$R14,"?*")&gt;0,", ","")&amp;"parcial distinto a "&amp;VALIDACIONES!$G$1,"")</f>
        <v/>
      </c>
      <c r="T14">
        <f>IF(AND(OR($A14="Ítems agrupados por caso clínico o problema",$A14="Subítem de caso o problema",$A14="Emparejamiento Ampliado",$A14="Opción de Emparejamiento Ampliado"),TRIM($B14)=""),IF(COUNTIF($Q14:$S14,"?*")&gt;0,", ","")&amp;"grupo","")</f>
        <v/>
      </c>
      <c r="U14">
        <f>IF(AND(OR($A14="Verdadero o Falso Simple",$A14="Respuesta A/B/Ambas/Ninguna",$A14="Verdadero o Falso Complejas",$A14="Selección de la mejor respuesta",$A14="Subítem de caso o problema",$A14="Opción de Emparejamiento Ampliado"),TRIM($I14)=""),IF(COUNTIF($Q14:$T14,"?*")&gt;0,", ","")&amp;"respuesta_correcta","")</f>
        <v/>
      </c>
      <c r="V14">
        <f>IF(AND(OR($A14="Verdadero o Falso Simple",$A14="Respuesta A/B/Ambas/Ninguna",$A14="Verdadero o Falso Complejas",$A14="Selección de la mejor respuesta",$A14="Subítem de caso o problema",$A14="Opción de Emparejamiento Ampliado"),TRIM($J14)=""),IF(COUNTIF($Q14:$U14,"?*")&gt;0,", ","")&amp;"dificultad","")</f>
        <v/>
      </c>
      <c r="W14">
        <f>IF(AND(OR($A14="Ítems agrupados por caso clínico o problema",$A14="Emparejamiento Ampliado"),TRIM($I14)&lt;&gt;""),IF(COUNTIF($Q14:$V14,"?*")&gt;0,", ","")&amp;"respuesta debe ir vacia","")</f>
        <v/>
      </c>
      <c r="X14">
        <f>IF(AND(OR($A14="Ítems agrupados por caso clínico o problema",$A14="Emparejamiento Ampliado"),TRIM($J14)&lt;&gt;""),IF(COUNTIF($Q14:$W14,"?*")&gt;0,", ","")&amp;"dificultad debe ir vacia","")</f>
        <v/>
      </c>
      <c r="Y14">
        <f>IF(AND($A14="Verdadero o Falso Simple",OR(COUNTIF($D14:$E14,"?*")&lt;2,COUNTIF($F14:$H14,"?*")&gt;0)),IF(COUNTIF($Q14:$X14,"?*")&gt;0,", ","")&amp;"incisos A-B","")</f>
        <v/>
      </c>
      <c r="Z14">
        <f>IF(AND($A14="Verdadero o Falso Simple",TRIM($I14)&lt;&gt;"",NOT(OR(LEFT(TRIM($I14),1)="A",LEFT(TRIM($I14),1)="B"))),IF(COUNTIF($Q14:$Y14,"?*")&gt;0,", ","")&amp;"respuesta A-B","")</f>
        <v/>
      </c>
      <c r="AA14">
        <f>IF(AND($A14="Respuesta A/B/Ambas/Ninguna",COUNTIF($D14:$G14,"?*")&lt;4),IF(COUNTIF($Q14:$Z14,"?*")&gt;0,", ","")&amp;"opciones A-D","")</f>
        <v/>
      </c>
      <c r="AB14">
        <f>IF(AND($A14="Respuesta A/B/Ambas/Ninguna",COUNTIF($H14:$H14,"?*")&gt;0),IF(COUNTIF($Q14:$AA14,"?*")&gt;0,", ","")&amp;"opcion E deshabilitada","")</f>
        <v/>
      </c>
      <c r="AC14">
        <f>IF(AND($A14="Respuesta A/B/Ambas/Ninguna",TRIM($I14)&lt;&gt;"",NOT(OR(LEFT(TRIM($I14),1)="A",LEFT(TRIM($I14),1)="B",LEFT(TRIM($I14),1)="C",LEFT(TRIM($I14),1)="D"))),IF(COUNTIF($Q14:$AB14,"?*")&gt;0,", ","")&amp;"respuesta A-D","")</f>
        <v/>
      </c>
      <c r="AD14">
        <f>IF(AND($A14="Verdadero o Falso Complejas",OR(LEN(TRIM(SUBSTITUTE($D14,"1.","")))=0,LEN(TRIM(SUBSTITUTE($E14,"2.","")))=0,LEN(TRIM(SUBSTITUTE($F14,"3.","")))=0,LEN(TRIM(SUBSTITUTE($G14,"4.","")))=0)),IF(COUNTIF($Q14:$AC14,"?*")&gt;0,", ","")&amp;"incisos 1-4","")</f>
        <v/>
      </c>
      <c r="AE14">
        <f>IF(AND($A14="Verdadero o Falso Complejas",COUNTIF($H14:$H14,"?*")&gt;0),IF(COUNTIF($Q14:$AD14,"?*")&gt;0,", ","")&amp;"opcion E deshabilitada","")</f>
        <v/>
      </c>
      <c r="AF14">
        <f>IF(AND($A14="Verdadero o Falso Complejas",TRIM($I14)&lt;&gt;"",NOT(OR(LEFT(TRIM($I14),1)="A",LEFT(TRIM($I14),1)="B",LEFT(TRIM($I14),1)="C",LEFT(TRIM($I14),1)="D",LEFT(TRIM($I14),1)="E"))),IF(COUNTIF($Q14:$AE14,"?*")&gt;0,", ","")&amp;"respuesta A-E","")</f>
        <v/>
      </c>
      <c r="AG14">
        <f>IF(AND(OR($A14="Selección de la mejor respuesta",$A14="Subítem de caso o problema"),COUNTA($D14:$H14)&lt;5),IF(COUNTIF($Q14:$AF14,"?*")&gt;0,", ","")&amp;"incisos A-E","")</f>
        <v/>
      </c>
      <c r="AH14">
        <f>IF(AND(OR($A14="Selección de la mejor respuesta",$A14="Subítem de caso o problema"),TRIM($I14)&lt;&gt;"",NOT(OR(LEFT(TRIM($I14),1)="A",LEFT(TRIM($I14),1)="B",LEFT(TRIM($I14),1)="C",LEFT(TRIM($I14),1)="D",LEFT(TRIM($I14),1)="E"))),IF(COUNTIF($Q14:$AG14,"?*")&gt;0,", ","")&amp;"respuesta A-E","")</f>
        <v/>
      </c>
      <c r="AI14">
        <f>IF(AND(OR($A14="Ítems agrupados por caso clínico o problema",$A14="Opción de Emparejamiento Ampliado"),COUNTIF($D14:$H14,"?*")&gt;0),IF(COUNTIF($Q14:$AH14,"?*")&gt;0,", ","")&amp;"sin incisos","")</f>
        <v/>
      </c>
      <c r="AJ14">
        <f>IF(AND($A14="Emparejamiento Ampliado",COUNTIF($D14:$H14,"?*")&lt;2),IF(COUNTIF($Q14:$AI14,"?*")&gt;0,", ","")&amp;"minimo 2 claves","")</f>
        <v/>
      </c>
      <c r="AK14">
        <f>IF(AND($A14="Opción de Emparejamiento Ampliado",NOT(OR(LEFT(TRIM($I14),1)="A",LEFT(TRIM($I14),1)="B",LEFT(TRIM($I14),1)="C",LEFT(TRIM($I14),1)="D",LEFT(TRIM($I14),1)="E"))),IF(COUNTIF($Q14:$AJ14,"?*")&gt;0,", ","")&amp;"respuesta A-E","")</f>
        <v/>
      </c>
      <c r="AL14">
        <f>IF(TRIM($K14)="",IF(COUNTIF($M14:$M14,"?*")&gt;0,", ","")&amp;"parcial","")</f>
        <v/>
      </c>
      <c r="AM14">
        <f>IF(AND(TRIM($K14)&lt;&gt;"",TRIM($K14)&lt;&gt;VALIDACIONES!$G$1),IF(COUNTIF($M14:$N14,"?*")&gt;0,", ","")&amp;"parcial distinto a "&amp;VALIDACIONES!$G$1,"")</f>
        <v/>
      </c>
      <c r="AN14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AO14" s="368" t="inlineStr">
        <is>
          <t>Estado General</t>
        </is>
      </c>
      <c r="AP14" s="369">
        <f>IF(AND(AP6="COMPLETA",AP13="COMPLETA"),"APROBADO","REVISAR")</f>
        <v/>
      </c>
      <c r="AQ14" s="370" t="n"/>
    </row>
    <row r="15" ht="24" customHeight="1">
      <c r="A15" s="342" t="n"/>
      <c r="B15" s="342" t="n"/>
      <c r="C15" s="342" t="n"/>
      <c r="D15" s="342">
        <f>IF($A15="Verdadero o Falso Simple","Verdadero",IF($A15="Respuesta A/B/Ambas/Ninguna","A. Si la primera es verdadera",IF($A15="Verdadero o Falso Complejas","1. ","")))</f>
        <v/>
      </c>
      <c r="E15" s="342">
        <f>IF($A15="Verdadero o Falso Simple","Falso",IF($A15="Respuesta A/B/Ambas/Ninguna","B. Si la segunda es verdadera",IF($A15="Verdadero o Falso Complejas","2. ","")))</f>
        <v/>
      </c>
      <c r="F15" s="342">
        <f>IF($A15="Respuesta A/B/Ambas/Ninguna","C. Si ambas son verdaderas",IF($A15="Verdadero o Falso Complejas","3. ",""))</f>
        <v/>
      </c>
      <c r="G15" s="342">
        <f>IF($A15="Respuesta A/B/Ambas/Ninguna","D. Si ninguna es verdadera",IF($A15="Verdadero o Falso Complejas","4. ",""))</f>
        <v/>
      </c>
      <c r="H15" s="342">
        <f>IF($A15="Verdadero o Falso Simple","",IF($A15="Respuesta A/B/Ambas/Ninguna","",IF($A15="Verdadero o Falso Complejas","","")))</f>
        <v/>
      </c>
      <c r="I15" s="342" t="n"/>
      <c r="J15" s="342" t="n">
        <v>1</v>
      </c>
      <c r="K15" s="342" t="inlineStr">
        <is>
          <t>2P</t>
        </is>
      </c>
      <c r="L15" s="343">
        <f>IF(TRIM($A15)="","",IF(OR($A15="Selección de la mejor respuesta",$A15="SELECCION_MEJOR_RESPUESTA",$A15="Subítem de caso o problema",$A15="SUBITEM_CASO"),IF(TRIM($C15)="","Completar enunciado",IF(SUMPRODUCT(--(LEN(TRIM($D15:$H15&amp;""))&gt;0))&lt;5,"Completar opciones A-E",IF(AND(TRIM($I15)&lt;&gt;"",OR(LEFT(TRIM($I15),1)="A",LEFT(TRIM($I15),1)="B",LEFT(TRIM($I15),1)="C",LEFT(TRIM($I15),1)="D",LEFT(TRIM($I15),1)="E")),"OK","Completar respuesta correcta A-E"))),IF(TRIM($A15)="","",IF(COUNTIF($Q15:$AJ15,"?*")=0,"OK","Falta revisar: "&amp;$Q15&amp;$R15&amp;$S15&amp;$T15&amp;$U15&amp;$V15&amp;$W15&amp;$X15&amp;$Y15&amp;$Z15&amp;$AA15&amp;$AB15&amp;$AC15&amp;$AD15&amp;$AE15&amp;$AF15&amp;$AG15&amp;$AH15&amp;$AI15&amp;$AJ15))))</f>
        <v/>
      </c>
      <c r="M15" s="341" t="n"/>
      <c r="Q15">
        <f>IF(TRIM($C15)="","enunciado","")</f>
        <v/>
      </c>
      <c r="R15">
        <f>IF(TRIM($K15)="",IF(COUNTIF($Q15:$Q15,"?*")&gt;0,", ","")&amp;"parcial","")</f>
        <v/>
      </c>
      <c r="S15">
        <f>IF(AND(TRIM($K15)&lt;&gt;"",TRIM($K15)&lt;&gt;VALIDACIONES!$G$1),IF(COUNTIF($Q15:$R15,"?*")&gt;0,", ","")&amp;"parcial distinto a "&amp;VALIDACIONES!$G$1,"")</f>
        <v/>
      </c>
      <c r="T15">
        <f>IF(AND(OR($A15="Ítems agrupados por caso clínico o problema",$A15="Subítem de caso o problema",$A15="Emparejamiento Ampliado",$A15="Opción de Emparejamiento Ampliado"),TRIM($B15)=""),IF(COUNTIF($Q15:$S15,"?*")&gt;0,", ","")&amp;"grupo","")</f>
        <v/>
      </c>
      <c r="U15">
        <f>IF(AND(OR($A15="Verdadero o Falso Simple",$A15="Respuesta A/B/Ambas/Ninguna",$A15="Verdadero o Falso Complejas",$A15="Selección de la mejor respuesta",$A15="Subítem de caso o problema",$A15="Opción de Emparejamiento Ampliado"),TRIM($I15)=""),IF(COUNTIF($Q15:$T15,"?*")&gt;0,", ","")&amp;"respuesta_correcta","")</f>
        <v/>
      </c>
      <c r="V15">
        <f>IF(AND(OR($A15="Verdadero o Falso Simple",$A15="Respuesta A/B/Ambas/Ninguna",$A15="Verdadero o Falso Complejas",$A15="Selección de la mejor respuesta",$A15="Subítem de caso o problema",$A15="Opción de Emparejamiento Ampliado"),TRIM($J15)=""),IF(COUNTIF($Q15:$U15,"?*")&gt;0,", ","")&amp;"dificultad","")</f>
        <v/>
      </c>
      <c r="W15">
        <f>IF(AND(OR($A15="Ítems agrupados por caso clínico o problema",$A15="Emparejamiento Ampliado"),TRIM($I15)&lt;&gt;""),IF(COUNTIF($Q15:$V15,"?*")&gt;0,", ","")&amp;"respuesta debe ir vacia","")</f>
        <v/>
      </c>
      <c r="X15">
        <f>IF(AND(OR($A15="Ítems agrupados por caso clínico o problema",$A15="Emparejamiento Ampliado"),TRIM($J15)&lt;&gt;""),IF(COUNTIF($Q15:$W15,"?*")&gt;0,", ","")&amp;"dificultad debe ir vacia","")</f>
        <v/>
      </c>
      <c r="Y15">
        <f>IF(AND($A15="Verdadero o Falso Simple",OR(COUNTIF($D15:$E15,"?*")&lt;2,COUNTIF($F15:$H15,"?*")&gt;0)),IF(COUNTIF($Q15:$X15,"?*")&gt;0,", ","")&amp;"incisos A-B","")</f>
        <v/>
      </c>
      <c r="Z15">
        <f>IF(AND($A15="Verdadero o Falso Simple",TRIM($I15)&lt;&gt;"",NOT(OR(LEFT(TRIM($I15),1)="A",LEFT(TRIM($I15),1)="B"))),IF(COUNTIF($Q15:$Y15,"?*")&gt;0,", ","")&amp;"respuesta A-B","")</f>
        <v/>
      </c>
      <c r="AA15">
        <f>IF(AND($A15="Respuesta A/B/Ambas/Ninguna",COUNTIF($D15:$G15,"?*")&lt;4),IF(COUNTIF($Q15:$Z15,"?*")&gt;0,", ","")&amp;"opciones A-D","")</f>
        <v/>
      </c>
      <c r="AB15">
        <f>IF(AND($A15="Respuesta A/B/Ambas/Ninguna",COUNTIF($H15:$H15,"?*")&gt;0),IF(COUNTIF($Q15:$AA15,"?*")&gt;0,", ","")&amp;"opcion E deshabilitada","")</f>
        <v/>
      </c>
      <c r="AC15">
        <f>IF(AND($A15="Respuesta A/B/Ambas/Ninguna",TRIM($I15)&lt;&gt;"",NOT(OR(LEFT(TRIM($I15),1)="A",LEFT(TRIM($I15),1)="B",LEFT(TRIM($I15),1)="C",LEFT(TRIM($I15),1)="D"))),IF(COUNTIF($Q15:$AB15,"?*")&gt;0,", ","")&amp;"respuesta A-D","")</f>
        <v/>
      </c>
      <c r="AD15">
        <f>IF(AND($A15="Verdadero o Falso Complejas",OR(LEN(TRIM(SUBSTITUTE($D15,"1.","")))=0,LEN(TRIM(SUBSTITUTE($E15,"2.","")))=0,LEN(TRIM(SUBSTITUTE($F15,"3.","")))=0,LEN(TRIM(SUBSTITUTE($G15,"4.","")))=0)),IF(COUNTIF($Q15:$AC15,"?*")&gt;0,", ","")&amp;"incisos 1-4","")</f>
        <v/>
      </c>
      <c r="AE15">
        <f>IF(AND($A15="Verdadero o Falso Complejas",COUNTIF($H15:$H15,"?*")&gt;0),IF(COUNTIF($Q15:$AD15,"?*")&gt;0,", ","")&amp;"opcion E deshabilitada","")</f>
        <v/>
      </c>
      <c r="AF15">
        <f>IF(AND($A15="Verdadero o Falso Complejas",TRIM($I15)&lt;&gt;"",NOT(OR(LEFT(TRIM($I15),1)="A",LEFT(TRIM($I15),1)="B",LEFT(TRIM($I15),1)="C",LEFT(TRIM($I15),1)="D",LEFT(TRIM($I15),1)="E"))),IF(COUNTIF($Q15:$AE15,"?*")&gt;0,", ","")&amp;"respuesta A-E","")</f>
        <v/>
      </c>
      <c r="AG15">
        <f>IF(AND(OR($A15="Selección de la mejor respuesta",$A15="Subítem de caso o problema"),COUNTA($D15:$H15)&lt;5),IF(COUNTIF($Q15:$AF15,"?*")&gt;0,", ","")&amp;"incisos A-E","")</f>
        <v/>
      </c>
      <c r="AH15">
        <f>IF(AND(OR($A15="Selección de la mejor respuesta",$A15="Subítem de caso o problema"),TRIM($I15)&lt;&gt;"",NOT(OR(LEFT(TRIM($I15),1)="A",LEFT(TRIM($I15),1)="B",LEFT(TRIM($I15),1)="C",LEFT(TRIM($I15),1)="D",LEFT(TRIM($I15),1)="E"))),IF(COUNTIF($Q15:$AG15,"?*")&gt;0,", ","")&amp;"respuesta A-E","")</f>
        <v/>
      </c>
      <c r="AI15">
        <f>IF(AND(OR($A15="Ítems agrupados por caso clínico o problema",$A15="Opción de Emparejamiento Ampliado"),COUNTIF($D15:$H15,"?*")&gt;0),IF(COUNTIF($Q15:$AH15,"?*")&gt;0,", ","")&amp;"sin incisos","")</f>
        <v/>
      </c>
      <c r="AJ15">
        <f>IF(AND($A15="Emparejamiento Ampliado",COUNTIF($D15:$H15,"?*")&lt;2),IF(COUNTIF($Q15:$AI15,"?*")&gt;0,", ","")&amp;"minimo 2 claves","")</f>
        <v/>
      </c>
      <c r="AK15">
        <f>IF(AND($A15="Opción de Emparejamiento Ampliado",NOT(OR(LEFT(TRIM($I15),1)="A",LEFT(TRIM($I15),1)="B",LEFT(TRIM($I15),1)="C",LEFT(TRIM($I15),1)="D",LEFT(TRIM($I15),1)="E"))),IF(COUNTIF($Q15:$AJ15,"?*")&gt;0,", ","")&amp;"respuesta A-E","")</f>
        <v/>
      </c>
      <c r="AL15">
        <f>IF(TRIM($K15)="",IF(COUNTIF($M15:$M15,"?*")&gt;0,", ","")&amp;"parcial","")</f>
        <v/>
      </c>
      <c r="AM15">
        <f>IF(AND(TRIM($K15)&lt;&gt;"",TRIM($K15)&lt;&gt;VALIDACIONES!$G$1),IF(COUNTIF($M15:$N15,"?*")&gt;0,", ","")&amp;"parcial distinto a "&amp;VALIDACIONES!$G$1,"")</f>
        <v/>
      </c>
      <c r="AN15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</row>
    <row r="16" ht="24" customHeight="1">
      <c r="A16" s="342" t="n"/>
      <c r="B16" s="342" t="n"/>
      <c r="C16" s="342" t="n"/>
      <c r="D16" s="342">
        <f>IF($A16="Verdadero o Falso Simple","Verdadero",IF($A16="Respuesta A/B/Ambas/Ninguna","A. Si la primera es verdadera",IF($A16="Verdadero o Falso Complejas","1. ","")))</f>
        <v/>
      </c>
      <c r="E16" s="342">
        <f>IF($A16="Verdadero o Falso Simple","Falso",IF($A16="Respuesta A/B/Ambas/Ninguna","B. Si la segunda es verdadera",IF($A16="Verdadero o Falso Complejas","2. ","")))</f>
        <v/>
      </c>
      <c r="F16" s="342">
        <f>IF($A16="Respuesta A/B/Ambas/Ninguna","C. Si ambas son verdaderas",IF($A16="Verdadero o Falso Complejas","3. ",""))</f>
        <v/>
      </c>
      <c r="G16" s="342">
        <f>IF($A16="Respuesta A/B/Ambas/Ninguna","D. Si ninguna es verdadera",IF($A16="Verdadero o Falso Complejas","4. ",""))</f>
        <v/>
      </c>
      <c r="H16" s="342">
        <f>IF($A16="Verdadero o Falso Simple","",IF($A16="Respuesta A/B/Ambas/Ninguna","",IF($A16="Verdadero o Falso Complejas","","")))</f>
        <v/>
      </c>
      <c r="I16" s="342" t="n"/>
      <c r="J16" s="342" t="n">
        <v>1</v>
      </c>
      <c r="K16" s="342" t="inlineStr">
        <is>
          <t>2P</t>
        </is>
      </c>
      <c r="L16" s="343">
        <f>IF(TRIM($A16)="","",IF(OR($A16="Selección de la mejor respuesta",$A16="SELECCION_MEJOR_RESPUESTA",$A16="Subítem de caso o problema",$A16="SUBITEM_CASO"),IF(TRIM($C16)="","Completar enunciado",IF(SUMPRODUCT(--(LEN(TRIM($D16:$H16&amp;""))&gt;0))&lt;5,"Completar opciones A-E",IF(AND(TRIM($I16)&lt;&gt;"",OR(LEFT(TRIM($I16),1)="A",LEFT(TRIM($I16),1)="B",LEFT(TRIM($I16),1)="C",LEFT(TRIM($I16),1)="D",LEFT(TRIM($I16),1)="E")),"OK","Completar respuesta correcta A-E"))),IF(TRIM($A16)="","",IF(COUNTIF($Q16:$AJ16,"?*")=0,"OK","Falta revisar: "&amp;$Q16&amp;$R16&amp;$S16&amp;$T16&amp;$U16&amp;$V16&amp;$W16&amp;$X16&amp;$Y16&amp;$Z16&amp;$AA16&amp;$AB16&amp;$AC16&amp;$AD16&amp;$AE16&amp;$AF16&amp;$AG16&amp;$AH16&amp;$AI16&amp;$AJ16))))</f>
        <v/>
      </c>
      <c r="M16" s="341" t="n"/>
      <c r="Q16">
        <f>IF(TRIM($C16)="","enunciado","")</f>
        <v/>
      </c>
      <c r="R16">
        <f>IF(TRIM($K16)="",IF(COUNTIF($Q16:$Q16,"?*")&gt;0,", ","")&amp;"parcial","")</f>
        <v/>
      </c>
      <c r="S16">
        <f>IF(AND(TRIM($K16)&lt;&gt;"",TRIM($K16)&lt;&gt;VALIDACIONES!$G$1),IF(COUNTIF($Q16:$R16,"?*")&gt;0,", ","")&amp;"parcial distinto a "&amp;VALIDACIONES!$G$1,"")</f>
        <v/>
      </c>
      <c r="T16">
        <f>IF(AND(OR($A16="Ítems agrupados por caso clínico o problema",$A16="Subítem de caso o problema",$A16="Emparejamiento Ampliado",$A16="Opción de Emparejamiento Ampliado"),TRIM($B16)=""),IF(COUNTIF($Q16:$S16,"?*")&gt;0,", ","")&amp;"grupo","")</f>
        <v/>
      </c>
      <c r="U16">
        <f>IF(AND(OR($A16="Verdadero o Falso Simple",$A16="Respuesta A/B/Ambas/Ninguna",$A16="Verdadero o Falso Complejas",$A16="Selección de la mejor respuesta",$A16="Subítem de caso o problema",$A16="Opción de Emparejamiento Ampliado"),TRIM($I16)=""),IF(COUNTIF($Q16:$T16,"?*")&gt;0,", ","")&amp;"respuesta_correcta","")</f>
        <v/>
      </c>
      <c r="V16">
        <f>IF(AND(OR($A16="Verdadero o Falso Simple",$A16="Respuesta A/B/Ambas/Ninguna",$A16="Verdadero o Falso Complejas",$A16="Selección de la mejor respuesta",$A16="Subítem de caso o problema",$A16="Opción de Emparejamiento Ampliado"),TRIM($J16)=""),IF(COUNTIF($Q16:$U16,"?*")&gt;0,", ","")&amp;"dificultad","")</f>
        <v/>
      </c>
      <c r="W16">
        <f>IF(AND(OR($A16="Ítems agrupados por caso clínico o problema",$A16="Emparejamiento Ampliado"),TRIM($I16)&lt;&gt;""),IF(COUNTIF($Q16:$V16,"?*")&gt;0,", ","")&amp;"respuesta debe ir vacia","")</f>
        <v/>
      </c>
      <c r="X16">
        <f>IF(AND(OR($A16="Ítems agrupados por caso clínico o problema",$A16="Emparejamiento Ampliado"),TRIM($J16)&lt;&gt;""),IF(COUNTIF($Q16:$W16,"?*")&gt;0,", ","")&amp;"dificultad debe ir vacia","")</f>
        <v/>
      </c>
      <c r="Y16">
        <f>IF(AND($A16="Verdadero o Falso Simple",OR(COUNTIF($D16:$E16,"?*")&lt;2,COUNTIF($F16:$H16,"?*")&gt;0)),IF(COUNTIF($Q16:$X16,"?*")&gt;0,", ","")&amp;"incisos A-B","")</f>
        <v/>
      </c>
      <c r="Z16">
        <f>IF(AND($A16="Verdadero o Falso Simple",TRIM($I16)&lt;&gt;"",NOT(OR(LEFT(TRIM($I16),1)="A",LEFT(TRIM($I16),1)="B"))),IF(COUNTIF($Q16:$Y16,"?*")&gt;0,", ","")&amp;"respuesta A-B","")</f>
        <v/>
      </c>
      <c r="AA16">
        <f>IF(AND($A16="Respuesta A/B/Ambas/Ninguna",COUNTIF($D16:$G16,"?*")&lt;4),IF(COUNTIF($Q16:$Z16,"?*")&gt;0,", ","")&amp;"opciones A-D","")</f>
        <v/>
      </c>
      <c r="AB16">
        <f>IF(AND($A16="Respuesta A/B/Ambas/Ninguna",COUNTIF($H16:$H16,"?*")&gt;0),IF(COUNTIF($Q16:$AA16,"?*")&gt;0,", ","")&amp;"opcion E deshabilitada","")</f>
        <v/>
      </c>
      <c r="AC16">
        <f>IF(AND($A16="Respuesta A/B/Ambas/Ninguna",TRIM($I16)&lt;&gt;"",NOT(OR(LEFT(TRIM($I16),1)="A",LEFT(TRIM($I16),1)="B",LEFT(TRIM($I16),1)="C",LEFT(TRIM($I16),1)="D"))),IF(COUNTIF($Q16:$AB16,"?*")&gt;0,", ","")&amp;"respuesta A-D","")</f>
        <v/>
      </c>
      <c r="AD16">
        <f>IF(AND($A16="Verdadero o Falso Complejas",OR(LEN(TRIM(SUBSTITUTE($D16,"1.","")))=0,LEN(TRIM(SUBSTITUTE($E16,"2.","")))=0,LEN(TRIM(SUBSTITUTE($F16,"3.","")))=0,LEN(TRIM(SUBSTITUTE($G16,"4.","")))=0)),IF(COUNTIF($Q16:$AC16,"?*")&gt;0,", ","")&amp;"incisos 1-4","")</f>
        <v/>
      </c>
      <c r="AE16">
        <f>IF(AND($A16="Verdadero o Falso Complejas",COUNTIF($H16:$H16,"?*")&gt;0),IF(COUNTIF($Q16:$AD16,"?*")&gt;0,", ","")&amp;"opcion E deshabilitada","")</f>
        <v/>
      </c>
      <c r="AF16">
        <f>IF(AND($A16="Verdadero o Falso Complejas",TRIM($I16)&lt;&gt;"",NOT(OR(LEFT(TRIM($I16),1)="A",LEFT(TRIM($I16),1)="B",LEFT(TRIM($I16),1)="C",LEFT(TRIM($I16),1)="D",LEFT(TRIM($I16),1)="E"))),IF(COUNTIF($Q16:$AE16,"?*")&gt;0,", ","")&amp;"respuesta A-E","")</f>
        <v/>
      </c>
      <c r="AG16">
        <f>IF(AND(OR($A16="Selección de la mejor respuesta",$A16="Subítem de caso o problema"),COUNTA($D16:$H16)&lt;5),IF(COUNTIF($Q16:$AF16,"?*")&gt;0,", ","")&amp;"incisos A-E","")</f>
        <v/>
      </c>
      <c r="AH16">
        <f>IF(AND(OR($A16="Selección de la mejor respuesta",$A16="Subítem de caso o problema"),TRIM($I16)&lt;&gt;"",NOT(OR(LEFT(TRIM($I16),1)="A",LEFT(TRIM($I16),1)="B",LEFT(TRIM($I16),1)="C",LEFT(TRIM($I16),1)="D",LEFT(TRIM($I16),1)="E"))),IF(COUNTIF($Q16:$AG16,"?*")&gt;0,", ","")&amp;"respuesta A-E","")</f>
        <v/>
      </c>
      <c r="AI16">
        <f>IF(AND(OR($A16="Ítems agrupados por caso clínico o problema",$A16="Opción de Emparejamiento Ampliado"),COUNTIF($D16:$H16,"?*")&gt;0),IF(COUNTIF($Q16:$AH16,"?*")&gt;0,", ","")&amp;"sin incisos","")</f>
        <v/>
      </c>
      <c r="AJ16">
        <f>IF(AND($A16="Emparejamiento Ampliado",COUNTIF($D16:$H16,"?*")&lt;2),IF(COUNTIF($Q16:$AI16,"?*")&gt;0,", ","")&amp;"minimo 2 claves","")</f>
        <v/>
      </c>
      <c r="AK16">
        <f>IF(AND($A16="Opción de Emparejamiento Ampliado",NOT(OR(LEFT(TRIM($I16),1)="A",LEFT(TRIM($I16),1)="B",LEFT(TRIM($I16),1)="C",LEFT(TRIM($I16),1)="D",LEFT(TRIM($I16),1)="E"))),IF(COUNTIF($Q16:$AJ16,"?*")&gt;0,", ","")&amp;"respuesta A-E","")</f>
        <v/>
      </c>
      <c r="AL16">
        <f>IF(TRIM($K16)="",IF(COUNTIF($M16:$M16,"?*")&gt;0,", ","")&amp;"parcial","")</f>
        <v/>
      </c>
      <c r="AM16">
        <f>IF(AND(TRIM($K16)&lt;&gt;"",TRIM($K16)&lt;&gt;VALIDACIONES!$G$1),IF(COUNTIF($M16:$N16,"?*")&gt;0,", ","")&amp;"parcial distinto a "&amp;VALIDACIONES!$G$1,"")</f>
        <v/>
      </c>
      <c r="AN16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</row>
    <row r="17" ht="24" customHeight="1">
      <c r="A17" s="344" t="n"/>
      <c r="B17" s="344" t="n"/>
      <c r="C17" s="344" t="n"/>
      <c r="D17" s="344">
        <f>IF($A17="Verdadero o Falso Simple","Verdadero",IF($A17="Respuesta A/B/Ambas/Ninguna","A. Si la primera es verdadera",IF($A17="Verdadero o Falso Complejas","1. ","")))</f>
        <v/>
      </c>
      <c r="E17" s="344">
        <f>IF($A17="Verdadero o Falso Simple","Falso",IF($A17="Respuesta A/B/Ambas/Ninguna","B. Si la segunda es verdadera",IF($A17="Verdadero o Falso Complejas","2. ","")))</f>
        <v/>
      </c>
      <c r="F17" s="344">
        <f>IF($A17="Respuesta A/B/Ambas/Ninguna","C. Si ambas son verdaderas",IF($A17="Verdadero o Falso Complejas","3. ",""))</f>
        <v/>
      </c>
      <c r="G17" s="344">
        <f>IF($A17="Respuesta A/B/Ambas/Ninguna","D. Si ninguna es verdadera",IF($A17="Verdadero o Falso Complejas","4. ",""))</f>
        <v/>
      </c>
      <c r="H17" s="344">
        <f>IF($A17="Verdadero o Falso Simple","",IF($A17="Respuesta A/B/Ambas/Ninguna","",IF($A17="Verdadero o Falso Complejas","","")))</f>
        <v/>
      </c>
      <c r="I17" s="344" t="n"/>
      <c r="J17" s="344" t="n">
        <v>2</v>
      </c>
      <c r="K17" s="344" t="inlineStr">
        <is>
          <t>2P</t>
        </is>
      </c>
      <c r="L17" s="345">
        <f>IF(TRIM($A17)="","",IF(OR($A17="Selección de la mejor respuesta",$A17="SELECCION_MEJOR_RESPUESTA",$A17="Subítem de caso o problema",$A17="SUBITEM_CASO"),IF(TRIM($C17)="","Completar enunciado",IF(SUMPRODUCT(--(LEN(TRIM($D17:$H17&amp;""))&gt;0))&lt;5,"Completar opciones A-E",IF(AND(TRIM($I17)&lt;&gt;"",OR(LEFT(TRIM($I17),1)="A",LEFT(TRIM($I17),1)="B",LEFT(TRIM($I17),1)="C",LEFT(TRIM($I17),1)="D",LEFT(TRIM($I17),1)="E")),"OK","Completar respuesta correcta A-E"))),IF(TRIM($A17)="","",IF(COUNTIF($Q17:$AJ17,"?*")=0,"OK","Falta revisar: "&amp;$Q17&amp;$R17&amp;$S17&amp;$T17&amp;$U17&amp;$V17&amp;$W17&amp;$X17&amp;$Y17&amp;$Z17&amp;$AA17&amp;$AB17&amp;$AC17&amp;$AD17&amp;$AE17&amp;$AF17&amp;$AG17&amp;$AH17&amp;$AI17&amp;$AJ17))))</f>
        <v/>
      </c>
      <c r="M17" s="341" t="n"/>
      <c r="Q17">
        <f>IF(TRIM($C17)="","enunciado","")</f>
        <v/>
      </c>
      <c r="R17">
        <f>IF(TRIM($K17)="",IF(COUNTIF($Q17:$Q17,"?*")&gt;0,", ","")&amp;"parcial","")</f>
        <v/>
      </c>
      <c r="S17">
        <f>IF(AND(TRIM($K17)&lt;&gt;"",TRIM($K17)&lt;&gt;VALIDACIONES!$G$1),IF(COUNTIF($Q17:$R17,"?*")&gt;0,", ","")&amp;"parcial distinto a "&amp;VALIDACIONES!$G$1,"")</f>
        <v/>
      </c>
      <c r="T17">
        <f>IF(AND(OR($A17="Ítems agrupados por caso clínico o problema",$A17="Subítem de caso o problema",$A17="Emparejamiento Ampliado",$A17="Opción de Emparejamiento Ampliado"),TRIM($B17)=""),IF(COUNTIF($Q17:$S17,"?*")&gt;0,", ","")&amp;"grupo","")</f>
        <v/>
      </c>
      <c r="U17">
        <f>IF(AND(OR($A17="Verdadero o Falso Simple",$A17="Respuesta A/B/Ambas/Ninguna",$A17="Verdadero o Falso Complejas",$A17="Selección de la mejor respuesta",$A17="Subítem de caso o problema",$A17="Opción de Emparejamiento Ampliado"),TRIM($I17)=""),IF(COUNTIF($Q17:$T17,"?*")&gt;0,", ","")&amp;"respuesta_correcta","")</f>
        <v/>
      </c>
      <c r="V17">
        <f>IF(AND(OR($A17="Verdadero o Falso Simple",$A17="Respuesta A/B/Ambas/Ninguna",$A17="Verdadero o Falso Complejas",$A17="Selección de la mejor respuesta",$A17="Subítem de caso o problema",$A17="Opción de Emparejamiento Ampliado"),TRIM($J17)=""),IF(COUNTIF($Q17:$U17,"?*")&gt;0,", ","")&amp;"dificultad","")</f>
        <v/>
      </c>
      <c r="W17">
        <f>IF(AND(OR($A17="Ítems agrupados por caso clínico o problema",$A17="Emparejamiento Ampliado"),TRIM($I17)&lt;&gt;""),IF(COUNTIF($Q17:$V17,"?*")&gt;0,", ","")&amp;"respuesta debe ir vacia","")</f>
        <v/>
      </c>
      <c r="X17">
        <f>IF(AND(OR($A17="Ítems agrupados por caso clínico o problema",$A17="Emparejamiento Ampliado"),TRIM($J17)&lt;&gt;""),IF(COUNTIF($Q17:$W17,"?*")&gt;0,", ","")&amp;"dificultad debe ir vacia","")</f>
        <v/>
      </c>
      <c r="Y17">
        <f>IF(AND($A17="Verdadero o Falso Simple",OR(COUNTIF($D17:$E17,"?*")&lt;2,COUNTIF($F17:$H17,"?*")&gt;0)),IF(COUNTIF($Q17:$X17,"?*")&gt;0,", ","")&amp;"incisos A-B","")</f>
        <v/>
      </c>
      <c r="Z17">
        <f>IF(AND($A17="Verdadero o Falso Simple",TRIM($I17)&lt;&gt;"",NOT(OR(LEFT(TRIM($I17),1)="A",LEFT(TRIM($I17),1)="B"))),IF(COUNTIF($Q17:$Y17,"?*")&gt;0,", ","")&amp;"respuesta A-B","")</f>
        <v/>
      </c>
      <c r="AA17">
        <f>IF(AND($A17="Respuesta A/B/Ambas/Ninguna",COUNTIF($D17:$G17,"?*")&lt;4),IF(COUNTIF($Q17:$Z17,"?*")&gt;0,", ","")&amp;"opciones A-D","")</f>
        <v/>
      </c>
      <c r="AB17">
        <f>IF(AND($A17="Respuesta A/B/Ambas/Ninguna",COUNTIF($H17:$H17,"?*")&gt;0),IF(COUNTIF($Q17:$AA17,"?*")&gt;0,", ","")&amp;"opcion E deshabilitada","")</f>
        <v/>
      </c>
      <c r="AC17">
        <f>IF(AND($A17="Respuesta A/B/Ambas/Ninguna",TRIM($I17)&lt;&gt;"",NOT(OR(LEFT(TRIM($I17),1)="A",LEFT(TRIM($I17),1)="B",LEFT(TRIM($I17),1)="C",LEFT(TRIM($I17),1)="D"))),IF(COUNTIF($Q17:$AB17,"?*")&gt;0,", ","")&amp;"respuesta A-D","")</f>
        <v/>
      </c>
      <c r="AD17">
        <f>IF(AND($A17="Verdadero o Falso Complejas",OR(LEN(TRIM(SUBSTITUTE($D17,"1.","")))=0,LEN(TRIM(SUBSTITUTE($E17,"2.","")))=0,LEN(TRIM(SUBSTITUTE($F17,"3.","")))=0,LEN(TRIM(SUBSTITUTE($G17,"4.","")))=0)),IF(COUNTIF($Q17:$AC17,"?*")&gt;0,", ","")&amp;"incisos 1-4","")</f>
        <v/>
      </c>
      <c r="AE17">
        <f>IF(AND($A17="Verdadero o Falso Complejas",COUNTIF($H17:$H17,"?*")&gt;0),IF(COUNTIF($Q17:$AD17,"?*")&gt;0,", ","")&amp;"opcion E deshabilitada","")</f>
        <v/>
      </c>
      <c r="AF17">
        <f>IF(AND($A17="Verdadero o Falso Complejas",TRIM($I17)&lt;&gt;"",NOT(OR(LEFT(TRIM($I17),1)="A",LEFT(TRIM($I17),1)="B",LEFT(TRIM($I17),1)="C",LEFT(TRIM($I17),1)="D",LEFT(TRIM($I17),1)="E"))),IF(COUNTIF($Q17:$AE17,"?*")&gt;0,", ","")&amp;"respuesta A-E","")</f>
        <v/>
      </c>
      <c r="AG17">
        <f>IF(AND(OR($A17="Selección de la mejor respuesta",$A17="Subítem de caso o problema"),COUNTA($D17:$H17)&lt;5),IF(COUNTIF($Q17:$AF17,"?*")&gt;0,", ","")&amp;"incisos A-E","")</f>
        <v/>
      </c>
      <c r="AH17">
        <f>IF(AND(OR($A17="Selección de la mejor respuesta",$A17="Subítem de caso o problema"),TRIM($I17)&lt;&gt;"",NOT(OR(LEFT(TRIM($I17),1)="A",LEFT(TRIM($I17),1)="B",LEFT(TRIM($I17),1)="C",LEFT(TRIM($I17),1)="D",LEFT(TRIM($I17),1)="E"))),IF(COUNTIF($Q17:$AG17,"?*")&gt;0,", ","")&amp;"respuesta A-E","")</f>
        <v/>
      </c>
      <c r="AI17">
        <f>IF(AND(OR($A17="Ítems agrupados por caso clínico o problema",$A17="Opción de Emparejamiento Ampliado"),COUNTIF($D17:$H17,"?*")&gt;0),IF(COUNTIF($Q17:$AH17,"?*")&gt;0,", ","")&amp;"sin incisos","")</f>
        <v/>
      </c>
      <c r="AJ17">
        <f>IF(AND($A17="Emparejamiento Ampliado",COUNTIF($D17:$H17,"?*")&lt;2),IF(COUNTIF($Q17:$AI17,"?*")&gt;0,", ","")&amp;"minimo 2 claves","")</f>
        <v/>
      </c>
      <c r="AK17">
        <f>IF(AND($A17="Opción de Emparejamiento Ampliado",NOT(OR(LEFT(TRIM($I17),1)="A",LEFT(TRIM($I17),1)="B",LEFT(TRIM($I17),1)="C",LEFT(TRIM($I17),1)="D",LEFT(TRIM($I17),1)="E"))),IF(COUNTIF($Q17:$AJ17,"?*")&gt;0,", ","")&amp;"respuesta A-E","")</f>
        <v/>
      </c>
      <c r="AL17">
        <f>IF(TRIM($K17)="",IF(COUNTIF($M17:$M17,"?*")&gt;0,", ","")&amp;"parcial","")</f>
        <v/>
      </c>
      <c r="AM17">
        <f>IF(AND(TRIM($K17)&lt;&gt;"",TRIM($K17)&lt;&gt;VALIDACIONES!$G$1),IF(COUNTIF($M17:$N17,"?*")&gt;0,", ","")&amp;"parcial distinto a "&amp;VALIDACIONES!$G$1,"")</f>
        <v/>
      </c>
      <c r="AN17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</row>
    <row r="18" ht="24" customHeight="1">
      <c r="A18" s="344" t="n"/>
      <c r="B18" s="344" t="n"/>
      <c r="C18" s="344" t="n"/>
      <c r="D18" s="344">
        <f>IF($A18="Verdadero o Falso Simple","Verdadero",IF($A18="Respuesta A/B/Ambas/Ninguna","A. Si la primera es verdadera",IF($A18="Verdadero o Falso Complejas","1. ","")))</f>
        <v/>
      </c>
      <c r="E18" s="344">
        <f>IF($A18="Verdadero o Falso Simple","Falso",IF($A18="Respuesta A/B/Ambas/Ninguna","B. Si la segunda es verdadera",IF($A18="Verdadero o Falso Complejas","2. ","")))</f>
        <v/>
      </c>
      <c r="F18" s="344">
        <f>IF($A18="Respuesta A/B/Ambas/Ninguna","C. Si ambas son verdaderas",IF($A18="Verdadero o Falso Complejas","3. ",""))</f>
        <v/>
      </c>
      <c r="G18" s="344">
        <f>IF($A18="Respuesta A/B/Ambas/Ninguna","D. Si ninguna es verdadera",IF($A18="Verdadero o Falso Complejas","4. ",""))</f>
        <v/>
      </c>
      <c r="H18" s="344">
        <f>IF($A18="Verdadero o Falso Simple","",IF($A18="Respuesta A/B/Ambas/Ninguna","",IF($A18="Verdadero o Falso Complejas","","")))</f>
        <v/>
      </c>
      <c r="I18" s="344" t="n"/>
      <c r="J18" s="344" t="n">
        <v>2</v>
      </c>
      <c r="K18" s="344" t="inlineStr">
        <is>
          <t>2P</t>
        </is>
      </c>
      <c r="L18" s="345">
        <f>IF(TRIM($A18)="","",IF(OR($A18="Selección de la mejor respuesta",$A18="SELECCION_MEJOR_RESPUESTA",$A18="Subítem de caso o problema",$A18="SUBITEM_CASO"),IF(TRIM($C18)="","Completar enunciado",IF(SUMPRODUCT(--(LEN(TRIM($D18:$H18&amp;""))&gt;0))&lt;5,"Completar opciones A-E",IF(AND(TRIM($I18)&lt;&gt;"",OR(LEFT(TRIM($I18),1)="A",LEFT(TRIM($I18),1)="B",LEFT(TRIM($I18),1)="C",LEFT(TRIM($I18),1)="D",LEFT(TRIM($I18),1)="E")),"OK","Completar respuesta correcta A-E"))),IF(TRIM($A18)="","",IF(COUNTIF($Q18:$AJ18,"?*")=0,"OK","Falta revisar: "&amp;$Q18&amp;$R18&amp;$S18&amp;$T18&amp;$U18&amp;$V18&amp;$W18&amp;$X18&amp;$Y18&amp;$Z18&amp;$AA18&amp;$AB18&amp;$AC18&amp;$AD18&amp;$AE18&amp;$AF18&amp;$AG18&amp;$AH18&amp;$AI18&amp;$AJ18))))</f>
        <v/>
      </c>
      <c r="M18" s="341" t="n"/>
      <c r="Q18">
        <f>IF(TRIM($C18)="","enunciado","")</f>
        <v/>
      </c>
      <c r="R18">
        <f>IF(TRIM($K18)="",IF(COUNTIF($Q18:$Q18,"?*")&gt;0,", ","")&amp;"parcial","")</f>
        <v/>
      </c>
      <c r="S18">
        <f>IF(AND(TRIM($K18)&lt;&gt;"",TRIM($K18)&lt;&gt;VALIDACIONES!$G$1),IF(COUNTIF($Q18:$R18,"?*")&gt;0,", ","")&amp;"parcial distinto a "&amp;VALIDACIONES!$G$1,"")</f>
        <v/>
      </c>
      <c r="T18">
        <f>IF(AND(OR($A18="Ítems agrupados por caso clínico o problema",$A18="Subítem de caso o problema",$A18="Emparejamiento Ampliado",$A18="Opción de Emparejamiento Ampliado"),TRIM($B18)=""),IF(COUNTIF($Q18:$S18,"?*")&gt;0,", ","")&amp;"grupo","")</f>
        <v/>
      </c>
      <c r="U18">
        <f>IF(AND(OR($A18="Verdadero o Falso Simple",$A18="Respuesta A/B/Ambas/Ninguna",$A18="Verdadero o Falso Complejas",$A18="Selección de la mejor respuesta",$A18="Subítem de caso o problema",$A18="Opción de Emparejamiento Ampliado"),TRIM($I18)=""),IF(COUNTIF($Q18:$T18,"?*")&gt;0,", ","")&amp;"respuesta_correcta","")</f>
        <v/>
      </c>
      <c r="V18">
        <f>IF(AND(OR($A18="Verdadero o Falso Simple",$A18="Respuesta A/B/Ambas/Ninguna",$A18="Verdadero o Falso Complejas",$A18="Selección de la mejor respuesta",$A18="Subítem de caso o problema",$A18="Opción de Emparejamiento Ampliado"),TRIM($J18)=""),IF(COUNTIF($Q18:$U18,"?*")&gt;0,", ","")&amp;"dificultad","")</f>
        <v/>
      </c>
      <c r="W18">
        <f>IF(AND(OR($A18="Ítems agrupados por caso clínico o problema",$A18="Emparejamiento Ampliado"),TRIM($I18)&lt;&gt;""),IF(COUNTIF($Q18:$V18,"?*")&gt;0,", ","")&amp;"respuesta debe ir vacia","")</f>
        <v/>
      </c>
      <c r="X18">
        <f>IF(AND(OR($A18="Ítems agrupados por caso clínico o problema",$A18="Emparejamiento Ampliado"),TRIM($J18)&lt;&gt;""),IF(COUNTIF($Q18:$W18,"?*")&gt;0,", ","")&amp;"dificultad debe ir vacia","")</f>
        <v/>
      </c>
      <c r="Y18">
        <f>IF(AND($A18="Verdadero o Falso Simple",OR(COUNTIF($D18:$E18,"?*")&lt;2,COUNTIF($F18:$H18,"?*")&gt;0)),IF(COUNTIF($Q18:$X18,"?*")&gt;0,", ","")&amp;"incisos A-B","")</f>
        <v/>
      </c>
      <c r="Z18">
        <f>IF(AND($A18="Verdadero o Falso Simple",TRIM($I18)&lt;&gt;"",NOT(OR(LEFT(TRIM($I18),1)="A",LEFT(TRIM($I18),1)="B"))),IF(COUNTIF($Q18:$Y18,"?*")&gt;0,", ","")&amp;"respuesta A-B","")</f>
        <v/>
      </c>
      <c r="AA18">
        <f>IF(AND($A18="Respuesta A/B/Ambas/Ninguna",COUNTIF($D18:$G18,"?*")&lt;4),IF(COUNTIF($Q18:$Z18,"?*")&gt;0,", ","")&amp;"opciones A-D","")</f>
        <v/>
      </c>
      <c r="AB18">
        <f>IF(AND($A18="Respuesta A/B/Ambas/Ninguna",COUNTIF($H18:$H18,"?*")&gt;0),IF(COUNTIF($Q18:$AA18,"?*")&gt;0,", ","")&amp;"opcion E deshabilitada","")</f>
        <v/>
      </c>
      <c r="AC18">
        <f>IF(AND($A18="Respuesta A/B/Ambas/Ninguna",TRIM($I18)&lt;&gt;"",NOT(OR(LEFT(TRIM($I18),1)="A",LEFT(TRIM($I18),1)="B",LEFT(TRIM($I18),1)="C",LEFT(TRIM($I18),1)="D"))),IF(COUNTIF($Q18:$AB18,"?*")&gt;0,", ","")&amp;"respuesta A-D","")</f>
        <v/>
      </c>
      <c r="AD18">
        <f>IF(AND($A18="Verdadero o Falso Complejas",OR(LEN(TRIM(SUBSTITUTE($D18,"1.","")))=0,LEN(TRIM(SUBSTITUTE($E18,"2.","")))=0,LEN(TRIM(SUBSTITUTE($F18,"3.","")))=0,LEN(TRIM(SUBSTITUTE($G18,"4.","")))=0)),IF(COUNTIF($Q18:$AC18,"?*")&gt;0,", ","")&amp;"incisos 1-4","")</f>
        <v/>
      </c>
      <c r="AE18">
        <f>IF(AND($A18="Verdadero o Falso Complejas",COUNTIF($H18:$H18,"?*")&gt;0),IF(COUNTIF($Q18:$AD18,"?*")&gt;0,", ","")&amp;"opcion E deshabilitada","")</f>
        <v/>
      </c>
      <c r="AF18">
        <f>IF(AND($A18="Verdadero o Falso Complejas",TRIM($I18)&lt;&gt;"",NOT(OR(LEFT(TRIM($I18),1)="A",LEFT(TRIM($I18),1)="B",LEFT(TRIM($I18),1)="C",LEFT(TRIM($I18),1)="D",LEFT(TRIM($I18),1)="E"))),IF(COUNTIF($Q18:$AE18,"?*")&gt;0,", ","")&amp;"respuesta A-E","")</f>
        <v/>
      </c>
      <c r="AG18">
        <f>IF(AND(OR($A18="Selección de la mejor respuesta",$A18="Subítem de caso o problema"),COUNTA($D18:$H18)&lt;5),IF(COUNTIF($Q18:$AF18,"?*")&gt;0,", ","")&amp;"incisos A-E","")</f>
        <v/>
      </c>
      <c r="AH18">
        <f>IF(AND(OR($A18="Selección de la mejor respuesta",$A18="Subítem de caso o problema"),TRIM($I18)&lt;&gt;"",NOT(OR(LEFT(TRIM($I18),1)="A",LEFT(TRIM($I18),1)="B",LEFT(TRIM($I18),1)="C",LEFT(TRIM($I18),1)="D",LEFT(TRIM($I18),1)="E"))),IF(COUNTIF($Q18:$AG18,"?*")&gt;0,", ","")&amp;"respuesta A-E","")</f>
        <v/>
      </c>
      <c r="AI18">
        <f>IF(AND(OR($A18="Ítems agrupados por caso clínico o problema",$A18="Opción de Emparejamiento Ampliado"),COUNTIF($D18:$H18,"?*")&gt;0),IF(COUNTIF($Q18:$AH18,"?*")&gt;0,", ","")&amp;"sin incisos","")</f>
        <v/>
      </c>
      <c r="AJ18">
        <f>IF(AND($A18="Emparejamiento Ampliado",COUNTIF($D18:$H18,"?*")&lt;2),IF(COUNTIF($Q18:$AI18,"?*")&gt;0,", ","")&amp;"minimo 2 claves","")</f>
        <v/>
      </c>
      <c r="AK18">
        <f>IF(AND($A18="Opción de Emparejamiento Ampliado",NOT(OR(LEFT(TRIM($I18),1)="A",LEFT(TRIM($I18),1)="B",LEFT(TRIM($I18),1)="C",LEFT(TRIM($I18),1)="D",LEFT(TRIM($I18),1)="E"))),IF(COUNTIF($Q18:$AJ18,"?*")&gt;0,", ","")&amp;"respuesta A-E","")</f>
        <v/>
      </c>
      <c r="AL18">
        <f>IF(TRIM($K18)="",IF(COUNTIF($M18:$M18,"?*")&gt;0,", ","")&amp;"parcial","")</f>
        <v/>
      </c>
      <c r="AM18">
        <f>IF(AND(TRIM($K18)&lt;&gt;"",TRIM($K18)&lt;&gt;VALIDACIONES!$G$1),IF(COUNTIF($M18:$N18,"?*")&gt;0,", ","")&amp;"parcial distinto a "&amp;VALIDACIONES!$G$1,"")</f>
        <v/>
      </c>
      <c r="AN18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</row>
    <row r="19" ht="24" customHeight="1">
      <c r="A19" s="344" t="n"/>
      <c r="B19" s="344" t="n"/>
      <c r="C19" s="344" t="n"/>
      <c r="D19" s="344">
        <f>IF($A19="Verdadero o Falso Simple","Verdadero",IF($A19="Respuesta A/B/Ambas/Ninguna","A. Si la primera es verdadera",IF($A19="Verdadero o Falso Complejas","1. ","")))</f>
        <v/>
      </c>
      <c r="E19" s="344">
        <f>IF($A19="Verdadero o Falso Simple","Falso",IF($A19="Respuesta A/B/Ambas/Ninguna","B. Si la segunda es verdadera",IF($A19="Verdadero o Falso Complejas","2. ","")))</f>
        <v/>
      </c>
      <c r="F19" s="344">
        <f>IF($A19="Respuesta A/B/Ambas/Ninguna","C. Si ambas son verdaderas",IF($A19="Verdadero o Falso Complejas","3. ",""))</f>
        <v/>
      </c>
      <c r="G19" s="344">
        <f>IF($A19="Respuesta A/B/Ambas/Ninguna","D. Si ninguna es verdadera",IF($A19="Verdadero o Falso Complejas","4. ",""))</f>
        <v/>
      </c>
      <c r="H19" s="344">
        <f>IF($A19="Verdadero o Falso Simple","",IF($A19="Respuesta A/B/Ambas/Ninguna","",IF($A19="Verdadero o Falso Complejas","","")))</f>
        <v/>
      </c>
      <c r="I19" s="344" t="n"/>
      <c r="J19" s="344" t="n">
        <v>2</v>
      </c>
      <c r="K19" s="344" t="inlineStr">
        <is>
          <t>2P</t>
        </is>
      </c>
      <c r="L19" s="345">
        <f>IF(TRIM($A19)="","",IF(OR($A19="Selección de la mejor respuesta",$A19="SELECCION_MEJOR_RESPUESTA",$A19="Subítem de caso o problema",$A19="SUBITEM_CASO"),IF(TRIM($C19)="","Completar enunciado",IF(SUMPRODUCT(--(LEN(TRIM($D19:$H19&amp;""))&gt;0))&lt;5,"Completar opciones A-E",IF(AND(TRIM($I19)&lt;&gt;"",OR(LEFT(TRIM($I19),1)="A",LEFT(TRIM($I19),1)="B",LEFT(TRIM($I19),1)="C",LEFT(TRIM($I19),1)="D",LEFT(TRIM($I19),1)="E")),"OK","Completar respuesta correcta A-E"))),IF(TRIM($A19)="","",IF(COUNTIF($Q19:$AJ19,"?*")=0,"OK","Falta revisar: "&amp;$Q19&amp;$R19&amp;$S19&amp;$T19&amp;$U19&amp;$V19&amp;$W19&amp;$X19&amp;$Y19&amp;$Z19&amp;$AA19&amp;$AB19&amp;$AC19&amp;$AD19&amp;$AE19&amp;$AF19&amp;$AG19&amp;$AH19&amp;$AI19&amp;$AJ19))))</f>
        <v/>
      </c>
      <c r="M19" s="341" t="n"/>
      <c r="Q19">
        <f>IF(TRIM($C19)="","enunciado","")</f>
        <v/>
      </c>
      <c r="R19">
        <f>IF(TRIM($K19)="",IF(COUNTIF($Q19:$Q19,"?*")&gt;0,", ","")&amp;"parcial","")</f>
        <v/>
      </c>
      <c r="S19">
        <f>IF(AND(TRIM($K19)&lt;&gt;"",TRIM($K19)&lt;&gt;VALIDACIONES!$G$1),IF(COUNTIF($Q19:$R19,"?*")&gt;0,", ","")&amp;"parcial distinto a "&amp;VALIDACIONES!$G$1,"")</f>
        <v/>
      </c>
      <c r="T19">
        <f>IF(AND(OR($A19="Ítems agrupados por caso clínico o problema",$A19="Subítem de caso o problema",$A19="Emparejamiento Ampliado",$A19="Opción de Emparejamiento Ampliado"),TRIM($B19)=""),IF(COUNTIF($Q19:$S19,"?*")&gt;0,", ","")&amp;"grupo","")</f>
        <v/>
      </c>
      <c r="U19">
        <f>IF(AND(OR($A19="Verdadero o Falso Simple",$A19="Respuesta A/B/Ambas/Ninguna",$A19="Verdadero o Falso Complejas",$A19="Selección de la mejor respuesta",$A19="Subítem de caso o problema",$A19="Opción de Emparejamiento Ampliado"),TRIM($I19)=""),IF(COUNTIF($Q19:$T19,"?*")&gt;0,", ","")&amp;"respuesta_correcta","")</f>
        <v/>
      </c>
      <c r="V19">
        <f>IF(AND(OR($A19="Verdadero o Falso Simple",$A19="Respuesta A/B/Ambas/Ninguna",$A19="Verdadero o Falso Complejas",$A19="Selección de la mejor respuesta",$A19="Subítem de caso o problema",$A19="Opción de Emparejamiento Ampliado"),TRIM($J19)=""),IF(COUNTIF($Q19:$U19,"?*")&gt;0,", ","")&amp;"dificultad","")</f>
        <v/>
      </c>
      <c r="W19">
        <f>IF(AND(OR($A19="Ítems agrupados por caso clínico o problema",$A19="Emparejamiento Ampliado"),TRIM($I19)&lt;&gt;""),IF(COUNTIF($Q19:$V19,"?*")&gt;0,", ","")&amp;"respuesta debe ir vacia","")</f>
        <v/>
      </c>
      <c r="X19">
        <f>IF(AND(OR($A19="Ítems agrupados por caso clínico o problema",$A19="Emparejamiento Ampliado"),TRIM($J19)&lt;&gt;""),IF(COUNTIF($Q19:$W19,"?*")&gt;0,", ","")&amp;"dificultad debe ir vacia","")</f>
        <v/>
      </c>
      <c r="Y19">
        <f>IF(AND($A19="Verdadero o Falso Simple",OR(COUNTIF($D19:$E19,"?*")&lt;2,COUNTIF($F19:$H19,"?*")&gt;0)),IF(COUNTIF($Q19:$X19,"?*")&gt;0,", ","")&amp;"incisos A-B","")</f>
        <v/>
      </c>
      <c r="Z19">
        <f>IF(AND($A19="Verdadero o Falso Simple",TRIM($I19)&lt;&gt;"",NOT(OR(LEFT(TRIM($I19),1)="A",LEFT(TRIM($I19),1)="B"))),IF(COUNTIF($Q19:$Y19,"?*")&gt;0,", ","")&amp;"respuesta A-B","")</f>
        <v/>
      </c>
      <c r="AA19">
        <f>IF(AND($A19="Respuesta A/B/Ambas/Ninguna",COUNTIF($D19:$G19,"?*")&lt;4),IF(COUNTIF($Q19:$Z19,"?*")&gt;0,", ","")&amp;"opciones A-D","")</f>
        <v/>
      </c>
      <c r="AB19">
        <f>IF(AND($A19="Respuesta A/B/Ambas/Ninguna",COUNTIF($H19:$H19,"?*")&gt;0),IF(COUNTIF($Q19:$AA19,"?*")&gt;0,", ","")&amp;"opcion E deshabilitada","")</f>
        <v/>
      </c>
      <c r="AC19">
        <f>IF(AND($A19="Respuesta A/B/Ambas/Ninguna",TRIM($I19)&lt;&gt;"",NOT(OR(LEFT(TRIM($I19),1)="A",LEFT(TRIM($I19),1)="B",LEFT(TRIM($I19),1)="C",LEFT(TRIM($I19),1)="D"))),IF(COUNTIF($Q19:$AB19,"?*")&gt;0,", ","")&amp;"respuesta A-D","")</f>
        <v/>
      </c>
      <c r="AD19">
        <f>IF(AND($A19="Verdadero o Falso Complejas",OR(LEN(TRIM(SUBSTITUTE($D19,"1.","")))=0,LEN(TRIM(SUBSTITUTE($E19,"2.","")))=0,LEN(TRIM(SUBSTITUTE($F19,"3.","")))=0,LEN(TRIM(SUBSTITUTE($G19,"4.","")))=0)),IF(COUNTIF($Q19:$AC19,"?*")&gt;0,", ","")&amp;"incisos 1-4","")</f>
        <v/>
      </c>
      <c r="AE19">
        <f>IF(AND($A19="Verdadero o Falso Complejas",COUNTIF($H19:$H19,"?*")&gt;0),IF(COUNTIF($Q19:$AD19,"?*")&gt;0,", ","")&amp;"opcion E deshabilitada","")</f>
        <v/>
      </c>
      <c r="AF19">
        <f>IF(AND($A19="Verdadero o Falso Complejas",TRIM($I19)&lt;&gt;"",NOT(OR(LEFT(TRIM($I19),1)="A",LEFT(TRIM($I19),1)="B",LEFT(TRIM($I19),1)="C",LEFT(TRIM($I19),1)="D",LEFT(TRIM($I19),1)="E"))),IF(COUNTIF($Q19:$AE19,"?*")&gt;0,", ","")&amp;"respuesta A-E","")</f>
        <v/>
      </c>
      <c r="AG19">
        <f>IF(AND(OR($A19="Selección de la mejor respuesta",$A19="Subítem de caso o problema"),COUNTA($D19:$H19)&lt;5),IF(COUNTIF($Q19:$AF19,"?*")&gt;0,", ","")&amp;"incisos A-E","")</f>
        <v/>
      </c>
      <c r="AH19">
        <f>IF(AND(OR($A19="Selección de la mejor respuesta",$A19="Subítem de caso o problema"),TRIM($I19)&lt;&gt;"",NOT(OR(LEFT(TRIM($I19),1)="A",LEFT(TRIM($I19),1)="B",LEFT(TRIM($I19),1)="C",LEFT(TRIM($I19),1)="D",LEFT(TRIM($I19),1)="E"))),IF(COUNTIF($Q19:$AG19,"?*")&gt;0,", ","")&amp;"respuesta A-E","")</f>
        <v/>
      </c>
      <c r="AI19">
        <f>IF(AND(OR($A19="Ítems agrupados por caso clínico o problema",$A19="Opción de Emparejamiento Ampliado"),COUNTIF($D19:$H19,"?*")&gt;0),IF(COUNTIF($Q19:$AH19,"?*")&gt;0,", ","")&amp;"sin incisos","")</f>
        <v/>
      </c>
      <c r="AJ19">
        <f>IF(AND($A19="Emparejamiento Ampliado",COUNTIF($D19:$H19,"?*")&lt;2),IF(COUNTIF($Q19:$AI19,"?*")&gt;0,", ","")&amp;"minimo 2 claves","")</f>
        <v/>
      </c>
      <c r="AK19">
        <f>IF(AND($A19="Opción de Emparejamiento Ampliado",NOT(OR(LEFT(TRIM($I19),1)="A",LEFT(TRIM($I19),1)="B",LEFT(TRIM($I19),1)="C",LEFT(TRIM($I19),1)="D",LEFT(TRIM($I19),1)="E"))),IF(COUNTIF($Q19:$AJ19,"?*")&gt;0,", ","")&amp;"respuesta A-E","")</f>
        <v/>
      </c>
      <c r="AL19">
        <f>IF(TRIM($K19)="",IF(COUNTIF($M19:$M19,"?*")&gt;0,", ","")&amp;"parcial","")</f>
        <v/>
      </c>
      <c r="AM19">
        <f>IF(AND(TRIM($K19)&lt;&gt;"",TRIM($K19)&lt;&gt;VALIDACIONES!$G$1),IF(COUNTIF($M19:$N19,"?*")&gt;0,", ","")&amp;"parcial distinto a "&amp;VALIDACIONES!$G$1,"")</f>
        <v/>
      </c>
      <c r="AN19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</row>
    <row r="20" ht="24" customHeight="1">
      <c r="A20" s="344" t="n"/>
      <c r="B20" s="344" t="n"/>
      <c r="C20" s="344" t="n"/>
      <c r="D20" s="344">
        <f>IF($A20="Verdadero o Falso Simple","Verdadero",IF($A20="Respuesta A/B/Ambas/Ninguna","A. Si la primera es verdadera",IF($A20="Verdadero o Falso Complejas","1. ","")))</f>
        <v/>
      </c>
      <c r="E20" s="344">
        <f>IF($A20="Verdadero o Falso Simple","Falso",IF($A20="Respuesta A/B/Ambas/Ninguna","B. Si la segunda es verdadera",IF($A20="Verdadero o Falso Complejas","2. ","")))</f>
        <v/>
      </c>
      <c r="F20" s="344">
        <f>IF($A20="Respuesta A/B/Ambas/Ninguna","C. Si ambas son verdaderas",IF($A20="Verdadero o Falso Complejas","3. ",""))</f>
        <v/>
      </c>
      <c r="G20" s="344">
        <f>IF($A20="Respuesta A/B/Ambas/Ninguna","D. Si ninguna es verdadera",IF($A20="Verdadero o Falso Complejas","4. ",""))</f>
        <v/>
      </c>
      <c r="H20" s="344">
        <f>IF($A20="Verdadero o Falso Simple","",IF($A20="Respuesta A/B/Ambas/Ninguna","",IF($A20="Verdadero o Falso Complejas","","")))</f>
        <v/>
      </c>
      <c r="I20" s="344" t="n"/>
      <c r="J20" s="344" t="n">
        <v>2</v>
      </c>
      <c r="K20" s="344" t="inlineStr">
        <is>
          <t>2P</t>
        </is>
      </c>
      <c r="L20" s="345">
        <f>IF(TRIM($A20)="","",IF(OR($A20="Selección de la mejor respuesta",$A20="SELECCION_MEJOR_RESPUESTA",$A20="Subítem de caso o problema",$A20="SUBITEM_CASO"),IF(TRIM($C20)="","Completar enunciado",IF(SUMPRODUCT(--(LEN(TRIM($D20:$H20&amp;""))&gt;0))&lt;5,"Completar opciones A-E",IF(AND(TRIM($I20)&lt;&gt;"",OR(LEFT(TRIM($I20),1)="A",LEFT(TRIM($I20),1)="B",LEFT(TRIM($I20),1)="C",LEFT(TRIM($I20),1)="D",LEFT(TRIM($I20),1)="E")),"OK","Completar respuesta correcta A-E"))),IF(TRIM($A20)="","",IF(COUNTIF($Q20:$AJ20,"?*")=0,"OK","Falta revisar: "&amp;$Q20&amp;$R20&amp;$S20&amp;$T20&amp;$U20&amp;$V20&amp;$W20&amp;$X20&amp;$Y20&amp;$Z20&amp;$AA20&amp;$AB20&amp;$AC20&amp;$AD20&amp;$AE20&amp;$AF20&amp;$AG20&amp;$AH20&amp;$AI20&amp;$AJ20))))</f>
        <v/>
      </c>
      <c r="M20" s="341" t="n"/>
      <c r="Q20">
        <f>IF(TRIM($C20)="","enunciado","")</f>
        <v/>
      </c>
      <c r="R20">
        <f>IF(TRIM($K20)="",IF(COUNTIF($Q20:$Q20,"?*")&gt;0,", ","")&amp;"parcial","")</f>
        <v/>
      </c>
      <c r="S20">
        <f>IF(AND(TRIM($K20)&lt;&gt;"",TRIM($K20)&lt;&gt;VALIDACIONES!$G$1),IF(COUNTIF($Q20:$R20,"?*")&gt;0,", ","")&amp;"parcial distinto a "&amp;VALIDACIONES!$G$1,"")</f>
        <v/>
      </c>
      <c r="T20">
        <f>IF(AND(OR($A20="Ítems agrupados por caso clínico o problema",$A20="Subítem de caso o problema",$A20="Emparejamiento Ampliado",$A20="Opción de Emparejamiento Ampliado"),TRIM($B20)=""),IF(COUNTIF($Q20:$S20,"?*")&gt;0,", ","")&amp;"grupo","")</f>
        <v/>
      </c>
      <c r="U20">
        <f>IF(AND(OR($A20="Verdadero o Falso Simple",$A20="Respuesta A/B/Ambas/Ninguna",$A20="Verdadero o Falso Complejas",$A20="Selección de la mejor respuesta",$A20="Subítem de caso o problema",$A20="Opción de Emparejamiento Ampliado"),TRIM($I20)=""),IF(COUNTIF($Q20:$T20,"?*")&gt;0,", ","")&amp;"respuesta_correcta","")</f>
        <v/>
      </c>
      <c r="V20">
        <f>IF(AND(OR($A20="Verdadero o Falso Simple",$A20="Respuesta A/B/Ambas/Ninguna",$A20="Verdadero o Falso Complejas",$A20="Selección de la mejor respuesta",$A20="Subítem de caso o problema",$A20="Opción de Emparejamiento Ampliado"),TRIM($J20)=""),IF(COUNTIF($Q20:$U20,"?*")&gt;0,", ","")&amp;"dificultad","")</f>
        <v/>
      </c>
      <c r="W20">
        <f>IF(AND(OR($A20="Ítems agrupados por caso clínico o problema",$A20="Emparejamiento Ampliado"),TRIM($I20)&lt;&gt;""),IF(COUNTIF($Q20:$V20,"?*")&gt;0,", ","")&amp;"respuesta debe ir vacia","")</f>
        <v/>
      </c>
      <c r="X20">
        <f>IF(AND(OR($A20="Ítems agrupados por caso clínico o problema",$A20="Emparejamiento Ampliado"),TRIM($J20)&lt;&gt;""),IF(COUNTIF($Q20:$W20,"?*")&gt;0,", ","")&amp;"dificultad debe ir vacia","")</f>
        <v/>
      </c>
      <c r="Y20">
        <f>IF(AND($A20="Verdadero o Falso Simple",OR(COUNTIF($D20:$E20,"?*")&lt;2,COUNTIF($F20:$H20,"?*")&gt;0)),IF(COUNTIF($Q20:$X20,"?*")&gt;0,", ","")&amp;"incisos A-B","")</f>
        <v/>
      </c>
      <c r="Z20">
        <f>IF(AND($A20="Verdadero o Falso Simple",TRIM($I20)&lt;&gt;"",NOT(OR(LEFT(TRIM($I20),1)="A",LEFT(TRIM($I20),1)="B"))),IF(COUNTIF($Q20:$Y20,"?*")&gt;0,", ","")&amp;"respuesta A-B","")</f>
        <v/>
      </c>
      <c r="AA20">
        <f>IF(AND($A20="Respuesta A/B/Ambas/Ninguna",COUNTIF($D20:$G20,"?*")&lt;4),IF(COUNTIF($Q20:$Z20,"?*")&gt;0,", ","")&amp;"opciones A-D","")</f>
        <v/>
      </c>
      <c r="AB20">
        <f>IF(AND($A20="Respuesta A/B/Ambas/Ninguna",COUNTIF($H20:$H20,"?*")&gt;0),IF(COUNTIF($Q20:$AA20,"?*")&gt;0,", ","")&amp;"opcion E deshabilitada","")</f>
        <v/>
      </c>
      <c r="AC20">
        <f>IF(AND($A20="Respuesta A/B/Ambas/Ninguna",TRIM($I20)&lt;&gt;"",NOT(OR(LEFT(TRIM($I20),1)="A",LEFT(TRIM($I20),1)="B",LEFT(TRIM($I20),1)="C",LEFT(TRIM($I20),1)="D"))),IF(COUNTIF($Q20:$AB20,"?*")&gt;0,", ","")&amp;"respuesta A-D","")</f>
        <v/>
      </c>
      <c r="AD20">
        <f>IF(AND($A20="Verdadero o Falso Complejas",OR(LEN(TRIM(SUBSTITUTE($D20,"1.","")))=0,LEN(TRIM(SUBSTITUTE($E20,"2.","")))=0,LEN(TRIM(SUBSTITUTE($F20,"3.","")))=0,LEN(TRIM(SUBSTITUTE($G20,"4.","")))=0)),IF(COUNTIF($Q20:$AC20,"?*")&gt;0,", ","")&amp;"incisos 1-4","")</f>
        <v/>
      </c>
      <c r="AE20">
        <f>IF(AND($A20="Verdadero o Falso Complejas",COUNTIF($H20:$H20,"?*")&gt;0),IF(COUNTIF($Q20:$AD20,"?*")&gt;0,", ","")&amp;"opcion E deshabilitada","")</f>
        <v/>
      </c>
      <c r="AF20">
        <f>IF(AND($A20="Verdadero o Falso Complejas",TRIM($I20)&lt;&gt;"",NOT(OR(LEFT(TRIM($I20),1)="A",LEFT(TRIM($I20),1)="B",LEFT(TRIM($I20),1)="C",LEFT(TRIM($I20),1)="D",LEFT(TRIM($I20),1)="E"))),IF(COUNTIF($Q20:$AE20,"?*")&gt;0,", ","")&amp;"respuesta A-E","")</f>
        <v/>
      </c>
      <c r="AG20">
        <f>IF(AND(OR($A20="Selección de la mejor respuesta",$A20="Subítem de caso o problema"),COUNTA($D20:$H20)&lt;5),IF(COUNTIF($Q20:$AF20,"?*")&gt;0,", ","")&amp;"incisos A-E","")</f>
        <v/>
      </c>
      <c r="AH20">
        <f>IF(AND(OR($A20="Selección de la mejor respuesta",$A20="Subítem de caso o problema"),TRIM($I20)&lt;&gt;"",NOT(OR(LEFT(TRIM($I20),1)="A",LEFT(TRIM($I20),1)="B",LEFT(TRIM($I20),1)="C",LEFT(TRIM($I20),1)="D",LEFT(TRIM($I20),1)="E"))),IF(COUNTIF($Q20:$AG20,"?*")&gt;0,", ","")&amp;"respuesta A-E","")</f>
        <v/>
      </c>
      <c r="AI20">
        <f>IF(AND(OR($A20="Ítems agrupados por caso clínico o problema",$A20="Opción de Emparejamiento Ampliado"),COUNTIF($D20:$H20,"?*")&gt;0),IF(COUNTIF($Q20:$AH20,"?*")&gt;0,", ","")&amp;"sin incisos","")</f>
        <v/>
      </c>
      <c r="AJ20">
        <f>IF(AND($A20="Emparejamiento Ampliado",COUNTIF($D20:$H20,"?*")&lt;2),IF(COUNTIF($Q20:$AI20,"?*")&gt;0,", ","")&amp;"minimo 2 claves","")</f>
        <v/>
      </c>
      <c r="AK20">
        <f>IF(AND($A20="Opción de Emparejamiento Ampliado",NOT(OR(LEFT(TRIM($I20),1)="A",LEFT(TRIM($I20),1)="B",LEFT(TRIM($I20),1)="C",LEFT(TRIM($I20),1)="D",LEFT(TRIM($I20),1)="E"))),IF(COUNTIF($Q20:$AJ20,"?*")&gt;0,", ","")&amp;"respuesta A-E","")</f>
        <v/>
      </c>
      <c r="AL20">
        <f>IF(TRIM($K20)="",IF(COUNTIF($M20:$M20,"?*")&gt;0,", ","")&amp;"parcial","")</f>
        <v/>
      </c>
      <c r="AM20">
        <f>IF(AND(TRIM($K20)&lt;&gt;"",TRIM($K20)&lt;&gt;VALIDACIONES!$G$1),IF(COUNTIF($M20:$N20,"?*")&gt;0,", ","")&amp;"parcial distinto a "&amp;VALIDACIONES!$G$1,"")</f>
        <v/>
      </c>
      <c r="AN20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</row>
    <row r="21" ht="24" customHeight="1">
      <c r="A21" s="344" t="n"/>
      <c r="B21" s="344" t="n"/>
      <c r="C21" s="344" t="n"/>
      <c r="D21" s="344">
        <f>IF($A21="Verdadero o Falso Simple","Verdadero",IF($A21="Respuesta A/B/Ambas/Ninguna","A. Si la primera es verdadera",IF($A21="Verdadero o Falso Complejas","1. ","")))</f>
        <v/>
      </c>
      <c r="E21" s="344">
        <f>IF($A21="Verdadero o Falso Simple","Falso",IF($A21="Respuesta A/B/Ambas/Ninguna","B. Si la segunda es verdadera",IF($A21="Verdadero o Falso Complejas","2. ","")))</f>
        <v/>
      </c>
      <c r="F21" s="344">
        <f>IF($A21="Respuesta A/B/Ambas/Ninguna","C. Si ambas son verdaderas",IF($A21="Verdadero o Falso Complejas","3. ",""))</f>
        <v/>
      </c>
      <c r="G21" s="344">
        <f>IF($A21="Respuesta A/B/Ambas/Ninguna","D. Si ninguna es verdadera",IF($A21="Verdadero o Falso Complejas","4. ",""))</f>
        <v/>
      </c>
      <c r="H21" s="344">
        <f>IF($A21="Verdadero o Falso Simple","",IF($A21="Respuesta A/B/Ambas/Ninguna","",IF($A21="Verdadero o Falso Complejas","","")))</f>
        <v/>
      </c>
      <c r="I21" s="344" t="n"/>
      <c r="J21" s="344" t="n">
        <v>2</v>
      </c>
      <c r="K21" s="344" t="inlineStr">
        <is>
          <t>2P</t>
        </is>
      </c>
      <c r="L21" s="345">
        <f>IF(TRIM($A21)="","",IF(OR($A21="Selección de la mejor respuesta",$A21="SELECCION_MEJOR_RESPUESTA",$A21="Subítem de caso o problema",$A21="SUBITEM_CASO"),IF(TRIM($C21)="","Completar enunciado",IF(SUMPRODUCT(--(LEN(TRIM($D21:$H21&amp;""))&gt;0))&lt;5,"Completar opciones A-E",IF(AND(TRIM($I21)&lt;&gt;"",OR(LEFT(TRIM($I21),1)="A",LEFT(TRIM($I21),1)="B",LEFT(TRIM($I21),1)="C",LEFT(TRIM($I21),1)="D",LEFT(TRIM($I21),1)="E")),"OK","Completar respuesta correcta A-E"))),IF(TRIM($A21)="","",IF(COUNTIF($Q21:$AJ21,"?*")=0,"OK","Falta revisar: "&amp;$Q21&amp;$R21&amp;$S21&amp;$T21&amp;$U21&amp;$V21&amp;$W21&amp;$X21&amp;$Y21&amp;$Z21&amp;$AA21&amp;$AB21&amp;$AC21&amp;$AD21&amp;$AE21&amp;$AF21&amp;$AG21&amp;$AH21&amp;$AI21&amp;$AJ21))))</f>
        <v/>
      </c>
      <c r="M21" s="341" t="n"/>
      <c r="Q21">
        <f>IF(TRIM($C21)="","enunciado","")</f>
        <v/>
      </c>
      <c r="R21">
        <f>IF(TRIM($K21)="",IF(COUNTIF($Q21:$Q21,"?*")&gt;0,", ","")&amp;"parcial","")</f>
        <v/>
      </c>
      <c r="S21">
        <f>IF(AND(TRIM($K21)&lt;&gt;"",TRIM($K21)&lt;&gt;VALIDACIONES!$G$1),IF(COUNTIF($Q21:$R21,"?*")&gt;0,", ","")&amp;"parcial distinto a "&amp;VALIDACIONES!$G$1,"")</f>
        <v/>
      </c>
      <c r="T21">
        <f>IF(AND(OR($A21="Ítems agrupados por caso clínico o problema",$A21="Subítem de caso o problema",$A21="Emparejamiento Ampliado",$A21="Opción de Emparejamiento Ampliado"),TRIM($B21)=""),IF(COUNTIF($Q21:$S21,"?*")&gt;0,", ","")&amp;"grupo","")</f>
        <v/>
      </c>
      <c r="U21">
        <f>IF(AND(OR($A21="Verdadero o Falso Simple",$A21="Respuesta A/B/Ambas/Ninguna",$A21="Verdadero o Falso Complejas",$A21="Selección de la mejor respuesta",$A21="Subítem de caso o problema",$A21="Opción de Emparejamiento Ampliado"),TRIM($I21)=""),IF(COUNTIF($Q21:$T21,"?*")&gt;0,", ","")&amp;"respuesta_correcta","")</f>
        <v/>
      </c>
      <c r="V21">
        <f>IF(AND(OR($A21="Verdadero o Falso Simple",$A21="Respuesta A/B/Ambas/Ninguna",$A21="Verdadero o Falso Complejas",$A21="Selección de la mejor respuesta",$A21="Subítem de caso o problema",$A21="Opción de Emparejamiento Ampliado"),TRIM($J21)=""),IF(COUNTIF($Q21:$U21,"?*")&gt;0,", ","")&amp;"dificultad","")</f>
        <v/>
      </c>
      <c r="W21">
        <f>IF(AND(OR($A21="Ítems agrupados por caso clínico o problema",$A21="Emparejamiento Ampliado"),TRIM($I21)&lt;&gt;""),IF(COUNTIF($Q21:$V21,"?*")&gt;0,", ","")&amp;"respuesta debe ir vacia","")</f>
        <v/>
      </c>
      <c r="X21">
        <f>IF(AND(OR($A21="Ítems agrupados por caso clínico o problema",$A21="Emparejamiento Ampliado"),TRIM($J21)&lt;&gt;""),IF(COUNTIF($Q21:$W21,"?*")&gt;0,", ","")&amp;"dificultad debe ir vacia","")</f>
        <v/>
      </c>
      <c r="Y21">
        <f>IF(AND($A21="Verdadero o Falso Simple",OR(COUNTIF($D21:$E21,"?*")&lt;2,COUNTIF($F21:$H21,"?*")&gt;0)),IF(COUNTIF($Q21:$X21,"?*")&gt;0,", ","")&amp;"incisos A-B","")</f>
        <v/>
      </c>
      <c r="Z21">
        <f>IF(AND($A21="Verdadero o Falso Simple",TRIM($I21)&lt;&gt;"",NOT(OR(LEFT(TRIM($I21),1)="A",LEFT(TRIM($I21),1)="B"))),IF(COUNTIF($Q21:$Y21,"?*")&gt;0,", ","")&amp;"respuesta A-B","")</f>
        <v/>
      </c>
      <c r="AA21">
        <f>IF(AND($A21="Respuesta A/B/Ambas/Ninguna",COUNTIF($D21:$G21,"?*")&lt;4),IF(COUNTIF($Q21:$Z21,"?*")&gt;0,", ","")&amp;"opciones A-D","")</f>
        <v/>
      </c>
      <c r="AB21">
        <f>IF(AND($A21="Respuesta A/B/Ambas/Ninguna",COUNTIF($H21:$H21,"?*")&gt;0),IF(COUNTIF($Q21:$AA21,"?*")&gt;0,", ","")&amp;"opcion E deshabilitada","")</f>
        <v/>
      </c>
      <c r="AC21">
        <f>IF(AND($A21="Respuesta A/B/Ambas/Ninguna",TRIM($I21)&lt;&gt;"",NOT(OR(LEFT(TRIM($I21),1)="A",LEFT(TRIM($I21),1)="B",LEFT(TRIM($I21),1)="C",LEFT(TRIM($I21),1)="D"))),IF(COUNTIF($Q21:$AB21,"?*")&gt;0,", ","")&amp;"respuesta A-D","")</f>
        <v/>
      </c>
      <c r="AD21">
        <f>IF(AND($A21="Verdadero o Falso Complejas",OR(LEN(TRIM(SUBSTITUTE($D21,"1.","")))=0,LEN(TRIM(SUBSTITUTE($E21,"2.","")))=0,LEN(TRIM(SUBSTITUTE($F21,"3.","")))=0,LEN(TRIM(SUBSTITUTE($G21,"4.","")))=0)),IF(COUNTIF($Q21:$AC21,"?*")&gt;0,", ","")&amp;"incisos 1-4","")</f>
        <v/>
      </c>
      <c r="AE21">
        <f>IF(AND($A21="Verdadero o Falso Complejas",COUNTIF($H21:$H21,"?*")&gt;0),IF(COUNTIF($Q21:$AD21,"?*")&gt;0,", ","")&amp;"opcion E deshabilitada","")</f>
        <v/>
      </c>
      <c r="AF21">
        <f>IF(AND($A21="Verdadero o Falso Complejas",TRIM($I21)&lt;&gt;"",NOT(OR(LEFT(TRIM($I21),1)="A",LEFT(TRIM($I21),1)="B",LEFT(TRIM($I21),1)="C",LEFT(TRIM($I21),1)="D",LEFT(TRIM($I21),1)="E"))),IF(COUNTIF($Q21:$AE21,"?*")&gt;0,", ","")&amp;"respuesta A-E","")</f>
        <v/>
      </c>
      <c r="AG21">
        <f>IF(AND(OR($A21="Selección de la mejor respuesta",$A21="Subítem de caso o problema"),COUNTA($D21:$H21)&lt;5),IF(COUNTIF($Q21:$AF21,"?*")&gt;0,", ","")&amp;"incisos A-E","")</f>
        <v/>
      </c>
      <c r="AH21">
        <f>IF(AND(OR($A21="Selección de la mejor respuesta",$A21="Subítem de caso o problema"),TRIM($I21)&lt;&gt;"",NOT(OR(LEFT(TRIM($I21),1)="A",LEFT(TRIM($I21),1)="B",LEFT(TRIM($I21),1)="C",LEFT(TRIM($I21),1)="D",LEFT(TRIM($I21),1)="E"))),IF(COUNTIF($Q21:$AG21,"?*")&gt;0,", ","")&amp;"respuesta A-E","")</f>
        <v/>
      </c>
      <c r="AI21">
        <f>IF(AND(OR($A21="Ítems agrupados por caso clínico o problema",$A21="Opción de Emparejamiento Ampliado"),COUNTIF($D21:$H21,"?*")&gt;0),IF(COUNTIF($Q21:$AH21,"?*")&gt;0,", ","")&amp;"sin incisos","")</f>
        <v/>
      </c>
      <c r="AJ21">
        <f>IF(AND($A21="Emparejamiento Ampliado",COUNTIF($D21:$H21,"?*")&lt;2),IF(COUNTIF($Q21:$AI21,"?*")&gt;0,", ","")&amp;"minimo 2 claves","")</f>
        <v/>
      </c>
      <c r="AK21">
        <f>IF(AND($A21="Opción de Emparejamiento Ampliado",NOT(OR(LEFT(TRIM($I21),1)="A",LEFT(TRIM($I21),1)="B",LEFT(TRIM($I21),1)="C",LEFT(TRIM($I21),1)="D",LEFT(TRIM($I21),1)="E"))),IF(COUNTIF($Q21:$AJ21,"?*")&gt;0,", ","")&amp;"respuesta A-E","")</f>
        <v/>
      </c>
      <c r="AL21">
        <f>IF(TRIM($K21)="",IF(COUNTIF($M21:$M21,"?*")&gt;0,", ","")&amp;"parcial","")</f>
        <v/>
      </c>
      <c r="AM21">
        <f>IF(AND(TRIM($K21)&lt;&gt;"",TRIM($K21)&lt;&gt;VALIDACIONES!$G$1),IF(COUNTIF($M21:$N21,"?*")&gt;0,", ","")&amp;"parcial distinto a "&amp;VALIDACIONES!$G$1,"")</f>
        <v/>
      </c>
      <c r="AN21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</row>
    <row r="22" ht="24" customHeight="1">
      <c r="A22" s="344" t="n"/>
      <c r="B22" s="344" t="n"/>
      <c r="C22" s="344" t="n"/>
      <c r="D22" s="344">
        <f>IF($A22="Verdadero o Falso Simple","Verdadero",IF($A22="Respuesta A/B/Ambas/Ninguna","A. Si la primera es verdadera",IF($A22="Verdadero o Falso Complejas","1. ","")))</f>
        <v/>
      </c>
      <c r="E22" s="344">
        <f>IF($A22="Verdadero o Falso Simple","Falso",IF($A22="Respuesta A/B/Ambas/Ninguna","B. Si la segunda es verdadera",IF($A22="Verdadero o Falso Complejas","2. ","")))</f>
        <v/>
      </c>
      <c r="F22" s="344">
        <f>IF($A22="Respuesta A/B/Ambas/Ninguna","C. Si ambas son verdaderas",IF($A22="Verdadero o Falso Complejas","3. ",""))</f>
        <v/>
      </c>
      <c r="G22" s="344">
        <f>IF($A22="Respuesta A/B/Ambas/Ninguna","D. Si ninguna es verdadera",IF($A22="Verdadero o Falso Complejas","4. ",""))</f>
        <v/>
      </c>
      <c r="H22" s="344">
        <f>IF($A22="Verdadero o Falso Simple","",IF($A22="Respuesta A/B/Ambas/Ninguna","",IF($A22="Verdadero o Falso Complejas","","")))</f>
        <v/>
      </c>
      <c r="I22" s="344" t="n"/>
      <c r="J22" s="344" t="n">
        <v>2</v>
      </c>
      <c r="K22" s="344" t="inlineStr">
        <is>
          <t>2P</t>
        </is>
      </c>
      <c r="L22" s="345">
        <f>IF(TRIM($A22)="","",IF(OR($A22="Selección de la mejor respuesta",$A22="SELECCION_MEJOR_RESPUESTA",$A22="Subítem de caso o problema",$A22="SUBITEM_CASO"),IF(TRIM($C22)="","Completar enunciado",IF(SUMPRODUCT(--(LEN(TRIM($D22:$H22&amp;""))&gt;0))&lt;5,"Completar opciones A-E",IF(AND(TRIM($I22)&lt;&gt;"",OR(LEFT(TRIM($I22),1)="A",LEFT(TRIM($I22),1)="B",LEFT(TRIM($I22),1)="C",LEFT(TRIM($I22),1)="D",LEFT(TRIM($I22),1)="E")),"OK","Completar respuesta correcta A-E"))),IF(TRIM($A22)="","",IF(COUNTIF($Q22:$AJ22,"?*")=0,"OK","Falta revisar: "&amp;$Q22&amp;$R22&amp;$S22&amp;$T22&amp;$U22&amp;$V22&amp;$W22&amp;$X22&amp;$Y22&amp;$Z22&amp;$AA22&amp;$AB22&amp;$AC22&amp;$AD22&amp;$AE22&amp;$AF22&amp;$AG22&amp;$AH22&amp;$AI22&amp;$AJ22))))</f>
        <v/>
      </c>
      <c r="M22" s="341" t="n"/>
      <c r="Q22">
        <f>IF(TRIM($C22)="","enunciado","")</f>
        <v/>
      </c>
      <c r="R22">
        <f>IF(TRIM($K22)="",IF(COUNTIF($Q22:$Q22,"?*")&gt;0,", ","")&amp;"parcial","")</f>
        <v/>
      </c>
      <c r="S22">
        <f>IF(AND(TRIM($K22)&lt;&gt;"",TRIM($K22)&lt;&gt;VALIDACIONES!$G$1),IF(COUNTIF($Q22:$R22,"?*")&gt;0,", ","")&amp;"parcial distinto a "&amp;VALIDACIONES!$G$1,"")</f>
        <v/>
      </c>
      <c r="T22">
        <f>IF(AND(OR($A22="Ítems agrupados por caso clínico o problema",$A22="Subítem de caso o problema",$A22="Emparejamiento Ampliado",$A22="Opción de Emparejamiento Ampliado"),TRIM($B22)=""),IF(COUNTIF($Q22:$S22,"?*")&gt;0,", ","")&amp;"grupo","")</f>
        <v/>
      </c>
      <c r="U22">
        <f>IF(AND(OR($A22="Verdadero o Falso Simple",$A22="Respuesta A/B/Ambas/Ninguna",$A22="Verdadero o Falso Complejas",$A22="Selección de la mejor respuesta",$A22="Subítem de caso o problema",$A22="Opción de Emparejamiento Ampliado"),TRIM($I22)=""),IF(COUNTIF($Q22:$T22,"?*")&gt;0,", ","")&amp;"respuesta_correcta","")</f>
        <v/>
      </c>
      <c r="V22">
        <f>IF(AND(OR($A22="Verdadero o Falso Simple",$A22="Respuesta A/B/Ambas/Ninguna",$A22="Verdadero o Falso Complejas",$A22="Selección de la mejor respuesta",$A22="Subítem de caso o problema",$A22="Opción de Emparejamiento Ampliado"),TRIM($J22)=""),IF(COUNTIF($Q22:$U22,"?*")&gt;0,", ","")&amp;"dificultad","")</f>
        <v/>
      </c>
      <c r="W22">
        <f>IF(AND(OR($A22="Ítems agrupados por caso clínico o problema",$A22="Emparejamiento Ampliado"),TRIM($I22)&lt;&gt;""),IF(COUNTIF($Q22:$V22,"?*")&gt;0,", ","")&amp;"respuesta debe ir vacia","")</f>
        <v/>
      </c>
      <c r="X22">
        <f>IF(AND(OR($A22="Ítems agrupados por caso clínico o problema",$A22="Emparejamiento Ampliado"),TRIM($J22)&lt;&gt;""),IF(COUNTIF($Q22:$W22,"?*")&gt;0,", ","")&amp;"dificultad debe ir vacia","")</f>
        <v/>
      </c>
      <c r="Y22">
        <f>IF(AND($A22="Verdadero o Falso Simple",OR(COUNTIF($D22:$E22,"?*")&lt;2,COUNTIF($F22:$H22,"?*")&gt;0)),IF(COUNTIF($Q22:$X22,"?*")&gt;0,", ","")&amp;"incisos A-B","")</f>
        <v/>
      </c>
      <c r="Z22">
        <f>IF(AND($A22="Verdadero o Falso Simple",TRIM($I22)&lt;&gt;"",NOT(OR(LEFT(TRIM($I22),1)="A",LEFT(TRIM($I22),1)="B"))),IF(COUNTIF($Q22:$Y22,"?*")&gt;0,", ","")&amp;"respuesta A-B","")</f>
        <v/>
      </c>
      <c r="AA22">
        <f>IF(AND($A22="Respuesta A/B/Ambas/Ninguna",COUNTIF($D22:$G22,"?*")&lt;4),IF(COUNTIF($Q22:$Z22,"?*")&gt;0,", ","")&amp;"opciones A-D","")</f>
        <v/>
      </c>
      <c r="AB22">
        <f>IF(AND($A22="Respuesta A/B/Ambas/Ninguna",COUNTIF($H22:$H22,"?*")&gt;0),IF(COUNTIF($Q22:$AA22,"?*")&gt;0,", ","")&amp;"opcion E deshabilitada","")</f>
        <v/>
      </c>
      <c r="AC22">
        <f>IF(AND($A22="Respuesta A/B/Ambas/Ninguna",TRIM($I22)&lt;&gt;"",NOT(OR(LEFT(TRIM($I22),1)="A",LEFT(TRIM($I22),1)="B",LEFT(TRIM($I22),1)="C",LEFT(TRIM($I22),1)="D"))),IF(COUNTIF($Q22:$AB22,"?*")&gt;0,", ","")&amp;"respuesta A-D","")</f>
        <v/>
      </c>
      <c r="AD22">
        <f>IF(AND($A22="Verdadero o Falso Complejas",OR(LEN(TRIM(SUBSTITUTE($D22,"1.","")))=0,LEN(TRIM(SUBSTITUTE($E22,"2.","")))=0,LEN(TRIM(SUBSTITUTE($F22,"3.","")))=0,LEN(TRIM(SUBSTITUTE($G22,"4.","")))=0)),IF(COUNTIF($Q22:$AC22,"?*")&gt;0,", ","")&amp;"incisos 1-4","")</f>
        <v/>
      </c>
      <c r="AE22">
        <f>IF(AND($A22="Verdadero o Falso Complejas",COUNTIF($H22:$H22,"?*")&gt;0),IF(COUNTIF($Q22:$AD22,"?*")&gt;0,", ","")&amp;"opcion E deshabilitada","")</f>
        <v/>
      </c>
      <c r="AF22">
        <f>IF(AND($A22="Verdadero o Falso Complejas",TRIM($I22)&lt;&gt;"",NOT(OR(LEFT(TRIM($I22),1)="A",LEFT(TRIM($I22),1)="B",LEFT(TRIM($I22),1)="C",LEFT(TRIM($I22),1)="D",LEFT(TRIM($I22),1)="E"))),IF(COUNTIF($Q22:$AE22,"?*")&gt;0,", ","")&amp;"respuesta A-E","")</f>
        <v/>
      </c>
      <c r="AG22">
        <f>IF(AND(OR($A22="Selección de la mejor respuesta",$A22="Subítem de caso o problema"),COUNTA($D22:$H22)&lt;5),IF(COUNTIF($Q22:$AF22,"?*")&gt;0,", ","")&amp;"incisos A-E","")</f>
        <v/>
      </c>
      <c r="AH22">
        <f>IF(AND(OR($A22="Selección de la mejor respuesta",$A22="Subítem de caso o problema"),TRIM($I22)&lt;&gt;"",NOT(OR(LEFT(TRIM($I22),1)="A",LEFT(TRIM($I22),1)="B",LEFT(TRIM($I22),1)="C",LEFT(TRIM($I22),1)="D",LEFT(TRIM($I22),1)="E"))),IF(COUNTIF($Q22:$AG22,"?*")&gt;0,", ","")&amp;"respuesta A-E","")</f>
        <v/>
      </c>
      <c r="AI22">
        <f>IF(AND(OR($A22="Ítems agrupados por caso clínico o problema",$A22="Opción de Emparejamiento Ampliado"),COUNTIF($D22:$H22,"?*")&gt;0),IF(COUNTIF($Q22:$AH22,"?*")&gt;0,", ","")&amp;"sin incisos","")</f>
        <v/>
      </c>
      <c r="AJ22">
        <f>IF(AND($A22="Emparejamiento Ampliado",COUNTIF($D22:$H22,"?*")&lt;2),IF(COUNTIF($Q22:$AI22,"?*")&gt;0,", ","")&amp;"minimo 2 claves","")</f>
        <v/>
      </c>
      <c r="AK22">
        <f>IF(AND($A22="Opción de Emparejamiento Ampliado",NOT(OR(LEFT(TRIM($I22),1)="A",LEFT(TRIM($I22),1)="B",LEFT(TRIM($I22),1)="C",LEFT(TRIM($I22),1)="D",LEFT(TRIM($I22),1)="E"))),IF(COUNTIF($Q22:$AJ22,"?*")&gt;0,", ","")&amp;"respuesta A-E","")</f>
        <v/>
      </c>
      <c r="AL22">
        <f>IF(TRIM($K22)="",IF(COUNTIF($M22:$M22,"?*")&gt;0,", ","")&amp;"parcial","")</f>
        <v/>
      </c>
      <c r="AM22">
        <f>IF(AND(TRIM($K22)&lt;&gt;"",TRIM($K22)&lt;&gt;VALIDACIONES!$G$1),IF(COUNTIF($M22:$N22,"?*")&gt;0,", ","")&amp;"parcial distinto a "&amp;VALIDACIONES!$G$1,"")</f>
        <v/>
      </c>
      <c r="AN22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</row>
    <row r="23" ht="24" customHeight="1">
      <c r="A23" s="344" t="n"/>
      <c r="B23" s="344" t="n"/>
      <c r="C23" s="344" t="n"/>
      <c r="D23" s="344">
        <f>IF($A23="Verdadero o Falso Simple","Verdadero",IF($A23="Respuesta A/B/Ambas/Ninguna","A. Si la primera es verdadera",IF($A23="Verdadero o Falso Complejas","1. ","")))</f>
        <v/>
      </c>
      <c r="E23" s="344">
        <f>IF($A23="Verdadero o Falso Simple","Falso",IF($A23="Respuesta A/B/Ambas/Ninguna","B. Si la segunda es verdadera",IF($A23="Verdadero o Falso Complejas","2. ","")))</f>
        <v/>
      </c>
      <c r="F23" s="344">
        <f>IF($A23="Respuesta A/B/Ambas/Ninguna","C. Si ambas son verdaderas",IF($A23="Verdadero o Falso Complejas","3. ",""))</f>
        <v/>
      </c>
      <c r="G23" s="344">
        <f>IF($A23="Respuesta A/B/Ambas/Ninguna","D. Si ninguna es verdadera",IF($A23="Verdadero o Falso Complejas","4. ",""))</f>
        <v/>
      </c>
      <c r="H23" s="344">
        <f>IF($A23="Verdadero o Falso Simple","",IF($A23="Respuesta A/B/Ambas/Ninguna","",IF($A23="Verdadero o Falso Complejas","","")))</f>
        <v/>
      </c>
      <c r="I23" s="344" t="n"/>
      <c r="J23" s="344" t="n">
        <v>2</v>
      </c>
      <c r="K23" s="344" t="inlineStr">
        <is>
          <t>2P</t>
        </is>
      </c>
      <c r="L23" s="345">
        <f>IF(TRIM($A23)="","",IF(OR($A23="Selección de la mejor respuesta",$A23="SELECCION_MEJOR_RESPUESTA",$A23="Subítem de caso o problema",$A23="SUBITEM_CASO"),IF(TRIM($C23)="","Completar enunciado",IF(SUMPRODUCT(--(LEN(TRIM($D23:$H23&amp;""))&gt;0))&lt;5,"Completar opciones A-E",IF(AND(TRIM($I23)&lt;&gt;"",OR(LEFT(TRIM($I23),1)="A",LEFT(TRIM($I23),1)="B",LEFT(TRIM($I23),1)="C",LEFT(TRIM($I23),1)="D",LEFT(TRIM($I23),1)="E")),"OK","Completar respuesta correcta A-E"))),IF(TRIM($A23)="","",IF(COUNTIF($Q23:$AJ23,"?*")=0,"OK","Falta revisar: "&amp;$Q23&amp;$R23&amp;$S23&amp;$T23&amp;$U23&amp;$V23&amp;$W23&amp;$X23&amp;$Y23&amp;$Z23&amp;$AA23&amp;$AB23&amp;$AC23&amp;$AD23&amp;$AE23&amp;$AF23&amp;$AG23&amp;$AH23&amp;$AI23&amp;$AJ23))))</f>
        <v/>
      </c>
      <c r="M23" s="341" t="n"/>
      <c r="Q23">
        <f>IF(TRIM($C23)="","enunciado","")</f>
        <v/>
      </c>
      <c r="R23">
        <f>IF(TRIM($K23)="",IF(COUNTIF($Q23:$Q23,"?*")&gt;0,", ","")&amp;"parcial","")</f>
        <v/>
      </c>
      <c r="S23">
        <f>IF(AND(TRIM($K23)&lt;&gt;"",TRIM($K23)&lt;&gt;VALIDACIONES!$G$1),IF(COUNTIF($Q23:$R23,"?*")&gt;0,", ","")&amp;"parcial distinto a "&amp;VALIDACIONES!$G$1,"")</f>
        <v/>
      </c>
      <c r="T23">
        <f>IF(AND(OR($A23="Ítems agrupados por caso clínico o problema",$A23="Subítem de caso o problema",$A23="Emparejamiento Ampliado",$A23="Opción de Emparejamiento Ampliado"),TRIM($B23)=""),IF(COUNTIF($Q23:$S23,"?*")&gt;0,", ","")&amp;"grupo","")</f>
        <v/>
      </c>
      <c r="U23">
        <f>IF(AND(OR($A23="Verdadero o Falso Simple",$A23="Respuesta A/B/Ambas/Ninguna",$A23="Verdadero o Falso Complejas",$A23="Selección de la mejor respuesta",$A23="Subítem de caso o problema",$A23="Opción de Emparejamiento Ampliado"),TRIM($I23)=""),IF(COUNTIF($Q23:$T23,"?*")&gt;0,", ","")&amp;"respuesta_correcta","")</f>
        <v/>
      </c>
      <c r="V23">
        <f>IF(AND(OR($A23="Verdadero o Falso Simple",$A23="Respuesta A/B/Ambas/Ninguna",$A23="Verdadero o Falso Complejas",$A23="Selección de la mejor respuesta",$A23="Subítem de caso o problema",$A23="Opción de Emparejamiento Ampliado"),TRIM($J23)=""),IF(COUNTIF($Q23:$U23,"?*")&gt;0,", ","")&amp;"dificultad","")</f>
        <v/>
      </c>
      <c r="W23">
        <f>IF(AND(OR($A23="Ítems agrupados por caso clínico o problema",$A23="Emparejamiento Ampliado"),TRIM($I23)&lt;&gt;""),IF(COUNTIF($Q23:$V23,"?*")&gt;0,", ","")&amp;"respuesta debe ir vacia","")</f>
        <v/>
      </c>
      <c r="X23">
        <f>IF(AND(OR($A23="Ítems agrupados por caso clínico o problema",$A23="Emparejamiento Ampliado"),TRIM($J23)&lt;&gt;""),IF(COUNTIF($Q23:$W23,"?*")&gt;0,", ","")&amp;"dificultad debe ir vacia","")</f>
        <v/>
      </c>
      <c r="Y23">
        <f>IF(AND($A23="Verdadero o Falso Simple",OR(COUNTIF($D23:$E23,"?*")&lt;2,COUNTIF($F23:$H23,"?*")&gt;0)),IF(COUNTIF($Q23:$X23,"?*")&gt;0,", ","")&amp;"incisos A-B","")</f>
        <v/>
      </c>
      <c r="Z23">
        <f>IF(AND($A23="Verdadero o Falso Simple",TRIM($I23)&lt;&gt;"",NOT(OR(LEFT(TRIM($I23),1)="A",LEFT(TRIM($I23),1)="B"))),IF(COUNTIF($Q23:$Y23,"?*")&gt;0,", ","")&amp;"respuesta A-B","")</f>
        <v/>
      </c>
      <c r="AA23">
        <f>IF(AND($A23="Respuesta A/B/Ambas/Ninguna",COUNTIF($D23:$G23,"?*")&lt;4),IF(COUNTIF($Q23:$Z23,"?*")&gt;0,", ","")&amp;"opciones A-D","")</f>
        <v/>
      </c>
      <c r="AB23">
        <f>IF(AND($A23="Respuesta A/B/Ambas/Ninguna",COUNTIF($H23:$H23,"?*")&gt;0),IF(COUNTIF($Q23:$AA23,"?*")&gt;0,", ","")&amp;"opcion E deshabilitada","")</f>
        <v/>
      </c>
      <c r="AC23">
        <f>IF(AND($A23="Respuesta A/B/Ambas/Ninguna",TRIM($I23)&lt;&gt;"",NOT(OR(LEFT(TRIM($I23),1)="A",LEFT(TRIM($I23),1)="B",LEFT(TRIM($I23),1)="C",LEFT(TRIM($I23),1)="D"))),IF(COUNTIF($Q23:$AB23,"?*")&gt;0,", ","")&amp;"respuesta A-D","")</f>
        <v/>
      </c>
      <c r="AD23">
        <f>IF(AND($A23="Verdadero o Falso Complejas",OR(LEN(TRIM(SUBSTITUTE($D23,"1.","")))=0,LEN(TRIM(SUBSTITUTE($E23,"2.","")))=0,LEN(TRIM(SUBSTITUTE($F23,"3.","")))=0,LEN(TRIM(SUBSTITUTE($G23,"4.","")))=0)),IF(COUNTIF($Q23:$AC23,"?*")&gt;0,", ","")&amp;"incisos 1-4","")</f>
        <v/>
      </c>
      <c r="AE23">
        <f>IF(AND($A23="Verdadero o Falso Complejas",COUNTIF($H23:$H23,"?*")&gt;0),IF(COUNTIF($Q23:$AD23,"?*")&gt;0,", ","")&amp;"opcion E deshabilitada","")</f>
        <v/>
      </c>
      <c r="AF23">
        <f>IF(AND($A23="Verdadero o Falso Complejas",TRIM($I23)&lt;&gt;"",NOT(OR(LEFT(TRIM($I23),1)="A",LEFT(TRIM($I23),1)="B",LEFT(TRIM($I23),1)="C",LEFT(TRIM($I23),1)="D",LEFT(TRIM($I23),1)="E"))),IF(COUNTIF($Q23:$AE23,"?*")&gt;0,", ","")&amp;"respuesta A-E","")</f>
        <v/>
      </c>
      <c r="AG23">
        <f>IF(AND(OR($A23="Selección de la mejor respuesta",$A23="Subítem de caso o problema"),COUNTA($D23:$H23)&lt;5),IF(COUNTIF($Q23:$AF23,"?*")&gt;0,", ","")&amp;"incisos A-E","")</f>
        <v/>
      </c>
      <c r="AH23">
        <f>IF(AND(OR($A23="Selección de la mejor respuesta",$A23="Subítem de caso o problema"),TRIM($I23)&lt;&gt;"",NOT(OR(LEFT(TRIM($I23),1)="A",LEFT(TRIM($I23),1)="B",LEFT(TRIM($I23),1)="C",LEFT(TRIM($I23),1)="D",LEFT(TRIM($I23),1)="E"))),IF(COUNTIF($Q23:$AG23,"?*")&gt;0,", ","")&amp;"respuesta A-E","")</f>
        <v/>
      </c>
      <c r="AI23">
        <f>IF(AND(OR($A23="Ítems agrupados por caso clínico o problema",$A23="Opción de Emparejamiento Ampliado"),COUNTIF($D23:$H23,"?*")&gt;0),IF(COUNTIF($Q23:$AH23,"?*")&gt;0,", ","")&amp;"sin incisos","")</f>
        <v/>
      </c>
      <c r="AJ23">
        <f>IF(AND($A23="Emparejamiento Ampliado",COUNTIF($D23:$H23,"?*")&lt;2),IF(COUNTIF($Q23:$AI23,"?*")&gt;0,", ","")&amp;"minimo 2 claves","")</f>
        <v/>
      </c>
      <c r="AK23">
        <f>IF(AND($A23="Opción de Emparejamiento Ampliado",NOT(OR(LEFT(TRIM($I23),1)="A",LEFT(TRIM($I23),1)="B",LEFT(TRIM($I23),1)="C",LEFT(TRIM($I23),1)="D",LEFT(TRIM($I23),1)="E"))),IF(COUNTIF($Q23:$AJ23,"?*")&gt;0,", ","")&amp;"respuesta A-E","")</f>
        <v/>
      </c>
      <c r="AL23">
        <f>IF(TRIM($K23)="",IF(COUNTIF($M23:$M23,"?*")&gt;0,", ","")&amp;"parcial","")</f>
        <v/>
      </c>
      <c r="AM23">
        <f>IF(AND(TRIM($K23)&lt;&gt;"",TRIM($K23)&lt;&gt;VALIDACIONES!$G$1),IF(COUNTIF($M23:$N23,"?*")&gt;0,", ","")&amp;"parcial distinto a "&amp;VALIDACIONES!$G$1,"")</f>
        <v/>
      </c>
      <c r="AN23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</row>
    <row r="24" ht="24" customHeight="1">
      <c r="A24" s="344" t="n"/>
      <c r="B24" s="344" t="n"/>
      <c r="C24" s="344" t="n"/>
      <c r="D24" s="344">
        <f>IF($A24="Verdadero o Falso Simple","Verdadero",IF($A24="Respuesta A/B/Ambas/Ninguna","A. Si la primera es verdadera",IF($A24="Verdadero o Falso Complejas","1. ","")))</f>
        <v/>
      </c>
      <c r="E24" s="344">
        <f>IF($A24="Verdadero o Falso Simple","Falso",IF($A24="Respuesta A/B/Ambas/Ninguna","B. Si la segunda es verdadera",IF($A24="Verdadero o Falso Complejas","2. ","")))</f>
        <v/>
      </c>
      <c r="F24" s="344">
        <f>IF($A24="Respuesta A/B/Ambas/Ninguna","C. Si ambas son verdaderas",IF($A24="Verdadero o Falso Complejas","3. ",""))</f>
        <v/>
      </c>
      <c r="G24" s="344">
        <f>IF($A24="Respuesta A/B/Ambas/Ninguna","D. Si ninguna es verdadera",IF($A24="Verdadero o Falso Complejas","4. ",""))</f>
        <v/>
      </c>
      <c r="H24" s="344">
        <f>IF($A24="Verdadero o Falso Simple","",IF($A24="Respuesta A/B/Ambas/Ninguna","",IF($A24="Verdadero o Falso Complejas","","")))</f>
        <v/>
      </c>
      <c r="I24" s="344" t="n"/>
      <c r="J24" s="344" t="n">
        <v>2</v>
      </c>
      <c r="K24" s="344" t="inlineStr">
        <is>
          <t>2P</t>
        </is>
      </c>
      <c r="L24" s="345">
        <f>IF(TRIM($A24)="","",IF(OR($A24="Selección de la mejor respuesta",$A24="SELECCION_MEJOR_RESPUESTA",$A24="Subítem de caso o problema",$A24="SUBITEM_CASO"),IF(TRIM($C24)="","Completar enunciado",IF(SUMPRODUCT(--(LEN(TRIM($D24:$H24&amp;""))&gt;0))&lt;5,"Completar opciones A-E",IF(AND(TRIM($I24)&lt;&gt;"",OR(LEFT(TRIM($I24),1)="A",LEFT(TRIM($I24),1)="B",LEFT(TRIM($I24),1)="C",LEFT(TRIM($I24),1)="D",LEFT(TRIM($I24),1)="E")),"OK","Completar respuesta correcta A-E"))),IF(TRIM($A24)="","",IF(COUNTIF($Q24:$AJ24,"?*")=0,"OK","Falta revisar: "&amp;$Q24&amp;$R24&amp;$S24&amp;$T24&amp;$U24&amp;$V24&amp;$W24&amp;$X24&amp;$Y24&amp;$Z24&amp;$AA24&amp;$AB24&amp;$AC24&amp;$AD24&amp;$AE24&amp;$AF24&amp;$AG24&amp;$AH24&amp;$AI24&amp;$AJ24))))</f>
        <v/>
      </c>
      <c r="M24" s="341" t="n"/>
      <c r="Q24">
        <f>IF(TRIM($C24)="","enunciado","")</f>
        <v/>
      </c>
      <c r="R24">
        <f>IF(TRIM($K24)="",IF(COUNTIF($Q24:$Q24,"?*")&gt;0,", ","")&amp;"parcial","")</f>
        <v/>
      </c>
      <c r="S24">
        <f>IF(AND(TRIM($K24)&lt;&gt;"",TRIM($K24)&lt;&gt;VALIDACIONES!$G$1),IF(COUNTIF($Q24:$R24,"?*")&gt;0,", ","")&amp;"parcial distinto a "&amp;VALIDACIONES!$G$1,"")</f>
        <v/>
      </c>
      <c r="T24">
        <f>IF(AND(OR($A24="Ítems agrupados por caso clínico o problema",$A24="Subítem de caso o problema",$A24="Emparejamiento Ampliado",$A24="Opción de Emparejamiento Ampliado"),TRIM($B24)=""),IF(COUNTIF($Q24:$S24,"?*")&gt;0,", ","")&amp;"grupo","")</f>
        <v/>
      </c>
      <c r="U24">
        <f>IF(AND(OR($A24="Verdadero o Falso Simple",$A24="Respuesta A/B/Ambas/Ninguna",$A24="Verdadero o Falso Complejas",$A24="Selección de la mejor respuesta",$A24="Subítem de caso o problema",$A24="Opción de Emparejamiento Ampliado"),TRIM($I24)=""),IF(COUNTIF($Q24:$T24,"?*")&gt;0,", ","")&amp;"respuesta_correcta","")</f>
        <v/>
      </c>
      <c r="V24">
        <f>IF(AND(OR($A24="Verdadero o Falso Simple",$A24="Respuesta A/B/Ambas/Ninguna",$A24="Verdadero o Falso Complejas",$A24="Selección de la mejor respuesta",$A24="Subítem de caso o problema",$A24="Opción de Emparejamiento Ampliado"),TRIM($J24)=""),IF(COUNTIF($Q24:$U24,"?*")&gt;0,", ","")&amp;"dificultad","")</f>
        <v/>
      </c>
      <c r="W24">
        <f>IF(AND(OR($A24="Ítems agrupados por caso clínico o problema",$A24="Emparejamiento Ampliado"),TRIM($I24)&lt;&gt;""),IF(COUNTIF($Q24:$V24,"?*")&gt;0,", ","")&amp;"respuesta debe ir vacia","")</f>
        <v/>
      </c>
      <c r="X24">
        <f>IF(AND(OR($A24="Ítems agrupados por caso clínico o problema",$A24="Emparejamiento Ampliado"),TRIM($J24)&lt;&gt;""),IF(COUNTIF($Q24:$W24,"?*")&gt;0,", ","")&amp;"dificultad debe ir vacia","")</f>
        <v/>
      </c>
      <c r="Y24">
        <f>IF(AND($A24="Verdadero o Falso Simple",OR(COUNTIF($D24:$E24,"?*")&lt;2,COUNTIF($F24:$H24,"?*")&gt;0)),IF(COUNTIF($Q24:$X24,"?*")&gt;0,", ","")&amp;"incisos A-B","")</f>
        <v/>
      </c>
      <c r="Z24">
        <f>IF(AND($A24="Verdadero o Falso Simple",TRIM($I24)&lt;&gt;"",NOT(OR(LEFT(TRIM($I24),1)="A",LEFT(TRIM($I24),1)="B"))),IF(COUNTIF($Q24:$Y24,"?*")&gt;0,", ","")&amp;"respuesta A-B","")</f>
        <v/>
      </c>
      <c r="AA24">
        <f>IF(AND($A24="Respuesta A/B/Ambas/Ninguna",COUNTIF($D24:$G24,"?*")&lt;4),IF(COUNTIF($Q24:$Z24,"?*")&gt;0,", ","")&amp;"opciones A-D","")</f>
        <v/>
      </c>
      <c r="AB24">
        <f>IF(AND($A24="Respuesta A/B/Ambas/Ninguna",COUNTIF($H24:$H24,"?*")&gt;0),IF(COUNTIF($Q24:$AA24,"?*")&gt;0,", ","")&amp;"opcion E deshabilitada","")</f>
        <v/>
      </c>
      <c r="AC24">
        <f>IF(AND($A24="Respuesta A/B/Ambas/Ninguna",TRIM($I24)&lt;&gt;"",NOT(OR(LEFT(TRIM($I24),1)="A",LEFT(TRIM($I24),1)="B",LEFT(TRIM($I24),1)="C",LEFT(TRIM($I24),1)="D"))),IF(COUNTIF($Q24:$AB24,"?*")&gt;0,", ","")&amp;"respuesta A-D","")</f>
        <v/>
      </c>
      <c r="AD24">
        <f>IF(AND($A24="Verdadero o Falso Complejas",OR(LEN(TRIM(SUBSTITUTE($D24,"1.","")))=0,LEN(TRIM(SUBSTITUTE($E24,"2.","")))=0,LEN(TRIM(SUBSTITUTE($F24,"3.","")))=0,LEN(TRIM(SUBSTITUTE($G24,"4.","")))=0)),IF(COUNTIF($Q24:$AC24,"?*")&gt;0,", ","")&amp;"incisos 1-4","")</f>
        <v/>
      </c>
      <c r="AE24">
        <f>IF(AND($A24="Verdadero o Falso Complejas",COUNTIF($H24:$H24,"?*")&gt;0),IF(COUNTIF($Q24:$AD24,"?*")&gt;0,", ","")&amp;"opcion E deshabilitada","")</f>
        <v/>
      </c>
      <c r="AF24">
        <f>IF(AND($A24="Verdadero o Falso Complejas",TRIM($I24)&lt;&gt;"",NOT(OR(LEFT(TRIM($I24),1)="A",LEFT(TRIM($I24),1)="B",LEFT(TRIM($I24),1)="C",LEFT(TRIM($I24),1)="D",LEFT(TRIM($I24),1)="E"))),IF(COUNTIF($Q24:$AE24,"?*")&gt;0,", ","")&amp;"respuesta A-E","")</f>
        <v/>
      </c>
      <c r="AG24">
        <f>IF(AND(OR($A24="Selección de la mejor respuesta",$A24="Subítem de caso o problema"),COUNTA($D24:$H24)&lt;5),IF(COUNTIF($Q24:$AF24,"?*")&gt;0,", ","")&amp;"incisos A-E","")</f>
        <v/>
      </c>
      <c r="AH24">
        <f>IF(AND(OR($A24="Selección de la mejor respuesta",$A24="Subítem de caso o problema"),TRIM($I24)&lt;&gt;"",NOT(OR(LEFT(TRIM($I24),1)="A",LEFT(TRIM($I24),1)="B",LEFT(TRIM($I24),1)="C",LEFT(TRIM($I24),1)="D",LEFT(TRIM($I24),1)="E"))),IF(COUNTIF($Q24:$AG24,"?*")&gt;0,", ","")&amp;"respuesta A-E","")</f>
        <v/>
      </c>
      <c r="AI24">
        <f>IF(AND(OR($A24="Ítems agrupados por caso clínico o problema",$A24="Opción de Emparejamiento Ampliado"),COUNTIF($D24:$H24,"?*")&gt;0),IF(COUNTIF($Q24:$AH24,"?*")&gt;0,", ","")&amp;"sin incisos","")</f>
        <v/>
      </c>
      <c r="AJ24">
        <f>IF(AND($A24="Emparejamiento Ampliado",COUNTIF($D24:$H24,"?*")&lt;2),IF(COUNTIF($Q24:$AI24,"?*")&gt;0,", ","")&amp;"minimo 2 claves","")</f>
        <v/>
      </c>
      <c r="AK24">
        <f>IF(AND($A24="Opción de Emparejamiento Ampliado",NOT(OR(LEFT(TRIM($I24),1)="A",LEFT(TRIM($I24),1)="B",LEFT(TRIM($I24),1)="C",LEFT(TRIM($I24),1)="D",LEFT(TRIM($I24),1)="E"))),IF(COUNTIF($Q24:$AJ24,"?*")&gt;0,", ","")&amp;"respuesta A-E","")</f>
        <v/>
      </c>
      <c r="AL24">
        <f>IF(TRIM($K24)="",IF(COUNTIF($M24:$M24,"?*")&gt;0,", ","")&amp;"parcial","")</f>
        <v/>
      </c>
      <c r="AM24">
        <f>IF(AND(TRIM($K24)&lt;&gt;"",TRIM($K24)&lt;&gt;VALIDACIONES!$G$1),IF(COUNTIF($M24:$N24,"?*")&gt;0,", ","")&amp;"parcial distinto a "&amp;VALIDACIONES!$G$1,"")</f>
        <v/>
      </c>
      <c r="AN24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</row>
    <row r="25" ht="24" customHeight="1">
      <c r="A25" s="344" t="n"/>
      <c r="B25" s="344" t="n"/>
      <c r="C25" s="344" t="n"/>
      <c r="D25" s="344">
        <f>IF($A25="Verdadero o Falso Simple","Verdadero",IF($A25="Respuesta A/B/Ambas/Ninguna","A. Si la primera es verdadera",IF($A25="Verdadero o Falso Complejas","1. ","")))</f>
        <v/>
      </c>
      <c r="E25" s="344">
        <f>IF($A25="Verdadero o Falso Simple","Falso",IF($A25="Respuesta A/B/Ambas/Ninguna","B. Si la segunda es verdadera",IF($A25="Verdadero o Falso Complejas","2. ","")))</f>
        <v/>
      </c>
      <c r="F25" s="344">
        <f>IF($A25="Respuesta A/B/Ambas/Ninguna","C. Si ambas son verdaderas",IF($A25="Verdadero o Falso Complejas","3. ",""))</f>
        <v/>
      </c>
      <c r="G25" s="344">
        <f>IF($A25="Respuesta A/B/Ambas/Ninguna","D. Si ninguna es verdadera",IF($A25="Verdadero o Falso Complejas","4. ",""))</f>
        <v/>
      </c>
      <c r="H25" s="344">
        <f>IF($A25="Verdadero o Falso Simple","",IF($A25="Respuesta A/B/Ambas/Ninguna","",IF($A25="Verdadero o Falso Complejas","","")))</f>
        <v/>
      </c>
      <c r="I25" s="344" t="n"/>
      <c r="J25" s="344" t="n">
        <v>2</v>
      </c>
      <c r="K25" s="344" t="inlineStr">
        <is>
          <t>2P</t>
        </is>
      </c>
      <c r="L25" s="345">
        <f>IF(TRIM($A25)="","",IF(OR($A25="Selección de la mejor respuesta",$A25="SELECCION_MEJOR_RESPUESTA",$A25="Subítem de caso o problema",$A25="SUBITEM_CASO"),IF(TRIM($C25)="","Completar enunciado",IF(SUMPRODUCT(--(LEN(TRIM($D25:$H25&amp;""))&gt;0))&lt;5,"Completar opciones A-E",IF(AND(TRIM($I25)&lt;&gt;"",OR(LEFT(TRIM($I25),1)="A",LEFT(TRIM($I25),1)="B",LEFT(TRIM($I25),1)="C",LEFT(TRIM($I25),1)="D",LEFT(TRIM($I25),1)="E")),"OK","Completar respuesta correcta A-E"))),IF(TRIM($A25)="","",IF(COUNTIF($Q25:$AJ25,"?*")=0,"OK","Falta revisar: "&amp;$Q25&amp;$R25&amp;$S25&amp;$T25&amp;$U25&amp;$V25&amp;$W25&amp;$X25&amp;$Y25&amp;$Z25&amp;$AA25&amp;$AB25&amp;$AC25&amp;$AD25&amp;$AE25&amp;$AF25&amp;$AG25&amp;$AH25&amp;$AI25&amp;$AJ25))))</f>
        <v/>
      </c>
      <c r="M25" s="341" t="n"/>
      <c r="Q25">
        <f>IF(TRIM($C25)="","enunciado","")</f>
        <v/>
      </c>
      <c r="R25">
        <f>IF(TRIM($K25)="",IF(COUNTIF($Q25:$Q25,"?*")&gt;0,", ","")&amp;"parcial","")</f>
        <v/>
      </c>
      <c r="S25">
        <f>IF(AND(TRIM($K25)&lt;&gt;"",TRIM($K25)&lt;&gt;VALIDACIONES!$G$1),IF(COUNTIF($Q25:$R25,"?*")&gt;0,", ","")&amp;"parcial distinto a "&amp;VALIDACIONES!$G$1,"")</f>
        <v/>
      </c>
      <c r="T25">
        <f>IF(AND(OR($A25="Ítems agrupados por caso clínico o problema",$A25="Subítem de caso o problema",$A25="Emparejamiento Ampliado",$A25="Opción de Emparejamiento Ampliado"),TRIM($B25)=""),IF(COUNTIF($Q25:$S25,"?*")&gt;0,", ","")&amp;"grupo","")</f>
        <v/>
      </c>
      <c r="U25">
        <f>IF(AND(OR($A25="Verdadero o Falso Simple",$A25="Respuesta A/B/Ambas/Ninguna",$A25="Verdadero o Falso Complejas",$A25="Selección de la mejor respuesta",$A25="Subítem de caso o problema",$A25="Opción de Emparejamiento Ampliado"),TRIM($I25)=""),IF(COUNTIF($Q25:$T25,"?*")&gt;0,", ","")&amp;"respuesta_correcta","")</f>
        <v/>
      </c>
      <c r="V25">
        <f>IF(AND(OR($A25="Verdadero o Falso Simple",$A25="Respuesta A/B/Ambas/Ninguna",$A25="Verdadero o Falso Complejas",$A25="Selección de la mejor respuesta",$A25="Subítem de caso o problema",$A25="Opción de Emparejamiento Ampliado"),TRIM($J25)=""),IF(COUNTIF($Q25:$U25,"?*")&gt;0,", ","")&amp;"dificultad","")</f>
        <v/>
      </c>
      <c r="W25">
        <f>IF(AND(OR($A25="Ítems agrupados por caso clínico o problema",$A25="Emparejamiento Ampliado"),TRIM($I25)&lt;&gt;""),IF(COUNTIF($Q25:$V25,"?*")&gt;0,", ","")&amp;"respuesta debe ir vacia","")</f>
        <v/>
      </c>
      <c r="X25">
        <f>IF(AND(OR($A25="Ítems agrupados por caso clínico o problema",$A25="Emparejamiento Ampliado"),TRIM($J25)&lt;&gt;""),IF(COUNTIF($Q25:$W25,"?*")&gt;0,", ","")&amp;"dificultad debe ir vacia","")</f>
        <v/>
      </c>
      <c r="Y25">
        <f>IF(AND($A25="Verdadero o Falso Simple",OR(COUNTIF($D25:$E25,"?*")&lt;2,COUNTIF($F25:$H25,"?*")&gt;0)),IF(COUNTIF($Q25:$X25,"?*")&gt;0,", ","")&amp;"incisos A-B","")</f>
        <v/>
      </c>
      <c r="Z25">
        <f>IF(AND($A25="Verdadero o Falso Simple",TRIM($I25)&lt;&gt;"",NOT(OR(LEFT(TRIM($I25),1)="A",LEFT(TRIM($I25),1)="B"))),IF(COUNTIF($Q25:$Y25,"?*")&gt;0,", ","")&amp;"respuesta A-B","")</f>
        <v/>
      </c>
      <c r="AA25">
        <f>IF(AND($A25="Respuesta A/B/Ambas/Ninguna",COUNTIF($D25:$G25,"?*")&lt;4),IF(COUNTIF($Q25:$Z25,"?*")&gt;0,", ","")&amp;"opciones A-D","")</f>
        <v/>
      </c>
      <c r="AB25">
        <f>IF(AND($A25="Respuesta A/B/Ambas/Ninguna",COUNTIF($H25:$H25,"?*")&gt;0),IF(COUNTIF($Q25:$AA25,"?*")&gt;0,", ","")&amp;"opcion E deshabilitada","")</f>
        <v/>
      </c>
      <c r="AC25">
        <f>IF(AND($A25="Respuesta A/B/Ambas/Ninguna",TRIM($I25)&lt;&gt;"",NOT(OR(LEFT(TRIM($I25),1)="A",LEFT(TRIM($I25),1)="B",LEFT(TRIM($I25),1)="C",LEFT(TRIM($I25),1)="D"))),IF(COUNTIF($Q25:$AB25,"?*")&gt;0,", ","")&amp;"respuesta A-D","")</f>
        <v/>
      </c>
      <c r="AD25">
        <f>IF(AND($A25="Verdadero o Falso Complejas",OR(LEN(TRIM(SUBSTITUTE($D25,"1.","")))=0,LEN(TRIM(SUBSTITUTE($E25,"2.","")))=0,LEN(TRIM(SUBSTITUTE($F25,"3.","")))=0,LEN(TRIM(SUBSTITUTE($G25,"4.","")))=0)),IF(COUNTIF($Q25:$AC25,"?*")&gt;0,", ","")&amp;"incisos 1-4","")</f>
        <v/>
      </c>
      <c r="AE25">
        <f>IF(AND($A25="Verdadero o Falso Complejas",COUNTIF($H25:$H25,"?*")&gt;0),IF(COUNTIF($Q25:$AD25,"?*")&gt;0,", ","")&amp;"opcion E deshabilitada","")</f>
        <v/>
      </c>
      <c r="AF25">
        <f>IF(AND($A25="Verdadero o Falso Complejas",TRIM($I25)&lt;&gt;"",NOT(OR(LEFT(TRIM($I25),1)="A",LEFT(TRIM($I25),1)="B",LEFT(TRIM($I25),1)="C",LEFT(TRIM($I25),1)="D",LEFT(TRIM($I25),1)="E"))),IF(COUNTIF($Q25:$AE25,"?*")&gt;0,", ","")&amp;"respuesta A-E","")</f>
        <v/>
      </c>
      <c r="AG25">
        <f>IF(AND(OR($A25="Selección de la mejor respuesta",$A25="Subítem de caso o problema"),COUNTA($D25:$H25)&lt;5),IF(COUNTIF($Q25:$AF25,"?*")&gt;0,", ","")&amp;"incisos A-E","")</f>
        <v/>
      </c>
      <c r="AH25">
        <f>IF(AND(OR($A25="Selección de la mejor respuesta",$A25="Subítem de caso o problema"),TRIM($I25)&lt;&gt;"",NOT(OR(LEFT(TRIM($I25),1)="A",LEFT(TRIM($I25),1)="B",LEFT(TRIM($I25),1)="C",LEFT(TRIM($I25),1)="D",LEFT(TRIM($I25),1)="E"))),IF(COUNTIF($Q25:$AG25,"?*")&gt;0,", ","")&amp;"respuesta A-E","")</f>
        <v/>
      </c>
      <c r="AI25">
        <f>IF(AND(OR($A25="Ítems agrupados por caso clínico o problema",$A25="Opción de Emparejamiento Ampliado"),COUNTIF($D25:$H25,"?*")&gt;0),IF(COUNTIF($Q25:$AH25,"?*")&gt;0,", ","")&amp;"sin incisos","")</f>
        <v/>
      </c>
      <c r="AJ25">
        <f>IF(AND($A25="Emparejamiento Ampliado",COUNTIF($D25:$H25,"?*")&lt;2),IF(COUNTIF($Q25:$AI25,"?*")&gt;0,", ","")&amp;"minimo 2 claves","")</f>
        <v/>
      </c>
      <c r="AK25">
        <f>IF(AND($A25="Opción de Emparejamiento Ampliado",NOT(OR(LEFT(TRIM($I25),1)="A",LEFT(TRIM($I25),1)="B",LEFT(TRIM($I25),1)="C",LEFT(TRIM($I25),1)="D",LEFT(TRIM($I25),1)="E"))),IF(COUNTIF($Q25:$AJ25,"?*")&gt;0,", ","")&amp;"respuesta A-E","")</f>
        <v/>
      </c>
      <c r="AL25">
        <f>IF(TRIM($K25)="",IF(COUNTIF($M25:$M25,"?*")&gt;0,", ","")&amp;"parcial","")</f>
        <v/>
      </c>
      <c r="AM25">
        <f>IF(AND(TRIM($K25)&lt;&gt;"",TRIM($K25)&lt;&gt;VALIDACIONES!$G$1),IF(COUNTIF($M25:$N25,"?*")&gt;0,", ","")&amp;"parcial distinto a "&amp;VALIDACIONES!$G$1,"")</f>
        <v/>
      </c>
      <c r="AN25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</row>
    <row r="26" ht="24" customHeight="1">
      <c r="A26" s="344" t="n"/>
      <c r="B26" s="344" t="n"/>
      <c r="C26" s="344" t="n"/>
      <c r="D26" s="344">
        <f>IF($A26="Verdadero o Falso Simple","Verdadero",IF($A26="Respuesta A/B/Ambas/Ninguna","A. Si la primera es verdadera",IF($A26="Verdadero o Falso Complejas","1. ","")))</f>
        <v/>
      </c>
      <c r="E26" s="344">
        <f>IF($A26="Verdadero o Falso Simple","Falso",IF($A26="Respuesta A/B/Ambas/Ninguna","B. Si la segunda es verdadera",IF($A26="Verdadero o Falso Complejas","2. ","")))</f>
        <v/>
      </c>
      <c r="F26" s="344">
        <f>IF($A26="Respuesta A/B/Ambas/Ninguna","C. Si ambas son verdaderas",IF($A26="Verdadero o Falso Complejas","3. ",""))</f>
        <v/>
      </c>
      <c r="G26" s="344">
        <f>IF($A26="Respuesta A/B/Ambas/Ninguna","D. Si ninguna es verdadera",IF($A26="Verdadero o Falso Complejas","4. ",""))</f>
        <v/>
      </c>
      <c r="H26" s="344">
        <f>IF($A26="Verdadero o Falso Simple","",IF($A26="Respuesta A/B/Ambas/Ninguna","",IF($A26="Verdadero o Falso Complejas","","")))</f>
        <v/>
      </c>
      <c r="I26" s="344" t="n"/>
      <c r="J26" s="344" t="n">
        <v>2</v>
      </c>
      <c r="K26" s="344" t="inlineStr">
        <is>
          <t>2P</t>
        </is>
      </c>
      <c r="L26" s="345">
        <f>IF(TRIM($A26)="","",IF(OR($A26="Selección de la mejor respuesta",$A26="SELECCION_MEJOR_RESPUESTA",$A26="Subítem de caso o problema",$A26="SUBITEM_CASO"),IF(TRIM($C26)="","Completar enunciado",IF(SUMPRODUCT(--(LEN(TRIM($D26:$H26&amp;""))&gt;0))&lt;5,"Completar opciones A-E",IF(AND(TRIM($I26)&lt;&gt;"",OR(LEFT(TRIM($I26),1)="A",LEFT(TRIM($I26),1)="B",LEFT(TRIM($I26),1)="C",LEFT(TRIM($I26),1)="D",LEFT(TRIM($I26),1)="E")),"OK","Completar respuesta correcta A-E"))),IF(TRIM($A26)="","",IF(COUNTIF($Q26:$AJ26,"?*")=0,"OK","Falta revisar: "&amp;$Q26&amp;$R26&amp;$S26&amp;$T26&amp;$U26&amp;$V26&amp;$W26&amp;$X26&amp;$Y26&amp;$Z26&amp;$AA26&amp;$AB26&amp;$AC26&amp;$AD26&amp;$AE26&amp;$AF26&amp;$AG26&amp;$AH26&amp;$AI26&amp;$AJ26))))</f>
        <v/>
      </c>
      <c r="M26" s="341" t="n"/>
      <c r="Q26">
        <f>IF(TRIM($C26)="","enunciado","")</f>
        <v/>
      </c>
      <c r="R26">
        <f>IF(TRIM($K26)="",IF(COUNTIF($Q26:$Q26,"?*")&gt;0,", ","")&amp;"parcial","")</f>
        <v/>
      </c>
      <c r="S26">
        <f>IF(AND(TRIM($K26)&lt;&gt;"",TRIM($K26)&lt;&gt;VALIDACIONES!$G$1),IF(COUNTIF($Q26:$R26,"?*")&gt;0,", ","")&amp;"parcial distinto a "&amp;VALIDACIONES!$G$1,"")</f>
        <v/>
      </c>
      <c r="T26">
        <f>IF(AND(OR($A26="Ítems agrupados por caso clínico o problema",$A26="Subítem de caso o problema",$A26="Emparejamiento Ampliado",$A26="Opción de Emparejamiento Ampliado"),TRIM($B26)=""),IF(COUNTIF($Q26:$S26,"?*")&gt;0,", ","")&amp;"grupo","")</f>
        <v/>
      </c>
      <c r="U26">
        <f>IF(AND(OR($A26="Verdadero o Falso Simple",$A26="Respuesta A/B/Ambas/Ninguna",$A26="Verdadero o Falso Complejas",$A26="Selección de la mejor respuesta",$A26="Subítem de caso o problema",$A26="Opción de Emparejamiento Ampliado"),TRIM($I26)=""),IF(COUNTIF($Q26:$T26,"?*")&gt;0,", ","")&amp;"respuesta_correcta","")</f>
        <v/>
      </c>
      <c r="V26">
        <f>IF(AND(OR($A26="Verdadero o Falso Simple",$A26="Respuesta A/B/Ambas/Ninguna",$A26="Verdadero o Falso Complejas",$A26="Selección de la mejor respuesta",$A26="Subítem de caso o problema",$A26="Opción de Emparejamiento Ampliado"),TRIM($J26)=""),IF(COUNTIF($Q26:$U26,"?*")&gt;0,", ","")&amp;"dificultad","")</f>
        <v/>
      </c>
      <c r="W26">
        <f>IF(AND(OR($A26="Ítems agrupados por caso clínico o problema",$A26="Emparejamiento Ampliado"),TRIM($I26)&lt;&gt;""),IF(COUNTIF($Q26:$V26,"?*")&gt;0,", ","")&amp;"respuesta debe ir vacia","")</f>
        <v/>
      </c>
      <c r="X26">
        <f>IF(AND(OR($A26="Ítems agrupados por caso clínico o problema",$A26="Emparejamiento Ampliado"),TRIM($J26)&lt;&gt;""),IF(COUNTIF($Q26:$W26,"?*")&gt;0,", ","")&amp;"dificultad debe ir vacia","")</f>
        <v/>
      </c>
      <c r="Y26">
        <f>IF(AND($A26="Verdadero o Falso Simple",OR(COUNTIF($D26:$E26,"?*")&lt;2,COUNTIF($F26:$H26,"?*")&gt;0)),IF(COUNTIF($Q26:$X26,"?*")&gt;0,", ","")&amp;"incisos A-B","")</f>
        <v/>
      </c>
      <c r="Z26">
        <f>IF(AND($A26="Verdadero o Falso Simple",TRIM($I26)&lt;&gt;"",NOT(OR(LEFT(TRIM($I26),1)="A",LEFT(TRIM($I26),1)="B"))),IF(COUNTIF($Q26:$Y26,"?*")&gt;0,", ","")&amp;"respuesta A-B","")</f>
        <v/>
      </c>
      <c r="AA26">
        <f>IF(AND($A26="Respuesta A/B/Ambas/Ninguna",COUNTIF($D26:$G26,"?*")&lt;4),IF(COUNTIF($Q26:$Z26,"?*")&gt;0,", ","")&amp;"opciones A-D","")</f>
        <v/>
      </c>
      <c r="AB26">
        <f>IF(AND($A26="Respuesta A/B/Ambas/Ninguna",COUNTIF($H26:$H26,"?*")&gt;0),IF(COUNTIF($Q26:$AA26,"?*")&gt;0,", ","")&amp;"opcion E deshabilitada","")</f>
        <v/>
      </c>
      <c r="AC26">
        <f>IF(AND($A26="Respuesta A/B/Ambas/Ninguna",TRIM($I26)&lt;&gt;"",NOT(OR(LEFT(TRIM($I26),1)="A",LEFT(TRIM($I26),1)="B",LEFT(TRIM($I26),1)="C",LEFT(TRIM($I26),1)="D"))),IF(COUNTIF($Q26:$AB26,"?*")&gt;0,", ","")&amp;"respuesta A-D","")</f>
        <v/>
      </c>
      <c r="AD26">
        <f>IF(AND($A26="Verdadero o Falso Complejas",OR(LEN(TRIM(SUBSTITUTE($D26,"1.","")))=0,LEN(TRIM(SUBSTITUTE($E26,"2.","")))=0,LEN(TRIM(SUBSTITUTE($F26,"3.","")))=0,LEN(TRIM(SUBSTITUTE($G26,"4.","")))=0)),IF(COUNTIF($Q26:$AC26,"?*")&gt;0,", ","")&amp;"incisos 1-4","")</f>
        <v/>
      </c>
      <c r="AE26">
        <f>IF(AND($A26="Verdadero o Falso Complejas",COUNTIF($H26:$H26,"?*")&gt;0),IF(COUNTIF($Q26:$AD26,"?*")&gt;0,", ","")&amp;"opcion E deshabilitada","")</f>
        <v/>
      </c>
      <c r="AF26">
        <f>IF(AND($A26="Verdadero o Falso Complejas",TRIM($I26)&lt;&gt;"",NOT(OR(LEFT(TRIM($I26),1)="A",LEFT(TRIM($I26),1)="B",LEFT(TRIM($I26),1)="C",LEFT(TRIM($I26),1)="D",LEFT(TRIM($I26),1)="E"))),IF(COUNTIF($Q26:$AE26,"?*")&gt;0,", ","")&amp;"respuesta A-E","")</f>
        <v/>
      </c>
      <c r="AG26">
        <f>IF(AND(OR($A26="Selección de la mejor respuesta",$A26="Subítem de caso o problema"),COUNTA($D26:$H26)&lt;5),IF(COUNTIF($Q26:$AF26,"?*")&gt;0,", ","")&amp;"incisos A-E","")</f>
        <v/>
      </c>
      <c r="AH26">
        <f>IF(AND(OR($A26="Selección de la mejor respuesta",$A26="Subítem de caso o problema"),TRIM($I26)&lt;&gt;"",NOT(OR(LEFT(TRIM($I26),1)="A",LEFT(TRIM($I26),1)="B",LEFT(TRIM($I26),1)="C",LEFT(TRIM($I26),1)="D",LEFT(TRIM($I26),1)="E"))),IF(COUNTIF($Q26:$AG26,"?*")&gt;0,", ","")&amp;"respuesta A-E","")</f>
        <v/>
      </c>
      <c r="AI26">
        <f>IF(AND(OR($A26="Ítems agrupados por caso clínico o problema",$A26="Opción de Emparejamiento Ampliado"),COUNTIF($D26:$H26,"?*")&gt;0),IF(COUNTIF($Q26:$AH26,"?*")&gt;0,", ","")&amp;"sin incisos","")</f>
        <v/>
      </c>
      <c r="AJ26">
        <f>IF(AND($A26="Emparejamiento Ampliado",COUNTIF($D26:$H26,"?*")&lt;2),IF(COUNTIF($Q26:$AI26,"?*")&gt;0,", ","")&amp;"minimo 2 claves","")</f>
        <v/>
      </c>
      <c r="AK26">
        <f>IF(AND($A26="Opción de Emparejamiento Ampliado",NOT(OR(LEFT(TRIM($I26),1)="A",LEFT(TRIM($I26),1)="B",LEFT(TRIM($I26),1)="C",LEFT(TRIM($I26),1)="D",LEFT(TRIM($I26),1)="E"))),IF(COUNTIF($Q26:$AJ26,"?*")&gt;0,", ","")&amp;"respuesta A-E","")</f>
        <v/>
      </c>
      <c r="AL26">
        <f>IF(TRIM($K26)="",IF(COUNTIF($M26:$M26,"?*")&gt;0,", ","")&amp;"parcial","")</f>
        <v/>
      </c>
      <c r="AM26">
        <f>IF(AND(TRIM($K26)&lt;&gt;"",TRIM($K26)&lt;&gt;VALIDACIONES!$G$1),IF(COUNTIF($M26:$N26,"?*")&gt;0,", ","")&amp;"parcial distinto a "&amp;VALIDACIONES!$G$1,"")</f>
        <v/>
      </c>
      <c r="AN26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</row>
    <row r="27" ht="24" customHeight="1">
      <c r="A27" s="344" t="n"/>
      <c r="B27" s="344" t="n"/>
      <c r="C27" s="344" t="n"/>
      <c r="D27" s="344">
        <f>IF($A27="Verdadero o Falso Simple","Verdadero",IF($A27="Respuesta A/B/Ambas/Ninguna","A. Si la primera es verdadera",IF($A27="Verdadero o Falso Complejas","1. ","")))</f>
        <v/>
      </c>
      <c r="E27" s="344">
        <f>IF($A27="Verdadero o Falso Simple","Falso",IF($A27="Respuesta A/B/Ambas/Ninguna","B. Si la segunda es verdadera",IF($A27="Verdadero o Falso Complejas","2. ","")))</f>
        <v/>
      </c>
      <c r="F27" s="344">
        <f>IF($A27="Respuesta A/B/Ambas/Ninguna","C. Si ambas son verdaderas",IF($A27="Verdadero o Falso Complejas","3. ",""))</f>
        <v/>
      </c>
      <c r="G27" s="344">
        <f>IF($A27="Respuesta A/B/Ambas/Ninguna","D. Si ninguna es verdadera",IF($A27="Verdadero o Falso Complejas","4. ",""))</f>
        <v/>
      </c>
      <c r="H27" s="344">
        <f>IF($A27="Verdadero o Falso Simple","",IF($A27="Respuesta A/B/Ambas/Ninguna","",IF($A27="Verdadero o Falso Complejas","","")))</f>
        <v/>
      </c>
      <c r="I27" s="344" t="n"/>
      <c r="J27" s="344" t="n">
        <v>2</v>
      </c>
      <c r="K27" s="344" t="inlineStr">
        <is>
          <t>2P</t>
        </is>
      </c>
      <c r="L27" s="345">
        <f>IF(TRIM($A27)="","",IF(OR($A27="Selección de la mejor respuesta",$A27="SELECCION_MEJOR_RESPUESTA",$A27="Subítem de caso o problema",$A27="SUBITEM_CASO"),IF(TRIM($C27)="","Completar enunciado",IF(SUMPRODUCT(--(LEN(TRIM($D27:$H27&amp;""))&gt;0))&lt;5,"Completar opciones A-E",IF(AND(TRIM($I27)&lt;&gt;"",OR(LEFT(TRIM($I27),1)="A",LEFT(TRIM($I27),1)="B",LEFT(TRIM($I27),1)="C",LEFT(TRIM($I27),1)="D",LEFT(TRIM($I27),1)="E")),"OK","Completar respuesta correcta A-E"))),IF(TRIM($A27)="","",IF(COUNTIF($Q27:$AJ27,"?*")=0,"OK","Falta revisar: "&amp;$Q27&amp;$R27&amp;$S27&amp;$T27&amp;$U27&amp;$V27&amp;$W27&amp;$X27&amp;$Y27&amp;$Z27&amp;$AA27&amp;$AB27&amp;$AC27&amp;$AD27&amp;$AE27&amp;$AF27&amp;$AG27&amp;$AH27&amp;$AI27&amp;$AJ27))))</f>
        <v/>
      </c>
      <c r="M27" s="341" t="n"/>
      <c r="Q27">
        <f>IF(TRIM($C27)="","enunciado","")</f>
        <v/>
      </c>
      <c r="R27">
        <f>IF(TRIM($K27)="",IF(COUNTIF($Q27:$Q27,"?*")&gt;0,", ","")&amp;"parcial","")</f>
        <v/>
      </c>
      <c r="S27">
        <f>IF(AND(TRIM($K27)&lt;&gt;"",TRIM($K27)&lt;&gt;VALIDACIONES!$G$1),IF(COUNTIF($Q27:$R27,"?*")&gt;0,", ","")&amp;"parcial distinto a "&amp;VALIDACIONES!$G$1,"")</f>
        <v/>
      </c>
      <c r="T27">
        <f>IF(AND(OR($A27="Ítems agrupados por caso clínico o problema",$A27="Subítem de caso o problema",$A27="Emparejamiento Ampliado",$A27="Opción de Emparejamiento Ampliado"),TRIM($B27)=""),IF(COUNTIF($Q27:$S27,"?*")&gt;0,", ","")&amp;"grupo","")</f>
        <v/>
      </c>
      <c r="U27">
        <f>IF(AND(OR($A27="Verdadero o Falso Simple",$A27="Respuesta A/B/Ambas/Ninguna",$A27="Verdadero o Falso Complejas",$A27="Selección de la mejor respuesta",$A27="Subítem de caso o problema",$A27="Opción de Emparejamiento Ampliado"),TRIM($I27)=""),IF(COUNTIF($Q27:$T27,"?*")&gt;0,", ","")&amp;"respuesta_correcta","")</f>
        <v/>
      </c>
      <c r="V27">
        <f>IF(AND(OR($A27="Verdadero o Falso Simple",$A27="Respuesta A/B/Ambas/Ninguna",$A27="Verdadero o Falso Complejas",$A27="Selección de la mejor respuesta",$A27="Subítem de caso o problema",$A27="Opción de Emparejamiento Ampliado"),TRIM($J27)=""),IF(COUNTIF($Q27:$U27,"?*")&gt;0,", ","")&amp;"dificultad","")</f>
        <v/>
      </c>
      <c r="W27">
        <f>IF(AND(OR($A27="Ítems agrupados por caso clínico o problema",$A27="Emparejamiento Ampliado"),TRIM($I27)&lt;&gt;""),IF(COUNTIF($Q27:$V27,"?*")&gt;0,", ","")&amp;"respuesta debe ir vacia","")</f>
        <v/>
      </c>
      <c r="X27">
        <f>IF(AND(OR($A27="Ítems agrupados por caso clínico o problema",$A27="Emparejamiento Ampliado"),TRIM($J27)&lt;&gt;""),IF(COUNTIF($Q27:$W27,"?*")&gt;0,", ","")&amp;"dificultad debe ir vacia","")</f>
        <v/>
      </c>
      <c r="Y27">
        <f>IF(AND($A27="Verdadero o Falso Simple",OR(COUNTIF($D27:$E27,"?*")&lt;2,COUNTIF($F27:$H27,"?*")&gt;0)),IF(COUNTIF($Q27:$X27,"?*")&gt;0,", ","")&amp;"incisos A-B","")</f>
        <v/>
      </c>
      <c r="Z27">
        <f>IF(AND($A27="Verdadero o Falso Simple",TRIM($I27)&lt;&gt;"",NOT(OR(LEFT(TRIM($I27),1)="A",LEFT(TRIM($I27),1)="B"))),IF(COUNTIF($Q27:$Y27,"?*")&gt;0,", ","")&amp;"respuesta A-B","")</f>
        <v/>
      </c>
      <c r="AA27">
        <f>IF(AND($A27="Respuesta A/B/Ambas/Ninguna",COUNTIF($D27:$G27,"?*")&lt;4),IF(COUNTIF($Q27:$Z27,"?*")&gt;0,", ","")&amp;"opciones A-D","")</f>
        <v/>
      </c>
      <c r="AB27">
        <f>IF(AND($A27="Respuesta A/B/Ambas/Ninguna",COUNTIF($H27:$H27,"?*")&gt;0),IF(COUNTIF($Q27:$AA27,"?*")&gt;0,", ","")&amp;"opcion E deshabilitada","")</f>
        <v/>
      </c>
      <c r="AC27">
        <f>IF(AND($A27="Respuesta A/B/Ambas/Ninguna",TRIM($I27)&lt;&gt;"",NOT(OR(LEFT(TRIM($I27),1)="A",LEFT(TRIM($I27),1)="B",LEFT(TRIM($I27),1)="C",LEFT(TRIM($I27),1)="D"))),IF(COUNTIF($Q27:$AB27,"?*")&gt;0,", ","")&amp;"respuesta A-D","")</f>
        <v/>
      </c>
      <c r="AD27">
        <f>IF(AND($A27="Verdadero o Falso Complejas",OR(LEN(TRIM(SUBSTITUTE($D27,"1.","")))=0,LEN(TRIM(SUBSTITUTE($E27,"2.","")))=0,LEN(TRIM(SUBSTITUTE($F27,"3.","")))=0,LEN(TRIM(SUBSTITUTE($G27,"4.","")))=0)),IF(COUNTIF($Q27:$AC27,"?*")&gt;0,", ","")&amp;"incisos 1-4","")</f>
        <v/>
      </c>
      <c r="AE27">
        <f>IF(AND($A27="Verdadero o Falso Complejas",COUNTIF($H27:$H27,"?*")&gt;0),IF(COUNTIF($Q27:$AD27,"?*")&gt;0,", ","")&amp;"opcion E deshabilitada","")</f>
        <v/>
      </c>
      <c r="AF27">
        <f>IF(AND($A27="Verdadero o Falso Complejas",TRIM($I27)&lt;&gt;"",NOT(OR(LEFT(TRIM($I27),1)="A",LEFT(TRIM($I27),1)="B",LEFT(TRIM($I27),1)="C",LEFT(TRIM($I27),1)="D",LEFT(TRIM($I27),1)="E"))),IF(COUNTIF($Q27:$AE27,"?*")&gt;0,", ","")&amp;"respuesta A-E","")</f>
        <v/>
      </c>
      <c r="AG27">
        <f>IF(AND(OR($A27="Selección de la mejor respuesta",$A27="Subítem de caso o problema"),COUNTA($D27:$H27)&lt;5),IF(COUNTIF($Q27:$AF27,"?*")&gt;0,", ","")&amp;"incisos A-E","")</f>
        <v/>
      </c>
      <c r="AH27">
        <f>IF(AND(OR($A27="Selección de la mejor respuesta",$A27="Subítem de caso o problema"),TRIM($I27)&lt;&gt;"",NOT(OR(LEFT(TRIM($I27),1)="A",LEFT(TRIM($I27),1)="B",LEFT(TRIM($I27),1)="C",LEFT(TRIM($I27),1)="D",LEFT(TRIM($I27),1)="E"))),IF(COUNTIF($Q27:$AG27,"?*")&gt;0,", ","")&amp;"respuesta A-E","")</f>
        <v/>
      </c>
      <c r="AI27">
        <f>IF(AND(OR($A27="Ítems agrupados por caso clínico o problema",$A27="Opción de Emparejamiento Ampliado"),COUNTIF($D27:$H27,"?*")&gt;0),IF(COUNTIF($Q27:$AH27,"?*")&gt;0,", ","")&amp;"sin incisos","")</f>
        <v/>
      </c>
      <c r="AJ27">
        <f>IF(AND($A27="Emparejamiento Ampliado",COUNTIF($D27:$H27,"?*")&lt;2),IF(COUNTIF($Q27:$AI27,"?*")&gt;0,", ","")&amp;"minimo 2 claves","")</f>
        <v/>
      </c>
      <c r="AK27">
        <f>IF(AND($A27="Opción de Emparejamiento Ampliado",NOT(OR(LEFT(TRIM($I27),1)="A",LEFT(TRIM($I27),1)="B",LEFT(TRIM($I27),1)="C",LEFT(TRIM($I27),1)="D",LEFT(TRIM($I27),1)="E"))),IF(COUNTIF($Q27:$AJ27,"?*")&gt;0,", ","")&amp;"respuesta A-E","")</f>
        <v/>
      </c>
      <c r="AL27">
        <f>IF(TRIM($K27)="",IF(COUNTIF($M27:$M27,"?*")&gt;0,", ","")&amp;"parcial","")</f>
        <v/>
      </c>
      <c r="AM27">
        <f>IF(AND(TRIM($K27)&lt;&gt;"",TRIM($K27)&lt;&gt;VALIDACIONES!$G$1),IF(COUNTIF($M27:$N27,"?*")&gt;0,", ","")&amp;"parcial distinto a "&amp;VALIDACIONES!$G$1,"")</f>
        <v/>
      </c>
      <c r="AN27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</row>
    <row r="28" ht="24" customHeight="1">
      <c r="A28" s="344" t="n"/>
      <c r="B28" s="344" t="n"/>
      <c r="C28" s="344" t="n"/>
      <c r="D28" s="344">
        <f>IF($A28="Verdadero o Falso Simple","Verdadero",IF($A28="Respuesta A/B/Ambas/Ninguna","A. Si la primera es verdadera",IF($A28="Verdadero o Falso Complejas","1. ","")))</f>
        <v/>
      </c>
      <c r="E28" s="344">
        <f>IF($A28="Verdadero o Falso Simple","Falso",IF($A28="Respuesta A/B/Ambas/Ninguna","B. Si la segunda es verdadera",IF($A28="Verdadero o Falso Complejas","2. ","")))</f>
        <v/>
      </c>
      <c r="F28" s="344">
        <f>IF($A28="Respuesta A/B/Ambas/Ninguna","C. Si ambas son verdaderas",IF($A28="Verdadero o Falso Complejas","3. ",""))</f>
        <v/>
      </c>
      <c r="G28" s="344">
        <f>IF($A28="Respuesta A/B/Ambas/Ninguna","D. Si ninguna es verdadera",IF($A28="Verdadero o Falso Complejas","4. ",""))</f>
        <v/>
      </c>
      <c r="H28" s="344">
        <f>IF($A28="Verdadero o Falso Simple","",IF($A28="Respuesta A/B/Ambas/Ninguna","",IF($A28="Verdadero o Falso Complejas","","")))</f>
        <v/>
      </c>
      <c r="I28" s="344" t="n"/>
      <c r="J28" s="344" t="n">
        <v>2</v>
      </c>
      <c r="K28" s="344" t="inlineStr">
        <is>
          <t>2P</t>
        </is>
      </c>
      <c r="L28" s="345">
        <f>IF(TRIM($A28)="","",IF(OR($A28="Selección de la mejor respuesta",$A28="SELECCION_MEJOR_RESPUESTA",$A28="Subítem de caso o problema",$A28="SUBITEM_CASO"),IF(TRIM($C28)="","Completar enunciado",IF(SUMPRODUCT(--(LEN(TRIM($D28:$H28&amp;""))&gt;0))&lt;5,"Completar opciones A-E",IF(AND(TRIM($I28)&lt;&gt;"",OR(LEFT(TRIM($I28),1)="A",LEFT(TRIM($I28),1)="B",LEFT(TRIM($I28),1)="C",LEFT(TRIM($I28),1)="D",LEFT(TRIM($I28),1)="E")),"OK","Completar respuesta correcta A-E"))),IF(TRIM($A28)="","",IF(COUNTIF($Q28:$AJ28,"?*")=0,"OK","Falta revisar: "&amp;$Q28&amp;$R28&amp;$S28&amp;$T28&amp;$U28&amp;$V28&amp;$W28&amp;$X28&amp;$Y28&amp;$Z28&amp;$AA28&amp;$AB28&amp;$AC28&amp;$AD28&amp;$AE28&amp;$AF28&amp;$AG28&amp;$AH28&amp;$AI28&amp;$AJ28))))</f>
        <v/>
      </c>
      <c r="M28" s="341" t="n"/>
      <c r="Q28">
        <f>IF(TRIM($C28)="","enunciado","")</f>
        <v/>
      </c>
      <c r="R28">
        <f>IF(TRIM($K28)="",IF(COUNTIF($Q28:$Q28,"?*")&gt;0,", ","")&amp;"parcial","")</f>
        <v/>
      </c>
      <c r="S28">
        <f>IF(AND(TRIM($K28)&lt;&gt;"",TRIM($K28)&lt;&gt;VALIDACIONES!$G$1),IF(COUNTIF($Q28:$R28,"?*")&gt;0,", ","")&amp;"parcial distinto a "&amp;VALIDACIONES!$G$1,"")</f>
        <v/>
      </c>
      <c r="T28">
        <f>IF(AND(OR($A28="Ítems agrupados por caso clínico o problema",$A28="Subítem de caso o problema",$A28="Emparejamiento Ampliado",$A28="Opción de Emparejamiento Ampliado"),TRIM($B28)=""),IF(COUNTIF($Q28:$S28,"?*")&gt;0,", ","")&amp;"grupo","")</f>
        <v/>
      </c>
      <c r="U28">
        <f>IF(AND(OR($A28="Verdadero o Falso Simple",$A28="Respuesta A/B/Ambas/Ninguna",$A28="Verdadero o Falso Complejas",$A28="Selección de la mejor respuesta",$A28="Subítem de caso o problema",$A28="Opción de Emparejamiento Ampliado"),TRIM($I28)=""),IF(COUNTIF($Q28:$T28,"?*")&gt;0,", ","")&amp;"respuesta_correcta","")</f>
        <v/>
      </c>
      <c r="V28">
        <f>IF(AND(OR($A28="Verdadero o Falso Simple",$A28="Respuesta A/B/Ambas/Ninguna",$A28="Verdadero o Falso Complejas",$A28="Selección de la mejor respuesta",$A28="Subítem de caso o problema",$A28="Opción de Emparejamiento Ampliado"),TRIM($J28)=""),IF(COUNTIF($Q28:$U28,"?*")&gt;0,", ","")&amp;"dificultad","")</f>
        <v/>
      </c>
      <c r="W28">
        <f>IF(AND(OR($A28="Ítems agrupados por caso clínico o problema",$A28="Emparejamiento Ampliado"),TRIM($I28)&lt;&gt;""),IF(COUNTIF($Q28:$V28,"?*")&gt;0,", ","")&amp;"respuesta debe ir vacia","")</f>
        <v/>
      </c>
      <c r="X28">
        <f>IF(AND(OR($A28="Ítems agrupados por caso clínico o problema",$A28="Emparejamiento Ampliado"),TRIM($J28)&lt;&gt;""),IF(COUNTIF($Q28:$W28,"?*")&gt;0,", ","")&amp;"dificultad debe ir vacia","")</f>
        <v/>
      </c>
      <c r="Y28">
        <f>IF(AND($A28="Verdadero o Falso Simple",OR(COUNTIF($D28:$E28,"?*")&lt;2,COUNTIF($F28:$H28,"?*")&gt;0)),IF(COUNTIF($Q28:$X28,"?*")&gt;0,", ","")&amp;"incisos A-B","")</f>
        <v/>
      </c>
      <c r="Z28">
        <f>IF(AND($A28="Verdadero o Falso Simple",TRIM($I28)&lt;&gt;"",NOT(OR(LEFT(TRIM($I28),1)="A",LEFT(TRIM($I28),1)="B"))),IF(COUNTIF($Q28:$Y28,"?*")&gt;0,", ","")&amp;"respuesta A-B","")</f>
        <v/>
      </c>
      <c r="AA28">
        <f>IF(AND($A28="Respuesta A/B/Ambas/Ninguna",COUNTIF($D28:$G28,"?*")&lt;4),IF(COUNTIF($Q28:$Z28,"?*")&gt;0,", ","")&amp;"opciones A-D","")</f>
        <v/>
      </c>
      <c r="AB28">
        <f>IF(AND($A28="Respuesta A/B/Ambas/Ninguna",COUNTIF($H28:$H28,"?*")&gt;0),IF(COUNTIF($Q28:$AA28,"?*")&gt;0,", ","")&amp;"opcion E deshabilitada","")</f>
        <v/>
      </c>
      <c r="AC28">
        <f>IF(AND($A28="Respuesta A/B/Ambas/Ninguna",TRIM($I28)&lt;&gt;"",NOT(OR(LEFT(TRIM($I28),1)="A",LEFT(TRIM($I28),1)="B",LEFT(TRIM($I28),1)="C",LEFT(TRIM($I28),1)="D"))),IF(COUNTIF($Q28:$AB28,"?*")&gt;0,", ","")&amp;"respuesta A-D","")</f>
        <v/>
      </c>
      <c r="AD28">
        <f>IF(AND($A28="Verdadero o Falso Complejas",OR(LEN(TRIM(SUBSTITUTE($D28,"1.","")))=0,LEN(TRIM(SUBSTITUTE($E28,"2.","")))=0,LEN(TRIM(SUBSTITUTE($F28,"3.","")))=0,LEN(TRIM(SUBSTITUTE($G28,"4.","")))=0)),IF(COUNTIF($Q28:$AC28,"?*")&gt;0,", ","")&amp;"incisos 1-4","")</f>
        <v/>
      </c>
      <c r="AE28">
        <f>IF(AND($A28="Verdadero o Falso Complejas",COUNTIF($H28:$H28,"?*")&gt;0),IF(COUNTIF($Q28:$AD28,"?*")&gt;0,", ","")&amp;"opcion E deshabilitada","")</f>
        <v/>
      </c>
      <c r="AF28">
        <f>IF(AND($A28="Verdadero o Falso Complejas",TRIM($I28)&lt;&gt;"",NOT(OR(LEFT(TRIM($I28),1)="A",LEFT(TRIM($I28),1)="B",LEFT(TRIM($I28),1)="C",LEFT(TRIM($I28),1)="D",LEFT(TRIM($I28),1)="E"))),IF(COUNTIF($Q28:$AE28,"?*")&gt;0,", ","")&amp;"respuesta A-E","")</f>
        <v/>
      </c>
      <c r="AG28">
        <f>IF(AND(OR($A28="Selección de la mejor respuesta",$A28="Subítem de caso o problema"),COUNTA($D28:$H28)&lt;5),IF(COUNTIF($Q28:$AF28,"?*")&gt;0,", ","")&amp;"incisos A-E","")</f>
        <v/>
      </c>
      <c r="AH28">
        <f>IF(AND(OR($A28="Selección de la mejor respuesta",$A28="Subítem de caso o problema"),TRIM($I28)&lt;&gt;"",NOT(OR(LEFT(TRIM($I28),1)="A",LEFT(TRIM($I28),1)="B",LEFT(TRIM($I28),1)="C",LEFT(TRIM($I28),1)="D",LEFT(TRIM($I28),1)="E"))),IF(COUNTIF($Q28:$AG28,"?*")&gt;0,", ","")&amp;"respuesta A-E","")</f>
        <v/>
      </c>
      <c r="AI28">
        <f>IF(AND(OR($A28="Ítems agrupados por caso clínico o problema",$A28="Opción de Emparejamiento Ampliado"),COUNTIF($D28:$H28,"?*")&gt;0),IF(COUNTIF($Q28:$AH28,"?*")&gt;0,", ","")&amp;"sin incisos","")</f>
        <v/>
      </c>
      <c r="AJ28">
        <f>IF(AND($A28="Emparejamiento Ampliado",COUNTIF($D28:$H28,"?*")&lt;2),IF(COUNTIF($Q28:$AI28,"?*")&gt;0,", ","")&amp;"minimo 2 claves","")</f>
        <v/>
      </c>
      <c r="AK28">
        <f>IF(AND($A28="Opción de Emparejamiento Ampliado",NOT(OR(LEFT(TRIM($I28),1)="A",LEFT(TRIM($I28),1)="B",LEFT(TRIM($I28),1)="C",LEFT(TRIM($I28),1)="D",LEFT(TRIM($I28),1)="E"))),IF(COUNTIF($Q28:$AJ28,"?*")&gt;0,", ","")&amp;"respuesta A-E","")</f>
        <v/>
      </c>
      <c r="AL28">
        <f>IF(TRIM($K28)="",IF(COUNTIF($M28:$M28,"?*")&gt;0,", ","")&amp;"parcial","")</f>
        <v/>
      </c>
      <c r="AM28">
        <f>IF(AND(TRIM($K28)&lt;&gt;"",TRIM($K28)&lt;&gt;VALIDACIONES!$G$1),IF(COUNTIF($M28:$N28,"?*")&gt;0,", ","")&amp;"parcial distinto a "&amp;VALIDACIONES!$G$1,"")</f>
        <v/>
      </c>
      <c r="AN28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</row>
    <row r="29" ht="24" customHeight="1">
      <c r="A29" s="344" t="n"/>
      <c r="B29" s="344" t="n"/>
      <c r="C29" s="344" t="n"/>
      <c r="D29" s="344">
        <f>IF($A29="Verdadero o Falso Simple","Verdadero",IF($A29="Respuesta A/B/Ambas/Ninguna","A. Si la primera es verdadera",IF($A29="Verdadero o Falso Complejas","1. ","")))</f>
        <v/>
      </c>
      <c r="E29" s="344">
        <f>IF($A29="Verdadero o Falso Simple","Falso",IF($A29="Respuesta A/B/Ambas/Ninguna","B. Si la segunda es verdadera",IF($A29="Verdadero o Falso Complejas","2. ","")))</f>
        <v/>
      </c>
      <c r="F29" s="344">
        <f>IF($A29="Respuesta A/B/Ambas/Ninguna","C. Si ambas son verdaderas",IF($A29="Verdadero o Falso Complejas","3. ",""))</f>
        <v/>
      </c>
      <c r="G29" s="344">
        <f>IF($A29="Respuesta A/B/Ambas/Ninguna","D. Si ninguna es verdadera",IF($A29="Verdadero o Falso Complejas","4. ",""))</f>
        <v/>
      </c>
      <c r="H29" s="344">
        <f>IF($A29="Verdadero o Falso Simple","",IF($A29="Respuesta A/B/Ambas/Ninguna","",IF($A29="Verdadero o Falso Complejas","","")))</f>
        <v/>
      </c>
      <c r="I29" s="344" t="n"/>
      <c r="J29" s="344" t="n">
        <v>2</v>
      </c>
      <c r="K29" s="344" t="inlineStr">
        <is>
          <t>2P</t>
        </is>
      </c>
      <c r="L29" s="345">
        <f>IF(TRIM($A29)="","",IF(OR($A29="Selección de la mejor respuesta",$A29="SELECCION_MEJOR_RESPUESTA",$A29="Subítem de caso o problema",$A29="SUBITEM_CASO"),IF(TRIM($C29)="","Completar enunciado",IF(SUMPRODUCT(--(LEN(TRIM($D29:$H29&amp;""))&gt;0))&lt;5,"Completar opciones A-E",IF(AND(TRIM($I29)&lt;&gt;"",OR(LEFT(TRIM($I29),1)="A",LEFT(TRIM($I29),1)="B",LEFT(TRIM($I29),1)="C",LEFT(TRIM($I29),1)="D",LEFT(TRIM($I29),1)="E")),"OK","Completar respuesta correcta A-E"))),IF(TRIM($A29)="","",IF(COUNTIF($Q29:$AJ29,"?*")=0,"OK","Falta revisar: "&amp;$Q29&amp;$R29&amp;$S29&amp;$T29&amp;$U29&amp;$V29&amp;$W29&amp;$X29&amp;$Y29&amp;$Z29&amp;$AA29&amp;$AB29&amp;$AC29&amp;$AD29&amp;$AE29&amp;$AF29&amp;$AG29&amp;$AH29&amp;$AI29&amp;$AJ29))))</f>
        <v/>
      </c>
      <c r="M29" s="341" t="n"/>
      <c r="Q29">
        <f>IF(TRIM($C29)="","enunciado","")</f>
        <v/>
      </c>
      <c r="R29">
        <f>IF(TRIM($K29)="",IF(COUNTIF($Q29:$Q29,"?*")&gt;0,", ","")&amp;"parcial","")</f>
        <v/>
      </c>
      <c r="S29">
        <f>IF(AND(TRIM($K29)&lt;&gt;"",TRIM($K29)&lt;&gt;VALIDACIONES!$G$1),IF(COUNTIF($Q29:$R29,"?*")&gt;0,", ","")&amp;"parcial distinto a "&amp;VALIDACIONES!$G$1,"")</f>
        <v/>
      </c>
      <c r="T29">
        <f>IF(AND(OR($A29="Ítems agrupados por caso clínico o problema",$A29="Subítem de caso o problema",$A29="Emparejamiento Ampliado",$A29="Opción de Emparejamiento Ampliado"),TRIM($B29)=""),IF(COUNTIF($Q29:$S29,"?*")&gt;0,", ","")&amp;"grupo","")</f>
        <v/>
      </c>
      <c r="U29">
        <f>IF(AND(OR($A29="Verdadero o Falso Simple",$A29="Respuesta A/B/Ambas/Ninguna",$A29="Verdadero o Falso Complejas",$A29="Selección de la mejor respuesta",$A29="Subítem de caso o problema",$A29="Opción de Emparejamiento Ampliado"),TRIM($I29)=""),IF(COUNTIF($Q29:$T29,"?*")&gt;0,", ","")&amp;"respuesta_correcta","")</f>
        <v/>
      </c>
      <c r="V29">
        <f>IF(AND(OR($A29="Verdadero o Falso Simple",$A29="Respuesta A/B/Ambas/Ninguna",$A29="Verdadero o Falso Complejas",$A29="Selección de la mejor respuesta",$A29="Subítem de caso o problema",$A29="Opción de Emparejamiento Ampliado"),TRIM($J29)=""),IF(COUNTIF($Q29:$U29,"?*")&gt;0,", ","")&amp;"dificultad","")</f>
        <v/>
      </c>
      <c r="W29">
        <f>IF(AND(OR($A29="Ítems agrupados por caso clínico o problema",$A29="Emparejamiento Ampliado"),TRIM($I29)&lt;&gt;""),IF(COUNTIF($Q29:$V29,"?*")&gt;0,", ","")&amp;"respuesta debe ir vacia","")</f>
        <v/>
      </c>
      <c r="X29">
        <f>IF(AND(OR($A29="Ítems agrupados por caso clínico o problema",$A29="Emparejamiento Ampliado"),TRIM($J29)&lt;&gt;""),IF(COUNTIF($Q29:$W29,"?*")&gt;0,", ","")&amp;"dificultad debe ir vacia","")</f>
        <v/>
      </c>
      <c r="Y29">
        <f>IF(AND($A29="Verdadero o Falso Simple",OR(COUNTIF($D29:$E29,"?*")&lt;2,COUNTIF($F29:$H29,"?*")&gt;0)),IF(COUNTIF($Q29:$X29,"?*")&gt;0,", ","")&amp;"incisos A-B","")</f>
        <v/>
      </c>
      <c r="Z29">
        <f>IF(AND($A29="Verdadero o Falso Simple",TRIM($I29)&lt;&gt;"",NOT(OR(LEFT(TRIM($I29),1)="A",LEFT(TRIM($I29),1)="B"))),IF(COUNTIF($Q29:$Y29,"?*")&gt;0,", ","")&amp;"respuesta A-B","")</f>
        <v/>
      </c>
      <c r="AA29">
        <f>IF(AND($A29="Respuesta A/B/Ambas/Ninguna",COUNTIF($D29:$G29,"?*")&lt;4),IF(COUNTIF($Q29:$Z29,"?*")&gt;0,", ","")&amp;"opciones A-D","")</f>
        <v/>
      </c>
      <c r="AB29">
        <f>IF(AND($A29="Respuesta A/B/Ambas/Ninguna",COUNTIF($H29:$H29,"?*")&gt;0),IF(COUNTIF($Q29:$AA29,"?*")&gt;0,", ","")&amp;"opcion E deshabilitada","")</f>
        <v/>
      </c>
      <c r="AC29">
        <f>IF(AND($A29="Respuesta A/B/Ambas/Ninguna",TRIM($I29)&lt;&gt;"",NOT(OR(LEFT(TRIM($I29),1)="A",LEFT(TRIM($I29),1)="B",LEFT(TRIM($I29),1)="C",LEFT(TRIM($I29),1)="D"))),IF(COUNTIF($Q29:$AB29,"?*")&gt;0,", ","")&amp;"respuesta A-D","")</f>
        <v/>
      </c>
      <c r="AD29">
        <f>IF(AND($A29="Verdadero o Falso Complejas",OR(LEN(TRIM(SUBSTITUTE($D29,"1.","")))=0,LEN(TRIM(SUBSTITUTE($E29,"2.","")))=0,LEN(TRIM(SUBSTITUTE($F29,"3.","")))=0,LEN(TRIM(SUBSTITUTE($G29,"4.","")))=0)),IF(COUNTIF($Q29:$AC29,"?*")&gt;0,", ","")&amp;"incisos 1-4","")</f>
        <v/>
      </c>
      <c r="AE29">
        <f>IF(AND($A29="Verdadero o Falso Complejas",COUNTIF($H29:$H29,"?*")&gt;0),IF(COUNTIF($Q29:$AD29,"?*")&gt;0,", ","")&amp;"opcion E deshabilitada","")</f>
        <v/>
      </c>
      <c r="AF29">
        <f>IF(AND($A29="Verdadero o Falso Complejas",TRIM($I29)&lt;&gt;"",NOT(OR(LEFT(TRIM($I29),1)="A",LEFT(TRIM($I29),1)="B",LEFT(TRIM($I29),1)="C",LEFT(TRIM($I29),1)="D",LEFT(TRIM($I29),1)="E"))),IF(COUNTIF($Q29:$AE29,"?*")&gt;0,", ","")&amp;"respuesta A-E","")</f>
        <v/>
      </c>
      <c r="AG29">
        <f>IF(AND(OR($A29="Selección de la mejor respuesta",$A29="Subítem de caso o problema"),COUNTA($D29:$H29)&lt;5),IF(COUNTIF($Q29:$AF29,"?*")&gt;0,", ","")&amp;"incisos A-E","")</f>
        <v/>
      </c>
      <c r="AH29">
        <f>IF(AND(OR($A29="Selección de la mejor respuesta",$A29="Subítem de caso o problema"),TRIM($I29)&lt;&gt;"",NOT(OR(LEFT(TRIM($I29),1)="A",LEFT(TRIM($I29),1)="B",LEFT(TRIM($I29),1)="C",LEFT(TRIM($I29),1)="D",LEFT(TRIM($I29),1)="E"))),IF(COUNTIF($Q29:$AG29,"?*")&gt;0,", ","")&amp;"respuesta A-E","")</f>
        <v/>
      </c>
      <c r="AI29">
        <f>IF(AND(OR($A29="Ítems agrupados por caso clínico o problema",$A29="Opción de Emparejamiento Ampliado"),COUNTIF($D29:$H29,"?*")&gt;0),IF(COUNTIF($Q29:$AH29,"?*")&gt;0,", ","")&amp;"sin incisos","")</f>
        <v/>
      </c>
      <c r="AJ29">
        <f>IF(AND($A29="Emparejamiento Ampliado",COUNTIF($D29:$H29,"?*")&lt;2),IF(COUNTIF($Q29:$AI29,"?*")&gt;0,", ","")&amp;"minimo 2 claves","")</f>
        <v/>
      </c>
      <c r="AK29">
        <f>IF(AND($A29="Opción de Emparejamiento Ampliado",NOT(OR(LEFT(TRIM($I29),1)="A",LEFT(TRIM($I29),1)="B",LEFT(TRIM($I29),1)="C",LEFT(TRIM($I29),1)="D",LEFT(TRIM($I29),1)="E"))),IF(COUNTIF($Q29:$AJ29,"?*")&gt;0,", ","")&amp;"respuesta A-E","")</f>
        <v/>
      </c>
      <c r="AL29">
        <f>IF(TRIM($K29)="",IF(COUNTIF($M29:$M29,"?*")&gt;0,", ","")&amp;"parcial","")</f>
        <v/>
      </c>
      <c r="AM29">
        <f>IF(AND(TRIM($K29)&lt;&gt;"",TRIM($K29)&lt;&gt;VALIDACIONES!$G$1),IF(COUNTIF($M29:$N29,"?*")&gt;0,", ","")&amp;"parcial distinto a "&amp;VALIDACIONES!$G$1,"")</f>
        <v/>
      </c>
      <c r="AN29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</row>
    <row r="30" ht="24" customHeight="1">
      <c r="A30" s="344" t="n"/>
      <c r="B30" s="344" t="n"/>
      <c r="C30" s="344" t="n"/>
      <c r="D30" s="344">
        <f>IF($A30="Verdadero o Falso Simple","Verdadero",IF($A30="Respuesta A/B/Ambas/Ninguna","A. Si la primera es verdadera",IF($A30="Verdadero o Falso Complejas","1. ","")))</f>
        <v/>
      </c>
      <c r="E30" s="344">
        <f>IF($A30="Verdadero o Falso Simple","Falso",IF($A30="Respuesta A/B/Ambas/Ninguna","B. Si la segunda es verdadera",IF($A30="Verdadero o Falso Complejas","2. ","")))</f>
        <v/>
      </c>
      <c r="F30" s="344">
        <f>IF($A30="Respuesta A/B/Ambas/Ninguna","C. Si ambas son verdaderas",IF($A30="Verdadero o Falso Complejas","3. ",""))</f>
        <v/>
      </c>
      <c r="G30" s="344">
        <f>IF($A30="Respuesta A/B/Ambas/Ninguna","D. Si ninguna es verdadera",IF($A30="Verdadero o Falso Complejas","4. ",""))</f>
        <v/>
      </c>
      <c r="H30" s="344">
        <f>IF($A30="Verdadero o Falso Simple","",IF($A30="Respuesta A/B/Ambas/Ninguna","",IF($A30="Verdadero o Falso Complejas","","")))</f>
        <v/>
      </c>
      <c r="I30" s="344" t="n"/>
      <c r="J30" s="344" t="n">
        <v>2</v>
      </c>
      <c r="K30" s="344" t="inlineStr">
        <is>
          <t>2P</t>
        </is>
      </c>
      <c r="L30" s="345">
        <f>IF(TRIM($A30)="","",IF(OR($A30="Selección de la mejor respuesta",$A30="SELECCION_MEJOR_RESPUESTA",$A30="Subítem de caso o problema",$A30="SUBITEM_CASO"),IF(TRIM($C30)="","Completar enunciado",IF(SUMPRODUCT(--(LEN(TRIM($D30:$H30&amp;""))&gt;0))&lt;5,"Completar opciones A-E",IF(AND(TRIM($I30)&lt;&gt;"",OR(LEFT(TRIM($I30),1)="A",LEFT(TRIM($I30),1)="B",LEFT(TRIM($I30),1)="C",LEFT(TRIM($I30),1)="D",LEFT(TRIM($I30),1)="E")),"OK","Completar respuesta correcta A-E"))),IF(TRIM($A30)="","",IF(COUNTIF($Q30:$AJ30,"?*")=0,"OK","Falta revisar: "&amp;$Q30&amp;$R30&amp;$S30&amp;$T30&amp;$U30&amp;$V30&amp;$W30&amp;$X30&amp;$Y30&amp;$Z30&amp;$AA30&amp;$AB30&amp;$AC30&amp;$AD30&amp;$AE30&amp;$AF30&amp;$AG30&amp;$AH30&amp;$AI30&amp;$AJ30))))</f>
        <v/>
      </c>
      <c r="M30" s="341" t="n"/>
      <c r="Q30">
        <f>IF(TRIM($C30)="","enunciado","")</f>
        <v/>
      </c>
      <c r="R30">
        <f>IF(TRIM($K30)="",IF(COUNTIF($Q30:$Q30,"?*")&gt;0,", ","")&amp;"parcial","")</f>
        <v/>
      </c>
      <c r="S30">
        <f>IF(AND(TRIM($K30)&lt;&gt;"",TRIM($K30)&lt;&gt;VALIDACIONES!$G$1),IF(COUNTIF($Q30:$R30,"?*")&gt;0,", ","")&amp;"parcial distinto a "&amp;VALIDACIONES!$G$1,"")</f>
        <v/>
      </c>
      <c r="T30">
        <f>IF(AND(OR($A30="Ítems agrupados por caso clínico o problema",$A30="Subítem de caso o problema",$A30="Emparejamiento Ampliado",$A30="Opción de Emparejamiento Ampliado"),TRIM($B30)=""),IF(COUNTIF($Q30:$S30,"?*")&gt;0,", ","")&amp;"grupo","")</f>
        <v/>
      </c>
      <c r="U30">
        <f>IF(AND(OR($A30="Verdadero o Falso Simple",$A30="Respuesta A/B/Ambas/Ninguna",$A30="Verdadero o Falso Complejas",$A30="Selección de la mejor respuesta",$A30="Subítem de caso o problema",$A30="Opción de Emparejamiento Ampliado"),TRIM($I30)=""),IF(COUNTIF($Q30:$T30,"?*")&gt;0,", ","")&amp;"respuesta_correcta","")</f>
        <v/>
      </c>
      <c r="V30">
        <f>IF(AND(OR($A30="Verdadero o Falso Simple",$A30="Respuesta A/B/Ambas/Ninguna",$A30="Verdadero o Falso Complejas",$A30="Selección de la mejor respuesta",$A30="Subítem de caso o problema",$A30="Opción de Emparejamiento Ampliado"),TRIM($J30)=""),IF(COUNTIF($Q30:$U30,"?*")&gt;0,", ","")&amp;"dificultad","")</f>
        <v/>
      </c>
      <c r="W30">
        <f>IF(AND(OR($A30="Ítems agrupados por caso clínico o problema",$A30="Emparejamiento Ampliado"),TRIM($I30)&lt;&gt;""),IF(COUNTIF($Q30:$V30,"?*")&gt;0,", ","")&amp;"respuesta debe ir vacia","")</f>
        <v/>
      </c>
      <c r="X30">
        <f>IF(AND(OR($A30="Ítems agrupados por caso clínico o problema",$A30="Emparejamiento Ampliado"),TRIM($J30)&lt;&gt;""),IF(COUNTIF($Q30:$W30,"?*")&gt;0,", ","")&amp;"dificultad debe ir vacia","")</f>
        <v/>
      </c>
      <c r="Y30">
        <f>IF(AND($A30="Verdadero o Falso Simple",OR(COUNTIF($D30:$E30,"?*")&lt;2,COUNTIF($F30:$H30,"?*")&gt;0)),IF(COUNTIF($Q30:$X30,"?*")&gt;0,", ","")&amp;"incisos A-B","")</f>
        <v/>
      </c>
      <c r="Z30">
        <f>IF(AND($A30="Verdadero o Falso Simple",TRIM($I30)&lt;&gt;"",NOT(OR(LEFT(TRIM($I30),1)="A",LEFT(TRIM($I30),1)="B"))),IF(COUNTIF($Q30:$Y30,"?*")&gt;0,", ","")&amp;"respuesta A-B","")</f>
        <v/>
      </c>
      <c r="AA30">
        <f>IF(AND($A30="Respuesta A/B/Ambas/Ninguna",COUNTIF($D30:$G30,"?*")&lt;4),IF(COUNTIF($Q30:$Z30,"?*")&gt;0,", ","")&amp;"opciones A-D","")</f>
        <v/>
      </c>
      <c r="AB30">
        <f>IF(AND($A30="Respuesta A/B/Ambas/Ninguna",COUNTIF($H30:$H30,"?*")&gt;0),IF(COUNTIF($Q30:$AA30,"?*")&gt;0,", ","")&amp;"opcion E deshabilitada","")</f>
        <v/>
      </c>
      <c r="AC30">
        <f>IF(AND($A30="Respuesta A/B/Ambas/Ninguna",TRIM($I30)&lt;&gt;"",NOT(OR(LEFT(TRIM($I30),1)="A",LEFT(TRIM($I30),1)="B",LEFT(TRIM($I30),1)="C",LEFT(TRIM($I30),1)="D"))),IF(COUNTIF($Q30:$AB30,"?*")&gt;0,", ","")&amp;"respuesta A-D","")</f>
        <v/>
      </c>
      <c r="AD30">
        <f>IF(AND($A30="Verdadero o Falso Complejas",OR(LEN(TRIM(SUBSTITUTE($D30,"1.","")))=0,LEN(TRIM(SUBSTITUTE($E30,"2.","")))=0,LEN(TRIM(SUBSTITUTE($F30,"3.","")))=0,LEN(TRIM(SUBSTITUTE($G30,"4.","")))=0)),IF(COUNTIF($Q30:$AC30,"?*")&gt;0,", ","")&amp;"incisos 1-4","")</f>
        <v/>
      </c>
      <c r="AE30">
        <f>IF(AND($A30="Verdadero o Falso Complejas",COUNTIF($H30:$H30,"?*")&gt;0),IF(COUNTIF($Q30:$AD30,"?*")&gt;0,", ","")&amp;"opcion E deshabilitada","")</f>
        <v/>
      </c>
      <c r="AF30">
        <f>IF(AND($A30="Verdadero o Falso Complejas",TRIM($I30)&lt;&gt;"",NOT(OR(LEFT(TRIM($I30),1)="A",LEFT(TRIM($I30),1)="B",LEFT(TRIM($I30),1)="C",LEFT(TRIM($I30),1)="D",LEFT(TRIM($I30),1)="E"))),IF(COUNTIF($Q30:$AE30,"?*")&gt;0,", ","")&amp;"respuesta A-E","")</f>
        <v/>
      </c>
      <c r="AG30">
        <f>IF(AND(OR($A30="Selección de la mejor respuesta",$A30="Subítem de caso o problema"),COUNTA($D30:$H30)&lt;5),IF(COUNTIF($Q30:$AF30,"?*")&gt;0,", ","")&amp;"incisos A-E","")</f>
        <v/>
      </c>
      <c r="AH30">
        <f>IF(AND(OR($A30="Selección de la mejor respuesta",$A30="Subítem de caso o problema"),TRIM($I30)&lt;&gt;"",NOT(OR(LEFT(TRIM($I30),1)="A",LEFT(TRIM($I30),1)="B",LEFT(TRIM($I30),1)="C",LEFT(TRIM($I30),1)="D",LEFT(TRIM($I30),1)="E"))),IF(COUNTIF($Q30:$AG30,"?*")&gt;0,", ","")&amp;"respuesta A-E","")</f>
        <v/>
      </c>
      <c r="AI30">
        <f>IF(AND(OR($A30="Ítems agrupados por caso clínico o problema",$A30="Opción de Emparejamiento Ampliado"),COUNTIF($D30:$H30,"?*")&gt;0),IF(COUNTIF($Q30:$AH30,"?*")&gt;0,", ","")&amp;"sin incisos","")</f>
        <v/>
      </c>
      <c r="AJ30">
        <f>IF(AND($A30="Emparejamiento Ampliado",COUNTIF($D30:$H30,"?*")&lt;2),IF(COUNTIF($Q30:$AI30,"?*")&gt;0,", ","")&amp;"minimo 2 claves","")</f>
        <v/>
      </c>
      <c r="AK30">
        <f>IF(AND($A30="Opción de Emparejamiento Ampliado",NOT(OR(LEFT(TRIM($I30),1)="A",LEFT(TRIM($I30),1)="B",LEFT(TRIM($I30),1)="C",LEFT(TRIM($I30),1)="D",LEFT(TRIM($I30),1)="E"))),IF(COUNTIF($Q30:$AJ30,"?*")&gt;0,", ","")&amp;"respuesta A-E","")</f>
        <v/>
      </c>
      <c r="AL30">
        <f>IF(TRIM($K30)="",IF(COUNTIF($M30:$M30,"?*")&gt;0,", ","")&amp;"parcial","")</f>
        <v/>
      </c>
      <c r="AM30">
        <f>IF(AND(TRIM($K30)&lt;&gt;"",TRIM($K30)&lt;&gt;VALIDACIONES!$G$1),IF(COUNTIF($M30:$N30,"?*")&gt;0,", ","")&amp;"parcial distinto a "&amp;VALIDACIONES!$G$1,"")</f>
        <v/>
      </c>
      <c r="AN30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</row>
    <row r="31" ht="24" customHeight="1">
      <c r="A31" s="344" t="n"/>
      <c r="B31" s="344" t="n"/>
      <c r="C31" s="344" t="n"/>
      <c r="D31" s="344">
        <f>IF($A31="Verdadero o Falso Simple","Verdadero",IF($A31="Respuesta A/B/Ambas/Ninguna","A. Si la primera es verdadera",IF($A31="Verdadero o Falso Complejas","1. ","")))</f>
        <v/>
      </c>
      <c r="E31" s="344">
        <f>IF($A31="Verdadero o Falso Simple","Falso",IF($A31="Respuesta A/B/Ambas/Ninguna","B. Si la segunda es verdadera",IF($A31="Verdadero o Falso Complejas","2. ","")))</f>
        <v/>
      </c>
      <c r="F31" s="344">
        <f>IF($A31="Respuesta A/B/Ambas/Ninguna","C. Si ambas son verdaderas",IF($A31="Verdadero o Falso Complejas","3. ",""))</f>
        <v/>
      </c>
      <c r="G31" s="344">
        <f>IF($A31="Respuesta A/B/Ambas/Ninguna","D. Si ninguna es verdadera",IF($A31="Verdadero o Falso Complejas","4. ",""))</f>
        <v/>
      </c>
      <c r="H31" s="344">
        <f>IF($A31="Verdadero o Falso Simple","",IF($A31="Respuesta A/B/Ambas/Ninguna","",IF($A31="Verdadero o Falso Complejas","","")))</f>
        <v/>
      </c>
      <c r="I31" s="344" t="n"/>
      <c r="J31" s="344" t="n">
        <v>2</v>
      </c>
      <c r="K31" s="344" t="inlineStr">
        <is>
          <t>2P</t>
        </is>
      </c>
      <c r="L31" s="345">
        <f>IF(TRIM($A31)="","",IF(OR($A31="Selección de la mejor respuesta",$A31="SELECCION_MEJOR_RESPUESTA",$A31="Subítem de caso o problema",$A31="SUBITEM_CASO"),IF(TRIM($C31)="","Completar enunciado",IF(SUMPRODUCT(--(LEN(TRIM($D31:$H31&amp;""))&gt;0))&lt;5,"Completar opciones A-E",IF(AND(TRIM($I31)&lt;&gt;"",OR(LEFT(TRIM($I31),1)="A",LEFT(TRIM($I31),1)="B",LEFT(TRIM($I31),1)="C",LEFT(TRIM($I31),1)="D",LEFT(TRIM($I31),1)="E")),"OK","Completar respuesta correcta A-E"))),IF(TRIM($A31)="","",IF(COUNTIF($Q31:$AJ31,"?*")=0,"OK","Falta revisar: "&amp;$Q31&amp;$R31&amp;$S31&amp;$T31&amp;$U31&amp;$V31&amp;$W31&amp;$X31&amp;$Y31&amp;$Z31&amp;$AA31&amp;$AB31&amp;$AC31&amp;$AD31&amp;$AE31&amp;$AF31&amp;$AG31&amp;$AH31&amp;$AI31&amp;$AJ31))))</f>
        <v/>
      </c>
      <c r="M31" s="341" t="n"/>
      <c r="Q31">
        <f>IF(TRIM($C31)="","enunciado","")</f>
        <v/>
      </c>
      <c r="R31">
        <f>IF(TRIM($K31)="",IF(COUNTIF($Q31:$Q31,"?*")&gt;0,", ","")&amp;"parcial","")</f>
        <v/>
      </c>
      <c r="S31">
        <f>IF(AND(TRIM($K31)&lt;&gt;"",TRIM($K31)&lt;&gt;VALIDACIONES!$G$1),IF(COUNTIF($Q31:$R31,"?*")&gt;0,", ","")&amp;"parcial distinto a "&amp;VALIDACIONES!$G$1,"")</f>
        <v/>
      </c>
      <c r="T31">
        <f>IF(AND(OR($A31="Ítems agrupados por caso clínico o problema",$A31="Subítem de caso o problema",$A31="Emparejamiento Ampliado",$A31="Opción de Emparejamiento Ampliado"),TRIM($B31)=""),IF(COUNTIF($Q31:$S31,"?*")&gt;0,", ","")&amp;"grupo","")</f>
        <v/>
      </c>
      <c r="U31">
        <f>IF(AND(OR($A31="Verdadero o Falso Simple",$A31="Respuesta A/B/Ambas/Ninguna",$A31="Verdadero o Falso Complejas",$A31="Selección de la mejor respuesta",$A31="Subítem de caso o problema",$A31="Opción de Emparejamiento Ampliado"),TRIM($I31)=""),IF(COUNTIF($Q31:$T31,"?*")&gt;0,", ","")&amp;"respuesta_correcta","")</f>
        <v/>
      </c>
      <c r="V31">
        <f>IF(AND(OR($A31="Verdadero o Falso Simple",$A31="Respuesta A/B/Ambas/Ninguna",$A31="Verdadero o Falso Complejas",$A31="Selección de la mejor respuesta",$A31="Subítem de caso o problema",$A31="Opción de Emparejamiento Ampliado"),TRIM($J31)=""),IF(COUNTIF($Q31:$U31,"?*")&gt;0,", ","")&amp;"dificultad","")</f>
        <v/>
      </c>
      <c r="W31">
        <f>IF(AND(OR($A31="Ítems agrupados por caso clínico o problema",$A31="Emparejamiento Ampliado"),TRIM($I31)&lt;&gt;""),IF(COUNTIF($Q31:$V31,"?*")&gt;0,", ","")&amp;"respuesta debe ir vacia","")</f>
        <v/>
      </c>
      <c r="X31">
        <f>IF(AND(OR($A31="Ítems agrupados por caso clínico o problema",$A31="Emparejamiento Ampliado"),TRIM($J31)&lt;&gt;""),IF(COUNTIF($Q31:$W31,"?*")&gt;0,", ","")&amp;"dificultad debe ir vacia","")</f>
        <v/>
      </c>
      <c r="Y31">
        <f>IF(AND($A31="Verdadero o Falso Simple",OR(COUNTIF($D31:$E31,"?*")&lt;2,COUNTIF($F31:$H31,"?*")&gt;0)),IF(COUNTIF($Q31:$X31,"?*")&gt;0,", ","")&amp;"incisos A-B","")</f>
        <v/>
      </c>
      <c r="Z31">
        <f>IF(AND($A31="Verdadero o Falso Simple",TRIM($I31)&lt;&gt;"",NOT(OR(LEFT(TRIM($I31),1)="A",LEFT(TRIM($I31),1)="B"))),IF(COUNTIF($Q31:$Y31,"?*")&gt;0,", ","")&amp;"respuesta A-B","")</f>
        <v/>
      </c>
      <c r="AA31">
        <f>IF(AND($A31="Respuesta A/B/Ambas/Ninguna",COUNTIF($D31:$G31,"?*")&lt;4),IF(COUNTIF($Q31:$Z31,"?*")&gt;0,", ","")&amp;"opciones A-D","")</f>
        <v/>
      </c>
      <c r="AB31">
        <f>IF(AND($A31="Respuesta A/B/Ambas/Ninguna",COUNTIF($H31:$H31,"?*")&gt;0),IF(COUNTIF($Q31:$AA31,"?*")&gt;0,", ","")&amp;"opcion E deshabilitada","")</f>
        <v/>
      </c>
      <c r="AC31">
        <f>IF(AND($A31="Respuesta A/B/Ambas/Ninguna",TRIM($I31)&lt;&gt;"",NOT(OR(LEFT(TRIM($I31),1)="A",LEFT(TRIM($I31),1)="B",LEFT(TRIM($I31),1)="C",LEFT(TRIM($I31),1)="D"))),IF(COUNTIF($Q31:$AB31,"?*")&gt;0,", ","")&amp;"respuesta A-D","")</f>
        <v/>
      </c>
      <c r="AD31">
        <f>IF(AND($A31="Verdadero o Falso Complejas",OR(LEN(TRIM(SUBSTITUTE($D31,"1.","")))=0,LEN(TRIM(SUBSTITUTE($E31,"2.","")))=0,LEN(TRIM(SUBSTITUTE($F31,"3.","")))=0,LEN(TRIM(SUBSTITUTE($G31,"4.","")))=0)),IF(COUNTIF($Q31:$AC31,"?*")&gt;0,", ","")&amp;"incisos 1-4","")</f>
        <v/>
      </c>
      <c r="AE31">
        <f>IF(AND($A31="Verdadero o Falso Complejas",COUNTIF($H31:$H31,"?*")&gt;0),IF(COUNTIF($Q31:$AD31,"?*")&gt;0,", ","")&amp;"opcion E deshabilitada","")</f>
        <v/>
      </c>
      <c r="AF31">
        <f>IF(AND($A31="Verdadero o Falso Complejas",TRIM($I31)&lt;&gt;"",NOT(OR(LEFT(TRIM($I31),1)="A",LEFT(TRIM($I31),1)="B",LEFT(TRIM($I31),1)="C",LEFT(TRIM($I31),1)="D",LEFT(TRIM($I31),1)="E"))),IF(COUNTIF($Q31:$AE31,"?*")&gt;0,", ","")&amp;"respuesta A-E","")</f>
        <v/>
      </c>
      <c r="AG31">
        <f>IF(AND(OR($A31="Selección de la mejor respuesta",$A31="Subítem de caso o problema"),COUNTA($D31:$H31)&lt;5),IF(COUNTIF($Q31:$AF31,"?*")&gt;0,", ","")&amp;"incisos A-E","")</f>
        <v/>
      </c>
      <c r="AH31">
        <f>IF(AND(OR($A31="Selección de la mejor respuesta",$A31="Subítem de caso o problema"),TRIM($I31)&lt;&gt;"",NOT(OR(LEFT(TRIM($I31),1)="A",LEFT(TRIM($I31),1)="B",LEFT(TRIM($I31),1)="C",LEFT(TRIM($I31),1)="D",LEFT(TRIM($I31),1)="E"))),IF(COUNTIF($Q31:$AG31,"?*")&gt;0,", ","")&amp;"respuesta A-E","")</f>
        <v/>
      </c>
      <c r="AI31">
        <f>IF(AND(OR($A31="Ítems agrupados por caso clínico o problema",$A31="Opción de Emparejamiento Ampliado"),COUNTIF($D31:$H31,"?*")&gt;0),IF(COUNTIF($Q31:$AH31,"?*")&gt;0,", ","")&amp;"sin incisos","")</f>
        <v/>
      </c>
      <c r="AJ31">
        <f>IF(AND($A31="Emparejamiento Ampliado",COUNTIF($D31:$H31,"?*")&lt;2),IF(COUNTIF($Q31:$AI31,"?*")&gt;0,", ","")&amp;"minimo 2 claves","")</f>
        <v/>
      </c>
      <c r="AK31">
        <f>IF(AND($A31="Opción de Emparejamiento Ampliado",NOT(OR(LEFT(TRIM($I31),1)="A",LEFT(TRIM($I31),1)="B",LEFT(TRIM($I31),1)="C",LEFT(TRIM($I31),1)="D",LEFT(TRIM($I31),1)="E"))),IF(COUNTIF($Q31:$AJ31,"?*")&gt;0,", ","")&amp;"respuesta A-E","")</f>
        <v/>
      </c>
      <c r="AL31">
        <f>IF(TRIM($K31)="",IF(COUNTIF($M31:$M31,"?*")&gt;0,", ","")&amp;"parcial","")</f>
        <v/>
      </c>
      <c r="AM31">
        <f>IF(AND(TRIM($K31)&lt;&gt;"",TRIM($K31)&lt;&gt;VALIDACIONES!$G$1),IF(COUNTIF($M31:$N31,"?*")&gt;0,", ","")&amp;"parcial distinto a "&amp;VALIDACIONES!$G$1,"")</f>
        <v/>
      </c>
      <c r="AN31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</row>
    <row r="32" ht="24" customHeight="1">
      <c r="A32" s="344" t="n"/>
      <c r="B32" s="344" t="n"/>
      <c r="C32" s="344" t="n"/>
      <c r="D32" s="344">
        <f>IF($A32="Verdadero o Falso Simple","Verdadero",IF($A32="Respuesta A/B/Ambas/Ninguna","A. Si la primera es verdadera",IF($A32="Verdadero o Falso Complejas","1. ","")))</f>
        <v/>
      </c>
      <c r="E32" s="344">
        <f>IF($A32="Verdadero o Falso Simple","Falso",IF($A32="Respuesta A/B/Ambas/Ninguna","B. Si la segunda es verdadera",IF($A32="Verdadero o Falso Complejas","2. ","")))</f>
        <v/>
      </c>
      <c r="F32" s="344">
        <f>IF($A32="Respuesta A/B/Ambas/Ninguna","C. Si ambas son verdaderas",IF($A32="Verdadero o Falso Complejas","3. ",""))</f>
        <v/>
      </c>
      <c r="G32" s="344">
        <f>IF($A32="Respuesta A/B/Ambas/Ninguna","D. Si ninguna es verdadera",IF($A32="Verdadero o Falso Complejas","4. ",""))</f>
        <v/>
      </c>
      <c r="H32" s="344">
        <f>IF($A32="Verdadero o Falso Simple","",IF($A32="Respuesta A/B/Ambas/Ninguna","",IF($A32="Verdadero o Falso Complejas","","")))</f>
        <v/>
      </c>
      <c r="I32" s="344" t="n"/>
      <c r="J32" s="344" t="n">
        <v>2</v>
      </c>
      <c r="K32" s="344" t="inlineStr">
        <is>
          <t>2P</t>
        </is>
      </c>
      <c r="L32" s="345">
        <f>IF(TRIM($A32)="","",IF(OR($A32="Selección de la mejor respuesta",$A32="SELECCION_MEJOR_RESPUESTA",$A32="Subítem de caso o problema",$A32="SUBITEM_CASO"),IF(TRIM($C32)="","Completar enunciado",IF(SUMPRODUCT(--(LEN(TRIM($D32:$H32&amp;""))&gt;0))&lt;5,"Completar opciones A-E",IF(AND(TRIM($I32)&lt;&gt;"",OR(LEFT(TRIM($I32),1)="A",LEFT(TRIM($I32),1)="B",LEFT(TRIM($I32),1)="C",LEFT(TRIM($I32),1)="D",LEFT(TRIM($I32),1)="E")),"OK","Completar respuesta correcta A-E"))),IF(TRIM($A32)="","",IF(COUNTIF($Q32:$AJ32,"?*")=0,"OK","Falta revisar: "&amp;$Q32&amp;$R32&amp;$S32&amp;$T32&amp;$U32&amp;$V32&amp;$W32&amp;$X32&amp;$Y32&amp;$Z32&amp;$AA32&amp;$AB32&amp;$AC32&amp;$AD32&amp;$AE32&amp;$AF32&amp;$AG32&amp;$AH32&amp;$AI32&amp;$AJ32))))</f>
        <v/>
      </c>
      <c r="M32" s="341" t="n"/>
      <c r="Q32">
        <f>IF(TRIM($C32)="","enunciado","")</f>
        <v/>
      </c>
      <c r="R32">
        <f>IF(TRIM($K32)="",IF(COUNTIF($Q32:$Q32,"?*")&gt;0,", ","")&amp;"parcial","")</f>
        <v/>
      </c>
      <c r="S32">
        <f>IF(AND(TRIM($K32)&lt;&gt;"",TRIM($K32)&lt;&gt;VALIDACIONES!$G$1),IF(COUNTIF($Q32:$R32,"?*")&gt;0,", ","")&amp;"parcial distinto a "&amp;VALIDACIONES!$G$1,"")</f>
        <v/>
      </c>
      <c r="T32">
        <f>IF(AND(OR($A32="Ítems agrupados por caso clínico o problema",$A32="Subítem de caso o problema",$A32="Emparejamiento Ampliado",$A32="Opción de Emparejamiento Ampliado"),TRIM($B32)=""),IF(COUNTIF($Q32:$S32,"?*")&gt;0,", ","")&amp;"grupo","")</f>
        <v/>
      </c>
      <c r="U32">
        <f>IF(AND(OR($A32="Verdadero o Falso Simple",$A32="Respuesta A/B/Ambas/Ninguna",$A32="Verdadero o Falso Complejas",$A32="Selección de la mejor respuesta",$A32="Subítem de caso o problema",$A32="Opción de Emparejamiento Ampliado"),TRIM($I32)=""),IF(COUNTIF($Q32:$T32,"?*")&gt;0,", ","")&amp;"respuesta_correcta","")</f>
        <v/>
      </c>
      <c r="V32">
        <f>IF(AND(OR($A32="Verdadero o Falso Simple",$A32="Respuesta A/B/Ambas/Ninguna",$A32="Verdadero o Falso Complejas",$A32="Selección de la mejor respuesta",$A32="Subítem de caso o problema",$A32="Opción de Emparejamiento Ampliado"),TRIM($J32)=""),IF(COUNTIF($Q32:$U32,"?*")&gt;0,", ","")&amp;"dificultad","")</f>
        <v/>
      </c>
      <c r="W32">
        <f>IF(AND(OR($A32="Ítems agrupados por caso clínico o problema",$A32="Emparejamiento Ampliado"),TRIM($I32)&lt;&gt;""),IF(COUNTIF($Q32:$V32,"?*")&gt;0,", ","")&amp;"respuesta debe ir vacia","")</f>
        <v/>
      </c>
      <c r="X32">
        <f>IF(AND(OR($A32="Ítems agrupados por caso clínico o problema",$A32="Emparejamiento Ampliado"),TRIM($J32)&lt;&gt;""),IF(COUNTIF($Q32:$W32,"?*")&gt;0,", ","")&amp;"dificultad debe ir vacia","")</f>
        <v/>
      </c>
      <c r="Y32">
        <f>IF(AND($A32="Verdadero o Falso Simple",OR(COUNTIF($D32:$E32,"?*")&lt;2,COUNTIF($F32:$H32,"?*")&gt;0)),IF(COUNTIF($Q32:$X32,"?*")&gt;0,", ","")&amp;"incisos A-B","")</f>
        <v/>
      </c>
      <c r="Z32">
        <f>IF(AND($A32="Verdadero o Falso Simple",TRIM($I32)&lt;&gt;"",NOT(OR(LEFT(TRIM($I32),1)="A",LEFT(TRIM($I32),1)="B"))),IF(COUNTIF($Q32:$Y32,"?*")&gt;0,", ","")&amp;"respuesta A-B","")</f>
        <v/>
      </c>
      <c r="AA32">
        <f>IF(AND($A32="Respuesta A/B/Ambas/Ninguna",COUNTIF($D32:$G32,"?*")&lt;4),IF(COUNTIF($Q32:$Z32,"?*")&gt;0,", ","")&amp;"opciones A-D","")</f>
        <v/>
      </c>
      <c r="AB32">
        <f>IF(AND($A32="Respuesta A/B/Ambas/Ninguna",COUNTIF($H32:$H32,"?*")&gt;0),IF(COUNTIF($Q32:$AA32,"?*")&gt;0,", ","")&amp;"opcion E deshabilitada","")</f>
        <v/>
      </c>
      <c r="AC32">
        <f>IF(AND($A32="Respuesta A/B/Ambas/Ninguna",TRIM($I32)&lt;&gt;"",NOT(OR(LEFT(TRIM($I32),1)="A",LEFT(TRIM($I32),1)="B",LEFT(TRIM($I32),1)="C",LEFT(TRIM($I32),1)="D"))),IF(COUNTIF($Q32:$AB32,"?*")&gt;0,", ","")&amp;"respuesta A-D","")</f>
        <v/>
      </c>
      <c r="AD32">
        <f>IF(AND($A32="Verdadero o Falso Complejas",OR(LEN(TRIM(SUBSTITUTE($D32,"1.","")))=0,LEN(TRIM(SUBSTITUTE($E32,"2.","")))=0,LEN(TRIM(SUBSTITUTE($F32,"3.","")))=0,LEN(TRIM(SUBSTITUTE($G32,"4.","")))=0)),IF(COUNTIF($Q32:$AC32,"?*")&gt;0,", ","")&amp;"incisos 1-4","")</f>
        <v/>
      </c>
      <c r="AE32">
        <f>IF(AND($A32="Verdadero o Falso Complejas",COUNTIF($H32:$H32,"?*")&gt;0),IF(COUNTIF($Q32:$AD32,"?*")&gt;0,", ","")&amp;"opcion E deshabilitada","")</f>
        <v/>
      </c>
      <c r="AF32">
        <f>IF(AND($A32="Verdadero o Falso Complejas",TRIM($I32)&lt;&gt;"",NOT(OR(LEFT(TRIM($I32),1)="A",LEFT(TRIM($I32),1)="B",LEFT(TRIM($I32),1)="C",LEFT(TRIM($I32),1)="D",LEFT(TRIM($I32),1)="E"))),IF(COUNTIF($Q32:$AE32,"?*")&gt;0,", ","")&amp;"respuesta A-E","")</f>
        <v/>
      </c>
      <c r="AG32">
        <f>IF(AND(OR($A32="Selección de la mejor respuesta",$A32="Subítem de caso o problema"),COUNTA($D32:$H32)&lt;5),IF(COUNTIF($Q32:$AF32,"?*")&gt;0,", ","")&amp;"incisos A-E","")</f>
        <v/>
      </c>
      <c r="AH32">
        <f>IF(AND(OR($A32="Selección de la mejor respuesta",$A32="Subítem de caso o problema"),TRIM($I32)&lt;&gt;"",NOT(OR(LEFT(TRIM($I32),1)="A",LEFT(TRIM($I32),1)="B",LEFT(TRIM($I32),1)="C",LEFT(TRIM($I32),1)="D",LEFT(TRIM($I32),1)="E"))),IF(COUNTIF($Q32:$AG32,"?*")&gt;0,", ","")&amp;"respuesta A-E","")</f>
        <v/>
      </c>
      <c r="AI32">
        <f>IF(AND(OR($A32="Ítems agrupados por caso clínico o problema",$A32="Opción de Emparejamiento Ampliado"),COUNTIF($D32:$H32,"?*")&gt;0),IF(COUNTIF($Q32:$AH32,"?*")&gt;0,", ","")&amp;"sin incisos","")</f>
        <v/>
      </c>
      <c r="AJ32">
        <f>IF(AND($A32="Emparejamiento Ampliado",COUNTIF($D32:$H32,"?*")&lt;2),IF(COUNTIF($Q32:$AI32,"?*")&gt;0,", ","")&amp;"minimo 2 claves","")</f>
        <v/>
      </c>
      <c r="AK32">
        <f>IF(AND($A32="Opción de Emparejamiento Ampliado",NOT(OR(LEFT(TRIM($I32),1)="A",LEFT(TRIM($I32),1)="B",LEFT(TRIM($I32),1)="C",LEFT(TRIM($I32),1)="D",LEFT(TRIM($I32),1)="E"))),IF(COUNTIF($Q32:$AJ32,"?*")&gt;0,", ","")&amp;"respuesta A-E","")</f>
        <v/>
      </c>
      <c r="AL32">
        <f>IF(TRIM($K32)="",IF(COUNTIF($M32:$M32,"?*")&gt;0,", ","")&amp;"parcial","")</f>
        <v/>
      </c>
      <c r="AM32">
        <f>IF(AND(TRIM($K32)&lt;&gt;"",TRIM($K32)&lt;&gt;VALIDACIONES!$G$1),IF(COUNTIF($M32:$N32,"?*")&gt;0,", ","")&amp;"parcial distinto a "&amp;VALIDACIONES!$G$1,"")</f>
        <v/>
      </c>
      <c r="AN32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</row>
    <row r="33" ht="24" customHeight="1">
      <c r="A33" s="344" t="n"/>
      <c r="B33" s="344" t="n"/>
      <c r="C33" s="344" t="n"/>
      <c r="D33" s="344">
        <f>IF($A33="Verdadero o Falso Simple","Verdadero",IF($A33="Respuesta A/B/Ambas/Ninguna","A. Si la primera es verdadera",IF($A33="Verdadero o Falso Complejas","1. ","")))</f>
        <v/>
      </c>
      <c r="E33" s="344">
        <f>IF($A33="Verdadero o Falso Simple","Falso",IF($A33="Respuesta A/B/Ambas/Ninguna","B. Si la segunda es verdadera",IF($A33="Verdadero o Falso Complejas","2. ","")))</f>
        <v/>
      </c>
      <c r="F33" s="344">
        <f>IF($A33="Respuesta A/B/Ambas/Ninguna","C. Si ambas son verdaderas",IF($A33="Verdadero o Falso Complejas","3. ",""))</f>
        <v/>
      </c>
      <c r="G33" s="344">
        <f>IF($A33="Respuesta A/B/Ambas/Ninguna","D. Si ninguna es verdadera",IF($A33="Verdadero o Falso Complejas","4. ",""))</f>
        <v/>
      </c>
      <c r="H33" s="344">
        <f>IF($A33="Verdadero o Falso Simple","",IF($A33="Respuesta A/B/Ambas/Ninguna","",IF($A33="Verdadero o Falso Complejas","","")))</f>
        <v/>
      </c>
      <c r="I33" s="344" t="n"/>
      <c r="J33" s="344" t="n">
        <v>2</v>
      </c>
      <c r="K33" s="344" t="inlineStr">
        <is>
          <t>2P</t>
        </is>
      </c>
      <c r="L33" s="345">
        <f>IF(TRIM($A33)="","",IF(OR($A33="Selección de la mejor respuesta",$A33="SELECCION_MEJOR_RESPUESTA",$A33="Subítem de caso o problema",$A33="SUBITEM_CASO"),IF(TRIM($C33)="","Completar enunciado",IF(SUMPRODUCT(--(LEN(TRIM($D33:$H33&amp;""))&gt;0))&lt;5,"Completar opciones A-E",IF(AND(TRIM($I33)&lt;&gt;"",OR(LEFT(TRIM($I33),1)="A",LEFT(TRIM($I33),1)="B",LEFT(TRIM($I33),1)="C",LEFT(TRIM($I33),1)="D",LEFT(TRIM($I33),1)="E")),"OK","Completar respuesta correcta A-E"))),IF(TRIM($A33)="","",IF(COUNTIF($Q33:$AJ33,"?*")=0,"OK","Falta revisar: "&amp;$Q33&amp;$R33&amp;$S33&amp;$T33&amp;$U33&amp;$V33&amp;$W33&amp;$X33&amp;$Y33&amp;$Z33&amp;$AA33&amp;$AB33&amp;$AC33&amp;$AD33&amp;$AE33&amp;$AF33&amp;$AG33&amp;$AH33&amp;$AI33&amp;$AJ33))))</f>
        <v/>
      </c>
      <c r="M33" s="341" t="n"/>
      <c r="Q33">
        <f>IF(TRIM($C33)="","enunciado","")</f>
        <v/>
      </c>
      <c r="R33">
        <f>IF(TRIM($K33)="",IF(COUNTIF($Q33:$Q33,"?*")&gt;0,", ","")&amp;"parcial","")</f>
        <v/>
      </c>
      <c r="S33">
        <f>IF(AND(TRIM($K33)&lt;&gt;"",TRIM($K33)&lt;&gt;VALIDACIONES!$G$1),IF(COUNTIF($Q33:$R33,"?*")&gt;0,", ","")&amp;"parcial distinto a "&amp;VALIDACIONES!$G$1,"")</f>
        <v/>
      </c>
      <c r="T33">
        <f>IF(AND(OR($A33="Ítems agrupados por caso clínico o problema",$A33="Subítem de caso o problema",$A33="Emparejamiento Ampliado",$A33="Opción de Emparejamiento Ampliado"),TRIM($B33)=""),IF(COUNTIF($Q33:$S33,"?*")&gt;0,", ","")&amp;"grupo","")</f>
        <v/>
      </c>
      <c r="U33">
        <f>IF(AND(OR($A33="Verdadero o Falso Simple",$A33="Respuesta A/B/Ambas/Ninguna",$A33="Verdadero o Falso Complejas",$A33="Selección de la mejor respuesta",$A33="Subítem de caso o problema",$A33="Opción de Emparejamiento Ampliado"),TRIM($I33)=""),IF(COUNTIF($Q33:$T33,"?*")&gt;0,", ","")&amp;"respuesta_correcta","")</f>
        <v/>
      </c>
      <c r="V33">
        <f>IF(AND(OR($A33="Verdadero o Falso Simple",$A33="Respuesta A/B/Ambas/Ninguna",$A33="Verdadero o Falso Complejas",$A33="Selección de la mejor respuesta",$A33="Subítem de caso o problema",$A33="Opción de Emparejamiento Ampliado"),TRIM($J33)=""),IF(COUNTIF($Q33:$U33,"?*")&gt;0,", ","")&amp;"dificultad","")</f>
        <v/>
      </c>
      <c r="W33">
        <f>IF(AND(OR($A33="Ítems agrupados por caso clínico o problema",$A33="Emparejamiento Ampliado"),TRIM($I33)&lt;&gt;""),IF(COUNTIF($Q33:$V33,"?*")&gt;0,", ","")&amp;"respuesta debe ir vacia","")</f>
        <v/>
      </c>
      <c r="X33">
        <f>IF(AND(OR($A33="Ítems agrupados por caso clínico o problema",$A33="Emparejamiento Ampliado"),TRIM($J33)&lt;&gt;""),IF(COUNTIF($Q33:$W33,"?*")&gt;0,", ","")&amp;"dificultad debe ir vacia","")</f>
        <v/>
      </c>
      <c r="Y33">
        <f>IF(AND($A33="Verdadero o Falso Simple",OR(COUNTIF($D33:$E33,"?*")&lt;2,COUNTIF($F33:$H33,"?*")&gt;0)),IF(COUNTIF($Q33:$X33,"?*")&gt;0,", ","")&amp;"incisos A-B","")</f>
        <v/>
      </c>
      <c r="Z33">
        <f>IF(AND($A33="Verdadero o Falso Simple",TRIM($I33)&lt;&gt;"",NOT(OR(LEFT(TRIM($I33),1)="A",LEFT(TRIM($I33),1)="B"))),IF(COUNTIF($Q33:$Y33,"?*")&gt;0,", ","")&amp;"respuesta A-B","")</f>
        <v/>
      </c>
      <c r="AA33">
        <f>IF(AND($A33="Respuesta A/B/Ambas/Ninguna",COUNTIF($D33:$G33,"?*")&lt;4),IF(COUNTIF($Q33:$Z33,"?*")&gt;0,", ","")&amp;"opciones A-D","")</f>
        <v/>
      </c>
      <c r="AB33">
        <f>IF(AND($A33="Respuesta A/B/Ambas/Ninguna",COUNTIF($H33:$H33,"?*")&gt;0),IF(COUNTIF($Q33:$AA33,"?*")&gt;0,", ","")&amp;"opcion E deshabilitada","")</f>
        <v/>
      </c>
      <c r="AC33">
        <f>IF(AND($A33="Respuesta A/B/Ambas/Ninguna",TRIM($I33)&lt;&gt;"",NOT(OR(LEFT(TRIM($I33),1)="A",LEFT(TRIM($I33),1)="B",LEFT(TRIM($I33),1)="C",LEFT(TRIM($I33),1)="D"))),IF(COUNTIF($Q33:$AB33,"?*")&gt;0,", ","")&amp;"respuesta A-D","")</f>
        <v/>
      </c>
      <c r="AD33">
        <f>IF(AND($A33="Verdadero o Falso Complejas",OR(LEN(TRIM(SUBSTITUTE($D33,"1.","")))=0,LEN(TRIM(SUBSTITUTE($E33,"2.","")))=0,LEN(TRIM(SUBSTITUTE($F33,"3.","")))=0,LEN(TRIM(SUBSTITUTE($G33,"4.","")))=0)),IF(COUNTIF($Q33:$AC33,"?*")&gt;0,", ","")&amp;"incisos 1-4","")</f>
        <v/>
      </c>
      <c r="AE33">
        <f>IF(AND($A33="Verdadero o Falso Complejas",COUNTIF($H33:$H33,"?*")&gt;0),IF(COUNTIF($Q33:$AD33,"?*")&gt;0,", ","")&amp;"opcion E deshabilitada","")</f>
        <v/>
      </c>
      <c r="AF33">
        <f>IF(AND($A33="Verdadero o Falso Complejas",TRIM($I33)&lt;&gt;"",NOT(OR(LEFT(TRIM($I33),1)="A",LEFT(TRIM($I33),1)="B",LEFT(TRIM($I33),1)="C",LEFT(TRIM($I33),1)="D",LEFT(TRIM($I33),1)="E"))),IF(COUNTIF($Q33:$AE33,"?*")&gt;0,", ","")&amp;"respuesta A-E","")</f>
        <v/>
      </c>
      <c r="AG33">
        <f>IF(AND(OR($A33="Selección de la mejor respuesta",$A33="Subítem de caso o problema"),COUNTA($D33:$H33)&lt;5),IF(COUNTIF($Q33:$AF33,"?*")&gt;0,", ","")&amp;"incisos A-E","")</f>
        <v/>
      </c>
      <c r="AH33">
        <f>IF(AND(OR($A33="Selección de la mejor respuesta",$A33="Subítem de caso o problema"),TRIM($I33)&lt;&gt;"",NOT(OR(LEFT(TRIM($I33),1)="A",LEFT(TRIM($I33),1)="B",LEFT(TRIM($I33),1)="C",LEFT(TRIM($I33),1)="D",LEFT(TRIM($I33),1)="E"))),IF(COUNTIF($Q33:$AG33,"?*")&gt;0,", ","")&amp;"respuesta A-E","")</f>
        <v/>
      </c>
      <c r="AI33">
        <f>IF(AND(OR($A33="Ítems agrupados por caso clínico o problema",$A33="Opción de Emparejamiento Ampliado"),COUNTIF($D33:$H33,"?*")&gt;0),IF(COUNTIF($Q33:$AH33,"?*")&gt;0,", ","")&amp;"sin incisos","")</f>
        <v/>
      </c>
      <c r="AJ33">
        <f>IF(AND($A33="Emparejamiento Ampliado",COUNTIF($D33:$H33,"?*")&lt;2),IF(COUNTIF($Q33:$AI33,"?*")&gt;0,", ","")&amp;"minimo 2 claves","")</f>
        <v/>
      </c>
      <c r="AK33">
        <f>IF(AND($A33="Opción de Emparejamiento Ampliado",NOT(OR(LEFT(TRIM($I33),1)="A",LEFT(TRIM($I33),1)="B",LEFT(TRIM($I33),1)="C",LEFT(TRIM($I33),1)="D",LEFT(TRIM($I33),1)="E"))),IF(COUNTIF($Q33:$AJ33,"?*")&gt;0,", ","")&amp;"respuesta A-E","")</f>
        <v/>
      </c>
      <c r="AL33">
        <f>IF(TRIM($K33)="",IF(COUNTIF($M33:$M33,"?*")&gt;0,", ","")&amp;"parcial","")</f>
        <v/>
      </c>
      <c r="AM33">
        <f>IF(AND(TRIM($K33)&lt;&gt;"",TRIM($K33)&lt;&gt;VALIDACIONES!$G$1),IF(COUNTIF($M33:$N33,"?*")&gt;0,", ","")&amp;"parcial distinto a "&amp;VALIDACIONES!$G$1,"")</f>
        <v/>
      </c>
      <c r="AN33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</row>
    <row r="34" ht="24" customHeight="1">
      <c r="A34" s="344" t="n"/>
      <c r="B34" s="344" t="n"/>
      <c r="C34" s="344" t="n"/>
      <c r="D34" s="344">
        <f>IF($A34="Verdadero o Falso Simple","Verdadero",IF($A34="Respuesta A/B/Ambas/Ninguna","A. Si la primera es verdadera",IF($A34="Verdadero o Falso Complejas","1. ","")))</f>
        <v/>
      </c>
      <c r="E34" s="344">
        <f>IF($A34="Verdadero o Falso Simple","Falso",IF($A34="Respuesta A/B/Ambas/Ninguna","B. Si la segunda es verdadera",IF($A34="Verdadero o Falso Complejas","2. ","")))</f>
        <v/>
      </c>
      <c r="F34" s="344">
        <f>IF($A34="Respuesta A/B/Ambas/Ninguna","C. Si ambas son verdaderas",IF($A34="Verdadero o Falso Complejas","3. ",""))</f>
        <v/>
      </c>
      <c r="G34" s="344">
        <f>IF($A34="Respuesta A/B/Ambas/Ninguna","D. Si ninguna es verdadera",IF($A34="Verdadero o Falso Complejas","4. ",""))</f>
        <v/>
      </c>
      <c r="H34" s="344">
        <f>IF($A34="Verdadero o Falso Simple","",IF($A34="Respuesta A/B/Ambas/Ninguna","",IF($A34="Verdadero o Falso Complejas","","")))</f>
        <v/>
      </c>
      <c r="I34" s="344" t="n"/>
      <c r="J34" s="344" t="n">
        <v>2</v>
      </c>
      <c r="K34" s="344" t="inlineStr">
        <is>
          <t>2P</t>
        </is>
      </c>
      <c r="L34" s="345">
        <f>IF(TRIM($A34)="","",IF(OR($A34="Selección de la mejor respuesta",$A34="SELECCION_MEJOR_RESPUESTA",$A34="Subítem de caso o problema",$A34="SUBITEM_CASO"),IF(TRIM($C34)="","Completar enunciado",IF(SUMPRODUCT(--(LEN(TRIM($D34:$H34&amp;""))&gt;0))&lt;5,"Completar opciones A-E",IF(AND(TRIM($I34)&lt;&gt;"",OR(LEFT(TRIM($I34),1)="A",LEFT(TRIM($I34),1)="B",LEFT(TRIM($I34),1)="C",LEFT(TRIM($I34),1)="D",LEFT(TRIM($I34),1)="E")),"OK","Completar respuesta correcta A-E"))),IF(TRIM($A34)="","",IF(COUNTIF($Q34:$AJ34,"?*")=0,"OK","Falta revisar: "&amp;$Q34&amp;$R34&amp;$S34&amp;$T34&amp;$U34&amp;$V34&amp;$W34&amp;$X34&amp;$Y34&amp;$Z34&amp;$AA34&amp;$AB34&amp;$AC34&amp;$AD34&amp;$AE34&amp;$AF34&amp;$AG34&amp;$AH34&amp;$AI34&amp;$AJ34))))</f>
        <v/>
      </c>
      <c r="M34" s="341" t="n"/>
      <c r="Q34">
        <f>IF(TRIM($C34)="","enunciado","")</f>
        <v/>
      </c>
      <c r="R34">
        <f>IF(TRIM($K34)="",IF(COUNTIF($Q34:$Q34,"?*")&gt;0,", ","")&amp;"parcial","")</f>
        <v/>
      </c>
      <c r="S34">
        <f>IF(AND(TRIM($K34)&lt;&gt;"",TRIM($K34)&lt;&gt;VALIDACIONES!$G$1),IF(COUNTIF($Q34:$R34,"?*")&gt;0,", ","")&amp;"parcial distinto a "&amp;VALIDACIONES!$G$1,"")</f>
        <v/>
      </c>
      <c r="T34">
        <f>IF(AND(OR($A34="Ítems agrupados por caso clínico o problema",$A34="Subítem de caso o problema",$A34="Emparejamiento Ampliado",$A34="Opción de Emparejamiento Ampliado"),TRIM($B34)=""),IF(COUNTIF($Q34:$S34,"?*")&gt;0,", ","")&amp;"grupo","")</f>
        <v/>
      </c>
      <c r="U34">
        <f>IF(AND(OR($A34="Verdadero o Falso Simple",$A34="Respuesta A/B/Ambas/Ninguna",$A34="Verdadero o Falso Complejas",$A34="Selección de la mejor respuesta",$A34="Subítem de caso o problema",$A34="Opción de Emparejamiento Ampliado"),TRIM($I34)=""),IF(COUNTIF($Q34:$T34,"?*")&gt;0,", ","")&amp;"respuesta_correcta","")</f>
        <v/>
      </c>
      <c r="V34">
        <f>IF(AND(OR($A34="Verdadero o Falso Simple",$A34="Respuesta A/B/Ambas/Ninguna",$A34="Verdadero o Falso Complejas",$A34="Selección de la mejor respuesta",$A34="Subítem de caso o problema",$A34="Opción de Emparejamiento Ampliado"),TRIM($J34)=""),IF(COUNTIF($Q34:$U34,"?*")&gt;0,", ","")&amp;"dificultad","")</f>
        <v/>
      </c>
      <c r="W34">
        <f>IF(AND(OR($A34="Ítems agrupados por caso clínico o problema",$A34="Emparejamiento Ampliado"),TRIM($I34)&lt;&gt;""),IF(COUNTIF($Q34:$V34,"?*")&gt;0,", ","")&amp;"respuesta debe ir vacia","")</f>
        <v/>
      </c>
      <c r="X34">
        <f>IF(AND(OR($A34="Ítems agrupados por caso clínico o problema",$A34="Emparejamiento Ampliado"),TRIM($J34)&lt;&gt;""),IF(COUNTIF($Q34:$W34,"?*")&gt;0,", ","")&amp;"dificultad debe ir vacia","")</f>
        <v/>
      </c>
      <c r="Y34">
        <f>IF(AND($A34="Verdadero o Falso Simple",OR(COUNTIF($D34:$E34,"?*")&lt;2,COUNTIF($F34:$H34,"?*")&gt;0)),IF(COUNTIF($Q34:$X34,"?*")&gt;0,", ","")&amp;"incisos A-B","")</f>
        <v/>
      </c>
      <c r="Z34">
        <f>IF(AND($A34="Verdadero o Falso Simple",TRIM($I34)&lt;&gt;"",NOT(OR(LEFT(TRIM($I34),1)="A",LEFT(TRIM($I34),1)="B"))),IF(COUNTIF($Q34:$Y34,"?*")&gt;0,", ","")&amp;"respuesta A-B","")</f>
        <v/>
      </c>
      <c r="AA34">
        <f>IF(AND($A34="Respuesta A/B/Ambas/Ninguna",COUNTIF($D34:$G34,"?*")&lt;4),IF(COUNTIF($Q34:$Z34,"?*")&gt;0,", ","")&amp;"opciones A-D","")</f>
        <v/>
      </c>
      <c r="AB34">
        <f>IF(AND($A34="Respuesta A/B/Ambas/Ninguna",COUNTIF($H34:$H34,"?*")&gt;0),IF(COUNTIF($Q34:$AA34,"?*")&gt;0,", ","")&amp;"opcion E deshabilitada","")</f>
        <v/>
      </c>
      <c r="AC34">
        <f>IF(AND($A34="Respuesta A/B/Ambas/Ninguna",TRIM($I34)&lt;&gt;"",NOT(OR(LEFT(TRIM($I34),1)="A",LEFT(TRIM($I34),1)="B",LEFT(TRIM($I34),1)="C",LEFT(TRIM($I34),1)="D"))),IF(COUNTIF($Q34:$AB34,"?*")&gt;0,", ","")&amp;"respuesta A-D","")</f>
        <v/>
      </c>
      <c r="AD34">
        <f>IF(AND($A34="Verdadero o Falso Complejas",OR(LEN(TRIM(SUBSTITUTE($D34,"1.","")))=0,LEN(TRIM(SUBSTITUTE($E34,"2.","")))=0,LEN(TRIM(SUBSTITUTE($F34,"3.","")))=0,LEN(TRIM(SUBSTITUTE($G34,"4.","")))=0)),IF(COUNTIF($Q34:$AC34,"?*")&gt;0,", ","")&amp;"incisos 1-4","")</f>
        <v/>
      </c>
      <c r="AE34">
        <f>IF(AND($A34="Verdadero o Falso Complejas",COUNTIF($H34:$H34,"?*")&gt;0),IF(COUNTIF($Q34:$AD34,"?*")&gt;0,", ","")&amp;"opcion E deshabilitada","")</f>
        <v/>
      </c>
      <c r="AF34">
        <f>IF(AND($A34="Verdadero o Falso Complejas",TRIM($I34)&lt;&gt;"",NOT(OR(LEFT(TRIM($I34),1)="A",LEFT(TRIM($I34),1)="B",LEFT(TRIM($I34),1)="C",LEFT(TRIM($I34),1)="D",LEFT(TRIM($I34),1)="E"))),IF(COUNTIF($Q34:$AE34,"?*")&gt;0,", ","")&amp;"respuesta A-E","")</f>
        <v/>
      </c>
      <c r="AG34">
        <f>IF(AND(OR($A34="Selección de la mejor respuesta",$A34="Subítem de caso o problema"),COUNTA($D34:$H34)&lt;5),IF(COUNTIF($Q34:$AF34,"?*")&gt;0,", ","")&amp;"incisos A-E","")</f>
        <v/>
      </c>
      <c r="AH34">
        <f>IF(AND(OR($A34="Selección de la mejor respuesta",$A34="Subítem de caso o problema"),TRIM($I34)&lt;&gt;"",NOT(OR(LEFT(TRIM($I34),1)="A",LEFT(TRIM($I34),1)="B",LEFT(TRIM($I34),1)="C",LEFT(TRIM($I34),1)="D",LEFT(TRIM($I34),1)="E"))),IF(COUNTIF($Q34:$AG34,"?*")&gt;0,", ","")&amp;"respuesta A-E","")</f>
        <v/>
      </c>
      <c r="AI34">
        <f>IF(AND(OR($A34="Ítems agrupados por caso clínico o problema",$A34="Opción de Emparejamiento Ampliado"),COUNTIF($D34:$H34,"?*")&gt;0),IF(COUNTIF($Q34:$AH34,"?*")&gt;0,", ","")&amp;"sin incisos","")</f>
        <v/>
      </c>
      <c r="AJ34">
        <f>IF(AND($A34="Emparejamiento Ampliado",COUNTIF($D34:$H34,"?*")&lt;2),IF(COUNTIF($Q34:$AI34,"?*")&gt;0,", ","")&amp;"minimo 2 claves","")</f>
        <v/>
      </c>
      <c r="AK34">
        <f>IF(AND($A34="Opción de Emparejamiento Ampliado",NOT(OR(LEFT(TRIM($I34),1)="A",LEFT(TRIM($I34),1)="B",LEFT(TRIM($I34),1)="C",LEFT(TRIM($I34),1)="D",LEFT(TRIM($I34),1)="E"))),IF(COUNTIF($Q34:$AJ34,"?*")&gt;0,", ","")&amp;"respuesta A-E","")</f>
        <v/>
      </c>
      <c r="AL34">
        <f>IF(TRIM($K34)="",IF(COUNTIF($M34:$M34,"?*")&gt;0,", ","")&amp;"parcial","")</f>
        <v/>
      </c>
      <c r="AM34">
        <f>IF(AND(TRIM($K34)&lt;&gt;"",TRIM($K34)&lt;&gt;VALIDACIONES!$G$1),IF(COUNTIF($M34:$N34,"?*")&gt;0,", ","")&amp;"parcial distinto a "&amp;VALIDACIONES!$G$1,"")</f>
        <v/>
      </c>
      <c r="AN34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</row>
    <row r="35" ht="24" customHeight="1">
      <c r="A35" s="344" t="n"/>
      <c r="B35" s="344" t="n"/>
      <c r="C35" s="344" t="n"/>
      <c r="D35" s="344">
        <f>IF($A35="Verdadero o Falso Simple","Verdadero",IF($A35="Respuesta A/B/Ambas/Ninguna","A. Si la primera es verdadera",IF($A35="Verdadero o Falso Complejas","1. ","")))</f>
        <v/>
      </c>
      <c r="E35" s="344">
        <f>IF($A35="Verdadero o Falso Simple","Falso",IF($A35="Respuesta A/B/Ambas/Ninguna","B. Si la segunda es verdadera",IF($A35="Verdadero o Falso Complejas","2. ","")))</f>
        <v/>
      </c>
      <c r="F35" s="344">
        <f>IF($A35="Respuesta A/B/Ambas/Ninguna","C. Si ambas son verdaderas",IF($A35="Verdadero o Falso Complejas","3. ",""))</f>
        <v/>
      </c>
      <c r="G35" s="344">
        <f>IF($A35="Respuesta A/B/Ambas/Ninguna","D. Si ninguna es verdadera",IF($A35="Verdadero o Falso Complejas","4. ",""))</f>
        <v/>
      </c>
      <c r="H35" s="344">
        <f>IF($A35="Verdadero o Falso Simple","",IF($A35="Respuesta A/B/Ambas/Ninguna","",IF($A35="Verdadero o Falso Complejas","","")))</f>
        <v/>
      </c>
      <c r="I35" s="344" t="n"/>
      <c r="J35" s="344" t="n">
        <v>2</v>
      </c>
      <c r="K35" s="344" t="inlineStr">
        <is>
          <t>2P</t>
        </is>
      </c>
      <c r="L35" s="345">
        <f>IF(TRIM($A35)="","",IF(OR($A35="Selección de la mejor respuesta",$A35="SELECCION_MEJOR_RESPUESTA",$A35="Subítem de caso o problema",$A35="SUBITEM_CASO"),IF(TRIM($C35)="","Completar enunciado",IF(SUMPRODUCT(--(LEN(TRIM($D35:$H35&amp;""))&gt;0))&lt;5,"Completar opciones A-E",IF(AND(TRIM($I35)&lt;&gt;"",OR(LEFT(TRIM($I35),1)="A",LEFT(TRIM($I35),1)="B",LEFT(TRIM($I35),1)="C",LEFT(TRIM($I35),1)="D",LEFT(TRIM($I35),1)="E")),"OK","Completar respuesta correcta A-E"))),IF(TRIM($A35)="","",IF(COUNTIF($Q35:$AJ35,"?*")=0,"OK","Falta revisar: "&amp;$Q35&amp;$R35&amp;$S35&amp;$T35&amp;$U35&amp;$V35&amp;$W35&amp;$X35&amp;$Y35&amp;$Z35&amp;$AA35&amp;$AB35&amp;$AC35&amp;$AD35&amp;$AE35&amp;$AF35&amp;$AG35&amp;$AH35&amp;$AI35&amp;$AJ35))))</f>
        <v/>
      </c>
      <c r="M35" s="341" t="n"/>
      <c r="Q35">
        <f>IF(TRIM($C35)="","enunciado","")</f>
        <v/>
      </c>
      <c r="R35">
        <f>IF(TRIM($K35)="",IF(COUNTIF($Q35:$Q35,"?*")&gt;0,", ","")&amp;"parcial","")</f>
        <v/>
      </c>
      <c r="S35">
        <f>IF(AND(TRIM($K35)&lt;&gt;"",TRIM($K35)&lt;&gt;VALIDACIONES!$G$1),IF(COUNTIF($Q35:$R35,"?*")&gt;0,", ","")&amp;"parcial distinto a "&amp;VALIDACIONES!$G$1,"")</f>
        <v/>
      </c>
      <c r="T35">
        <f>IF(AND(OR($A35="Ítems agrupados por caso clínico o problema",$A35="Subítem de caso o problema",$A35="Emparejamiento Ampliado",$A35="Opción de Emparejamiento Ampliado"),TRIM($B35)=""),IF(COUNTIF($Q35:$S35,"?*")&gt;0,", ","")&amp;"grupo","")</f>
        <v/>
      </c>
      <c r="U35">
        <f>IF(AND(OR($A35="Verdadero o Falso Simple",$A35="Respuesta A/B/Ambas/Ninguna",$A35="Verdadero o Falso Complejas",$A35="Selección de la mejor respuesta",$A35="Subítem de caso o problema",$A35="Opción de Emparejamiento Ampliado"),TRIM($I35)=""),IF(COUNTIF($Q35:$T35,"?*")&gt;0,", ","")&amp;"respuesta_correcta","")</f>
        <v/>
      </c>
      <c r="V35">
        <f>IF(AND(OR($A35="Verdadero o Falso Simple",$A35="Respuesta A/B/Ambas/Ninguna",$A35="Verdadero o Falso Complejas",$A35="Selección de la mejor respuesta",$A35="Subítem de caso o problema",$A35="Opción de Emparejamiento Ampliado"),TRIM($J35)=""),IF(COUNTIF($Q35:$U35,"?*")&gt;0,", ","")&amp;"dificultad","")</f>
        <v/>
      </c>
      <c r="W35">
        <f>IF(AND(OR($A35="Ítems agrupados por caso clínico o problema",$A35="Emparejamiento Ampliado"),TRIM($I35)&lt;&gt;""),IF(COUNTIF($Q35:$V35,"?*")&gt;0,", ","")&amp;"respuesta debe ir vacia","")</f>
        <v/>
      </c>
      <c r="X35">
        <f>IF(AND(OR($A35="Ítems agrupados por caso clínico o problema",$A35="Emparejamiento Ampliado"),TRIM($J35)&lt;&gt;""),IF(COUNTIF($Q35:$W35,"?*")&gt;0,", ","")&amp;"dificultad debe ir vacia","")</f>
        <v/>
      </c>
      <c r="Y35">
        <f>IF(AND($A35="Verdadero o Falso Simple",OR(COUNTIF($D35:$E35,"?*")&lt;2,COUNTIF($F35:$H35,"?*")&gt;0)),IF(COUNTIF($Q35:$X35,"?*")&gt;0,", ","")&amp;"incisos A-B","")</f>
        <v/>
      </c>
      <c r="Z35">
        <f>IF(AND($A35="Verdadero o Falso Simple",TRIM($I35)&lt;&gt;"",NOT(OR(LEFT(TRIM($I35),1)="A",LEFT(TRIM($I35),1)="B"))),IF(COUNTIF($Q35:$Y35,"?*")&gt;0,", ","")&amp;"respuesta A-B","")</f>
        <v/>
      </c>
      <c r="AA35">
        <f>IF(AND($A35="Respuesta A/B/Ambas/Ninguna",COUNTIF($D35:$G35,"?*")&lt;4),IF(COUNTIF($Q35:$Z35,"?*")&gt;0,", ","")&amp;"opciones A-D","")</f>
        <v/>
      </c>
      <c r="AB35">
        <f>IF(AND($A35="Respuesta A/B/Ambas/Ninguna",COUNTIF($H35:$H35,"?*")&gt;0),IF(COUNTIF($Q35:$AA35,"?*")&gt;0,", ","")&amp;"opcion E deshabilitada","")</f>
        <v/>
      </c>
      <c r="AC35">
        <f>IF(AND($A35="Respuesta A/B/Ambas/Ninguna",TRIM($I35)&lt;&gt;"",NOT(OR(LEFT(TRIM($I35),1)="A",LEFT(TRIM($I35),1)="B",LEFT(TRIM($I35),1)="C",LEFT(TRIM($I35),1)="D"))),IF(COUNTIF($Q35:$AB35,"?*")&gt;0,", ","")&amp;"respuesta A-D","")</f>
        <v/>
      </c>
      <c r="AD35">
        <f>IF(AND($A35="Verdadero o Falso Complejas",OR(LEN(TRIM(SUBSTITUTE($D35,"1.","")))=0,LEN(TRIM(SUBSTITUTE($E35,"2.","")))=0,LEN(TRIM(SUBSTITUTE($F35,"3.","")))=0,LEN(TRIM(SUBSTITUTE($G35,"4.","")))=0)),IF(COUNTIF($Q35:$AC35,"?*")&gt;0,", ","")&amp;"incisos 1-4","")</f>
        <v/>
      </c>
      <c r="AE35">
        <f>IF(AND($A35="Verdadero o Falso Complejas",COUNTIF($H35:$H35,"?*")&gt;0),IF(COUNTIF($Q35:$AD35,"?*")&gt;0,", ","")&amp;"opcion E deshabilitada","")</f>
        <v/>
      </c>
      <c r="AF35">
        <f>IF(AND($A35="Verdadero o Falso Complejas",TRIM($I35)&lt;&gt;"",NOT(OR(LEFT(TRIM($I35),1)="A",LEFT(TRIM($I35),1)="B",LEFT(TRIM($I35),1)="C",LEFT(TRIM($I35),1)="D",LEFT(TRIM($I35),1)="E"))),IF(COUNTIF($Q35:$AE35,"?*")&gt;0,", ","")&amp;"respuesta A-E","")</f>
        <v/>
      </c>
      <c r="AG35">
        <f>IF(AND(OR($A35="Selección de la mejor respuesta",$A35="Subítem de caso o problema"),COUNTA($D35:$H35)&lt;5),IF(COUNTIF($Q35:$AF35,"?*")&gt;0,", ","")&amp;"incisos A-E","")</f>
        <v/>
      </c>
      <c r="AH35">
        <f>IF(AND(OR($A35="Selección de la mejor respuesta",$A35="Subítem de caso o problema"),TRIM($I35)&lt;&gt;"",NOT(OR(LEFT(TRIM($I35),1)="A",LEFT(TRIM($I35),1)="B",LEFT(TRIM($I35),1)="C",LEFT(TRIM($I35),1)="D",LEFT(TRIM($I35),1)="E"))),IF(COUNTIF($Q35:$AG35,"?*")&gt;0,", ","")&amp;"respuesta A-E","")</f>
        <v/>
      </c>
      <c r="AI35">
        <f>IF(AND(OR($A35="Ítems agrupados por caso clínico o problema",$A35="Opción de Emparejamiento Ampliado"),COUNTIF($D35:$H35,"?*")&gt;0),IF(COUNTIF($Q35:$AH35,"?*")&gt;0,", ","")&amp;"sin incisos","")</f>
        <v/>
      </c>
      <c r="AJ35">
        <f>IF(AND($A35="Emparejamiento Ampliado",COUNTIF($D35:$H35,"?*")&lt;2),IF(COUNTIF($Q35:$AI35,"?*")&gt;0,", ","")&amp;"minimo 2 claves","")</f>
        <v/>
      </c>
      <c r="AK35">
        <f>IF(AND($A35="Opción de Emparejamiento Ampliado",NOT(OR(LEFT(TRIM($I35),1)="A",LEFT(TRIM($I35),1)="B",LEFT(TRIM($I35),1)="C",LEFT(TRIM($I35),1)="D",LEFT(TRIM($I35),1)="E"))),IF(COUNTIF($Q35:$AJ35,"?*")&gt;0,", ","")&amp;"respuesta A-E","")</f>
        <v/>
      </c>
      <c r="AL35">
        <f>IF(TRIM($K35)="",IF(COUNTIF($M35:$M35,"?*")&gt;0,", ","")&amp;"parcial","")</f>
        <v/>
      </c>
      <c r="AM35">
        <f>IF(AND(TRIM($K35)&lt;&gt;"",TRIM($K35)&lt;&gt;VALIDACIONES!$G$1),IF(COUNTIF($M35:$N35,"?*")&gt;0,", ","")&amp;"parcial distinto a "&amp;VALIDACIONES!$G$1,"")</f>
        <v/>
      </c>
      <c r="AN35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</row>
    <row r="36" ht="24" customHeight="1">
      <c r="A36" s="344" t="n"/>
      <c r="B36" s="344" t="n"/>
      <c r="C36" s="344" t="n"/>
      <c r="D36" s="344">
        <f>IF($A36="Verdadero o Falso Simple","Verdadero",IF($A36="Respuesta A/B/Ambas/Ninguna","A. Si la primera es verdadera",IF($A36="Verdadero o Falso Complejas","1. ","")))</f>
        <v/>
      </c>
      <c r="E36" s="344">
        <f>IF($A36="Verdadero o Falso Simple","Falso",IF($A36="Respuesta A/B/Ambas/Ninguna","B. Si la segunda es verdadera",IF($A36="Verdadero o Falso Complejas","2. ","")))</f>
        <v/>
      </c>
      <c r="F36" s="344">
        <f>IF($A36="Respuesta A/B/Ambas/Ninguna","C. Si ambas son verdaderas",IF($A36="Verdadero o Falso Complejas","3. ",""))</f>
        <v/>
      </c>
      <c r="G36" s="344">
        <f>IF($A36="Respuesta A/B/Ambas/Ninguna","D. Si ninguna es verdadera",IF($A36="Verdadero o Falso Complejas","4. ",""))</f>
        <v/>
      </c>
      <c r="H36" s="344">
        <f>IF($A36="Verdadero o Falso Simple","",IF($A36="Respuesta A/B/Ambas/Ninguna","",IF($A36="Verdadero o Falso Complejas","","")))</f>
        <v/>
      </c>
      <c r="I36" s="344" t="n"/>
      <c r="J36" s="344" t="n">
        <v>2</v>
      </c>
      <c r="K36" s="344" t="inlineStr">
        <is>
          <t>2P</t>
        </is>
      </c>
      <c r="L36" s="345">
        <f>IF(TRIM($A36)="","",IF(OR($A36="Selección de la mejor respuesta",$A36="SELECCION_MEJOR_RESPUESTA",$A36="Subítem de caso o problema",$A36="SUBITEM_CASO"),IF(TRIM($C36)="","Completar enunciado",IF(SUMPRODUCT(--(LEN(TRIM($D36:$H36&amp;""))&gt;0))&lt;5,"Completar opciones A-E",IF(AND(TRIM($I36)&lt;&gt;"",OR(LEFT(TRIM($I36),1)="A",LEFT(TRIM($I36),1)="B",LEFT(TRIM($I36),1)="C",LEFT(TRIM($I36),1)="D",LEFT(TRIM($I36),1)="E")),"OK","Completar respuesta correcta A-E"))),IF(TRIM($A36)="","",IF(COUNTIF($Q36:$AJ36,"?*")=0,"OK","Falta revisar: "&amp;$Q36&amp;$R36&amp;$S36&amp;$T36&amp;$U36&amp;$V36&amp;$W36&amp;$X36&amp;$Y36&amp;$Z36&amp;$AA36&amp;$AB36&amp;$AC36&amp;$AD36&amp;$AE36&amp;$AF36&amp;$AG36&amp;$AH36&amp;$AI36&amp;$AJ36))))</f>
        <v/>
      </c>
      <c r="M36" s="341" t="n"/>
      <c r="Q36">
        <f>IF(TRIM($C36)="","enunciado","")</f>
        <v/>
      </c>
      <c r="R36">
        <f>IF(TRIM($K36)="",IF(COUNTIF($Q36:$Q36,"?*")&gt;0,", ","")&amp;"parcial","")</f>
        <v/>
      </c>
      <c r="S36">
        <f>IF(AND(TRIM($K36)&lt;&gt;"",TRIM($K36)&lt;&gt;VALIDACIONES!$G$1),IF(COUNTIF($Q36:$R36,"?*")&gt;0,", ","")&amp;"parcial distinto a "&amp;VALIDACIONES!$G$1,"")</f>
        <v/>
      </c>
      <c r="T36">
        <f>IF(AND(OR($A36="Ítems agrupados por caso clínico o problema",$A36="Subítem de caso o problema",$A36="Emparejamiento Ampliado",$A36="Opción de Emparejamiento Ampliado"),TRIM($B36)=""),IF(COUNTIF($Q36:$S36,"?*")&gt;0,", ","")&amp;"grupo","")</f>
        <v/>
      </c>
      <c r="U36">
        <f>IF(AND(OR($A36="Verdadero o Falso Simple",$A36="Respuesta A/B/Ambas/Ninguna",$A36="Verdadero o Falso Complejas",$A36="Selección de la mejor respuesta",$A36="Subítem de caso o problema",$A36="Opción de Emparejamiento Ampliado"),TRIM($I36)=""),IF(COUNTIF($Q36:$T36,"?*")&gt;0,", ","")&amp;"respuesta_correcta","")</f>
        <v/>
      </c>
      <c r="V36">
        <f>IF(AND(OR($A36="Verdadero o Falso Simple",$A36="Respuesta A/B/Ambas/Ninguna",$A36="Verdadero o Falso Complejas",$A36="Selección de la mejor respuesta",$A36="Subítem de caso o problema",$A36="Opción de Emparejamiento Ampliado"),TRIM($J36)=""),IF(COUNTIF($Q36:$U36,"?*")&gt;0,", ","")&amp;"dificultad","")</f>
        <v/>
      </c>
      <c r="W36">
        <f>IF(AND(OR($A36="Ítems agrupados por caso clínico o problema",$A36="Emparejamiento Ampliado"),TRIM($I36)&lt;&gt;""),IF(COUNTIF($Q36:$V36,"?*")&gt;0,", ","")&amp;"respuesta debe ir vacia","")</f>
        <v/>
      </c>
      <c r="X36">
        <f>IF(AND(OR($A36="Ítems agrupados por caso clínico o problema",$A36="Emparejamiento Ampliado"),TRIM($J36)&lt;&gt;""),IF(COUNTIF($Q36:$W36,"?*")&gt;0,", ","")&amp;"dificultad debe ir vacia","")</f>
        <v/>
      </c>
      <c r="Y36">
        <f>IF(AND($A36="Verdadero o Falso Simple",OR(COUNTIF($D36:$E36,"?*")&lt;2,COUNTIF($F36:$H36,"?*")&gt;0)),IF(COUNTIF($Q36:$X36,"?*")&gt;0,", ","")&amp;"incisos A-B","")</f>
        <v/>
      </c>
      <c r="Z36">
        <f>IF(AND($A36="Verdadero o Falso Simple",TRIM($I36)&lt;&gt;"",NOT(OR(LEFT(TRIM($I36),1)="A",LEFT(TRIM($I36),1)="B"))),IF(COUNTIF($Q36:$Y36,"?*")&gt;0,", ","")&amp;"respuesta A-B","")</f>
        <v/>
      </c>
      <c r="AA36">
        <f>IF(AND($A36="Respuesta A/B/Ambas/Ninguna",COUNTIF($D36:$G36,"?*")&lt;4),IF(COUNTIF($Q36:$Z36,"?*")&gt;0,", ","")&amp;"opciones A-D","")</f>
        <v/>
      </c>
      <c r="AB36">
        <f>IF(AND($A36="Respuesta A/B/Ambas/Ninguna",COUNTIF($H36:$H36,"?*")&gt;0),IF(COUNTIF($Q36:$AA36,"?*")&gt;0,", ","")&amp;"opcion E deshabilitada","")</f>
        <v/>
      </c>
      <c r="AC36">
        <f>IF(AND($A36="Respuesta A/B/Ambas/Ninguna",TRIM($I36)&lt;&gt;"",NOT(OR(LEFT(TRIM($I36),1)="A",LEFT(TRIM($I36),1)="B",LEFT(TRIM($I36),1)="C",LEFT(TRIM($I36),1)="D"))),IF(COUNTIF($Q36:$AB36,"?*")&gt;0,", ","")&amp;"respuesta A-D","")</f>
        <v/>
      </c>
      <c r="AD36">
        <f>IF(AND($A36="Verdadero o Falso Complejas",OR(LEN(TRIM(SUBSTITUTE($D36,"1.","")))=0,LEN(TRIM(SUBSTITUTE($E36,"2.","")))=0,LEN(TRIM(SUBSTITUTE($F36,"3.","")))=0,LEN(TRIM(SUBSTITUTE($G36,"4.","")))=0)),IF(COUNTIF($Q36:$AC36,"?*")&gt;0,", ","")&amp;"incisos 1-4","")</f>
        <v/>
      </c>
      <c r="AE36">
        <f>IF(AND($A36="Verdadero o Falso Complejas",COUNTIF($H36:$H36,"?*")&gt;0),IF(COUNTIF($Q36:$AD36,"?*")&gt;0,", ","")&amp;"opcion E deshabilitada","")</f>
        <v/>
      </c>
      <c r="AF36">
        <f>IF(AND($A36="Verdadero o Falso Complejas",TRIM($I36)&lt;&gt;"",NOT(OR(LEFT(TRIM($I36),1)="A",LEFT(TRIM($I36),1)="B",LEFT(TRIM($I36),1)="C",LEFT(TRIM($I36),1)="D",LEFT(TRIM($I36),1)="E"))),IF(COUNTIF($Q36:$AE36,"?*")&gt;0,", ","")&amp;"respuesta A-E","")</f>
        <v/>
      </c>
      <c r="AG36">
        <f>IF(AND(OR($A36="Selección de la mejor respuesta",$A36="Subítem de caso o problema"),COUNTA($D36:$H36)&lt;5),IF(COUNTIF($Q36:$AF36,"?*")&gt;0,", ","")&amp;"incisos A-E","")</f>
        <v/>
      </c>
      <c r="AH36">
        <f>IF(AND(OR($A36="Selección de la mejor respuesta",$A36="Subítem de caso o problema"),TRIM($I36)&lt;&gt;"",NOT(OR(LEFT(TRIM($I36),1)="A",LEFT(TRIM($I36),1)="B",LEFT(TRIM($I36),1)="C",LEFT(TRIM($I36),1)="D",LEFT(TRIM($I36),1)="E"))),IF(COUNTIF($Q36:$AG36,"?*")&gt;0,", ","")&amp;"respuesta A-E","")</f>
        <v/>
      </c>
      <c r="AI36">
        <f>IF(AND(OR($A36="Ítems agrupados por caso clínico o problema",$A36="Opción de Emparejamiento Ampliado"),COUNTIF($D36:$H36,"?*")&gt;0),IF(COUNTIF($Q36:$AH36,"?*")&gt;0,", ","")&amp;"sin incisos","")</f>
        <v/>
      </c>
      <c r="AJ36">
        <f>IF(AND($A36="Emparejamiento Ampliado",COUNTIF($D36:$H36,"?*")&lt;2),IF(COUNTIF($Q36:$AI36,"?*")&gt;0,", ","")&amp;"minimo 2 claves","")</f>
        <v/>
      </c>
      <c r="AK36">
        <f>IF(AND($A36="Opción de Emparejamiento Ampliado",NOT(OR(LEFT(TRIM($I36),1)="A",LEFT(TRIM($I36),1)="B",LEFT(TRIM($I36),1)="C",LEFT(TRIM($I36),1)="D",LEFT(TRIM($I36),1)="E"))),IF(COUNTIF($Q36:$AJ36,"?*")&gt;0,", ","")&amp;"respuesta A-E","")</f>
        <v/>
      </c>
      <c r="AL36">
        <f>IF(TRIM($K36)="",IF(COUNTIF($M36:$M36,"?*")&gt;0,", ","")&amp;"parcial","")</f>
        <v/>
      </c>
      <c r="AM36">
        <f>IF(AND(TRIM($K36)&lt;&gt;"",TRIM($K36)&lt;&gt;VALIDACIONES!$G$1),IF(COUNTIF($M36:$N36,"?*")&gt;0,", ","")&amp;"parcial distinto a "&amp;VALIDACIONES!$G$1,"")</f>
        <v/>
      </c>
      <c r="AN36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</row>
    <row r="37" ht="24" customHeight="1">
      <c r="A37" s="344" t="n"/>
      <c r="B37" s="344" t="n"/>
      <c r="C37" s="344" t="n"/>
      <c r="D37" s="344">
        <f>IF($A37="Verdadero o Falso Simple","Verdadero",IF($A37="Respuesta A/B/Ambas/Ninguna","A. Si la primera es verdadera",IF($A37="Verdadero o Falso Complejas","1. ","")))</f>
        <v/>
      </c>
      <c r="E37" s="344">
        <f>IF($A37="Verdadero o Falso Simple","Falso",IF($A37="Respuesta A/B/Ambas/Ninguna","B. Si la segunda es verdadera",IF($A37="Verdadero o Falso Complejas","2. ","")))</f>
        <v/>
      </c>
      <c r="F37" s="344">
        <f>IF($A37="Respuesta A/B/Ambas/Ninguna","C. Si ambas son verdaderas",IF($A37="Verdadero o Falso Complejas","3. ",""))</f>
        <v/>
      </c>
      <c r="G37" s="344">
        <f>IF($A37="Respuesta A/B/Ambas/Ninguna","D. Si ninguna es verdadera",IF($A37="Verdadero o Falso Complejas","4. ",""))</f>
        <v/>
      </c>
      <c r="H37" s="344">
        <f>IF($A37="Verdadero o Falso Simple","",IF($A37="Respuesta A/B/Ambas/Ninguna","",IF($A37="Verdadero o Falso Complejas","","")))</f>
        <v/>
      </c>
      <c r="I37" s="344" t="n"/>
      <c r="J37" s="344" t="n">
        <v>2</v>
      </c>
      <c r="K37" s="344" t="inlineStr">
        <is>
          <t>2P</t>
        </is>
      </c>
      <c r="L37" s="345">
        <f>IF(TRIM($A37)="","",IF(OR($A37="Selección de la mejor respuesta",$A37="SELECCION_MEJOR_RESPUESTA",$A37="Subítem de caso o problema",$A37="SUBITEM_CASO"),IF(TRIM($C37)="","Completar enunciado",IF(SUMPRODUCT(--(LEN(TRIM($D37:$H37&amp;""))&gt;0))&lt;5,"Completar opciones A-E",IF(AND(TRIM($I37)&lt;&gt;"",OR(LEFT(TRIM($I37),1)="A",LEFT(TRIM($I37),1)="B",LEFT(TRIM($I37),1)="C",LEFT(TRIM($I37),1)="D",LEFT(TRIM($I37),1)="E")),"OK","Completar respuesta correcta A-E"))),IF(TRIM($A37)="","",IF(COUNTIF($Q37:$AJ37,"?*")=0,"OK","Falta revisar: "&amp;$Q37&amp;$R37&amp;$S37&amp;$T37&amp;$U37&amp;$V37&amp;$W37&amp;$X37&amp;$Y37&amp;$Z37&amp;$AA37&amp;$AB37&amp;$AC37&amp;$AD37&amp;$AE37&amp;$AF37&amp;$AG37&amp;$AH37&amp;$AI37&amp;$AJ37))))</f>
        <v/>
      </c>
      <c r="M37" s="341" t="n"/>
      <c r="Q37">
        <f>IF(TRIM($C37)="","enunciado","")</f>
        <v/>
      </c>
      <c r="R37">
        <f>IF(TRIM($K37)="",IF(COUNTIF($Q37:$Q37,"?*")&gt;0,", ","")&amp;"parcial","")</f>
        <v/>
      </c>
      <c r="S37">
        <f>IF(AND(TRIM($K37)&lt;&gt;"",TRIM($K37)&lt;&gt;VALIDACIONES!$G$1),IF(COUNTIF($Q37:$R37,"?*")&gt;0,", ","")&amp;"parcial distinto a "&amp;VALIDACIONES!$G$1,"")</f>
        <v/>
      </c>
      <c r="T37">
        <f>IF(AND(OR($A37="Ítems agrupados por caso clínico o problema",$A37="Subítem de caso o problema",$A37="Emparejamiento Ampliado",$A37="Opción de Emparejamiento Ampliado"),TRIM($B37)=""),IF(COUNTIF($Q37:$S37,"?*")&gt;0,", ","")&amp;"grupo","")</f>
        <v/>
      </c>
      <c r="U37">
        <f>IF(AND(OR($A37="Verdadero o Falso Simple",$A37="Respuesta A/B/Ambas/Ninguna",$A37="Verdadero o Falso Complejas",$A37="Selección de la mejor respuesta",$A37="Subítem de caso o problema",$A37="Opción de Emparejamiento Ampliado"),TRIM($I37)=""),IF(COUNTIF($Q37:$T37,"?*")&gt;0,", ","")&amp;"respuesta_correcta","")</f>
        <v/>
      </c>
      <c r="V37">
        <f>IF(AND(OR($A37="Verdadero o Falso Simple",$A37="Respuesta A/B/Ambas/Ninguna",$A37="Verdadero o Falso Complejas",$A37="Selección de la mejor respuesta",$A37="Subítem de caso o problema",$A37="Opción de Emparejamiento Ampliado"),TRIM($J37)=""),IF(COUNTIF($Q37:$U37,"?*")&gt;0,", ","")&amp;"dificultad","")</f>
        <v/>
      </c>
      <c r="W37">
        <f>IF(AND(OR($A37="Ítems agrupados por caso clínico o problema",$A37="Emparejamiento Ampliado"),TRIM($I37)&lt;&gt;""),IF(COUNTIF($Q37:$V37,"?*")&gt;0,", ","")&amp;"respuesta debe ir vacia","")</f>
        <v/>
      </c>
      <c r="X37">
        <f>IF(AND(OR($A37="Ítems agrupados por caso clínico o problema",$A37="Emparejamiento Ampliado"),TRIM($J37)&lt;&gt;""),IF(COUNTIF($Q37:$W37,"?*")&gt;0,", ","")&amp;"dificultad debe ir vacia","")</f>
        <v/>
      </c>
      <c r="Y37">
        <f>IF(AND($A37="Verdadero o Falso Simple",OR(COUNTIF($D37:$E37,"?*")&lt;2,COUNTIF($F37:$H37,"?*")&gt;0)),IF(COUNTIF($Q37:$X37,"?*")&gt;0,", ","")&amp;"incisos A-B","")</f>
        <v/>
      </c>
      <c r="Z37">
        <f>IF(AND($A37="Verdadero o Falso Simple",TRIM($I37)&lt;&gt;"",NOT(OR(LEFT(TRIM($I37),1)="A",LEFT(TRIM($I37),1)="B"))),IF(COUNTIF($Q37:$Y37,"?*")&gt;0,", ","")&amp;"respuesta A-B","")</f>
        <v/>
      </c>
      <c r="AA37">
        <f>IF(AND($A37="Respuesta A/B/Ambas/Ninguna",COUNTIF($D37:$G37,"?*")&lt;4),IF(COUNTIF($Q37:$Z37,"?*")&gt;0,", ","")&amp;"opciones A-D","")</f>
        <v/>
      </c>
      <c r="AB37">
        <f>IF(AND($A37="Respuesta A/B/Ambas/Ninguna",COUNTIF($H37:$H37,"?*")&gt;0),IF(COUNTIF($Q37:$AA37,"?*")&gt;0,", ","")&amp;"opcion E deshabilitada","")</f>
        <v/>
      </c>
      <c r="AC37">
        <f>IF(AND($A37="Respuesta A/B/Ambas/Ninguna",TRIM($I37)&lt;&gt;"",NOT(OR(LEFT(TRIM($I37),1)="A",LEFT(TRIM($I37),1)="B",LEFT(TRIM($I37),1)="C",LEFT(TRIM($I37),1)="D"))),IF(COUNTIF($Q37:$AB37,"?*")&gt;0,", ","")&amp;"respuesta A-D","")</f>
        <v/>
      </c>
      <c r="AD37">
        <f>IF(AND($A37="Verdadero o Falso Complejas",OR(LEN(TRIM(SUBSTITUTE($D37,"1.","")))=0,LEN(TRIM(SUBSTITUTE($E37,"2.","")))=0,LEN(TRIM(SUBSTITUTE($F37,"3.","")))=0,LEN(TRIM(SUBSTITUTE($G37,"4.","")))=0)),IF(COUNTIF($Q37:$AC37,"?*")&gt;0,", ","")&amp;"incisos 1-4","")</f>
        <v/>
      </c>
      <c r="AE37">
        <f>IF(AND($A37="Verdadero o Falso Complejas",COUNTIF($H37:$H37,"?*")&gt;0),IF(COUNTIF($Q37:$AD37,"?*")&gt;0,", ","")&amp;"opcion E deshabilitada","")</f>
        <v/>
      </c>
      <c r="AF37">
        <f>IF(AND($A37="Verdadero o Falso Complejas",TRIM($I37)&lt;&gt;"",NOT(OR(LEFT(TRIM($I37),1)="A",LEFT(TRIM($I37),1)="B",LEFT(TRIM($I37),1)="C",LEFT(TRIM($I37),1)="D",LEFT(TRIM($I37),1)="E"))),IF(COUNTIF($Q37:$AE37,"?*")&gt;0,", ","")&amp;"respuesta A-E","")</f>
        <v/>
      </c>
      <c r="AG37">
        <f>IF(AND(OR($A37="Selección de la mejor respuesta",$A37="Subítem de caso o problema"),COUNTA($D37:$H37)&lt;5),IF(COUNTIF($Q37:$AF37,"?*")&gt;0,", ","")&amp;"incisos A-E","")</f>
        <v/>
      </c>
      <c r="AH37">
        <f>IF(AND(OR($A37="Selección de la mejor respuesta",$A37="Subítem de caso o problema"),TRIM($I37)&lt;&gt;"",NOT(OR(LEFT(TRIM($I37),1)="A",LEFT(TRIM($I37),1)="B",LEFT(TRIM($I37),1)="C",LEFT(TRIM($I37),1)="D",LEFT(TRIM($I37),1)="E"))),IF(COUNTIF($Q37:$AG37,"?*")&gt;0,", ","")&amp;"respuesta A-E","")</f>
        <v/>
      </c>
      <c r="AI37">
        <f>IF(AND(OR($A37="Ítems agrupados por caso clínico o problema",$A37="Opción de Emparejamiento Ampliado"),COUNTIF($D37:$H37,"?*")&gt;0),IF(COUNTIF($Q37:$AH37,"?*")&gt;0,", ","")&amp;"sin incisos","")</f>
        <v/>
      </c>
      <c r="AJ37">
        <f>IF(AND($A37="Emparejamiento Ampliado",COUNTIF($D37:$H37,"?*")&lt;2),IF(COUNTIF($Q37:$AI37,"?*")&gt;0,", ","")&amp;"minimo 2 claves","")</f>
        <v/>
      </c>
      <c r="AK37">
        <f>IF(AND($A37="Opción de Emparejamiento Ampliado",NOT(OR(LEFT(TRIM($I37),1)="A",LEFT(TRIM($I37),1)="B",LEFT(TRIM($I37),1)="C",LEFT(TRIM($I37),1)="D",LEFT(TRIM($I37),1)="E"))),IF(COUNTIF($Q37:$AJ37,"?*")&gt;0,", ","")&amp;"respuesta A-E","")</f>
        <v/>
      </c>
      <c r="AL37">
        <f>IF(TRIM($K37)="",IF(COUNTIF($M37:$M37,"?*")&gt;0,", ","")&amp;"parcial","")</f>
        <v/>
      </c>
      <c r="AM37">
        <f>IF(AND(TRIM($K37)&lt;&gt;"",TRIM($K37)&lt;&gt;VALIDACIONES!$G$1),IF(COUNTIF($M37:$N37,"?*")&gt;0,", ","")&amp;"parcial distinto a "&amp;VALIDACIONES!$G$1,"")</f>
        <v/>
      </c>
      <c r="AN37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</row>
    <row r="38" ht="24" customHeight="1">
      <c r="A38" s="344" t="n"/>
      <c r="B38" s="344" t="n"/>
      <c r="C38" s="344" t="n"/>
      <c r="D38" s="344">
        <f>IF($A38="Verdadero o Falso Simple","Verdadero",IF($A38="Respuesta A/B/Ambas/Ninguna","A. Si la primera es verdadera",IF($A38="Verdadero o Falso Complejas","1. ","")))</f>
        <v/>
      </c>
      <c r="E38" s="344">
        <f>IF($A38="Verdadero o Falso Simple","Falso",IF($A38="Respuesta A/B/Ambas/Ninguna","B. Si la segunda es verdadera",IF($A38="Verdadero o Falso Complejas","2. ","")))</f>
        <v/>
      </c>
      <c r="F38" s="344">
        <f>IF($A38="Respuesta A/B/Ambas/Ninguna","C. Si ambas son verdaderas",IF($A38="Verdadero o Falso Complejas","3. ",""))</f>
        <v/>
      </c>
      <c r="G38" s="344">
        <f>IF($A38="Respuesta A/B/Ambas/Ninguna","D. Si ninguna es verdadera",IF($A38="Verdadero o Falso Complejas","4. ",""))</f>
        <v/>
      </c>
      <c r="H38" s="344">
        <f>IF($A38="Verdadero o Falso Simple","",IF($A38="Respuesta A/B/Ambas/Ninguna","",IF($A38="Verdadero o Falso Complejas","","")))</f>
        <v/>
      </c>
      <c r="I38" s="344" t="n"/>
      <c r="J38" s="344" t="n">
        <v>2</v>
      </c>
      <c r="K38" s="344" t="inlineStr">
        <is>
          <t>2P</t>
        </is>
      </c>
      <c r="L38" s="345">
        <f>IF(TRIM($A38)="","",IF(OR($A38="Selección de la mejor respuesta",$A38="SELECCION_MEJOR_RESPUESTA",$A38="Subítem de caso o problema",$A38="SUBITEM_CASO"),IF(TRIM($C38)="","Completar enunciado",IF(SUMPRODUCT(--(LEN(TRIM($D38:$H38&amp;""))&gt;0))&lt;5,"Completar opciones A-E",IF(AND(TRIM($I38)&lt;&gt;"",OR(LEFT(TRIM($I38),1)="A",LEFT(TRIM($I38),1)="B",LEFT(TRIM($I38),1)="C",LEFT(TRIM($I38),1)="D",LEFT(TRIM($I38),1)="E")),"OK","Completar respuesta correcta A-E"))),IF(TRIM($A38)="","",IF(COUNTIF($Q38:$AJ38,"?*")=0,"OK","Falta revisar: "&amp;$Q38&amp;$R38&amp;$S38&amp;$T38&amp;$U38&amp;$V38&amp;$W38&amp;$X38&amp;$Y38&amp;$Z38&amp;$AA38&amp;$AB38&amp;$AC38&amp;$AD38&amp;$AE38&amp;$AF38&amp;$AG38&amp;$AH38&amp;$AI38&amp;$AJ38))))</f>
        <v/>
      </c>
      <c r="M38" s="341" t="n"/>
      <c r="Q38">
        <f>IF(TRIM($C38)="","enunciado","")</f>
        <v/>
      </c>
      <c r="R38">
        <f>IF(TRIM($K38)="",IF(COUNTIF($Q38:$Q38,"?*")&gt;0,", ","")&amp;"parcial","")</f>
        <v/>
      </c>
      <c r="S38">
        <f>IF(AND(TRIM($K38)&lt;&gt;"",TRIM($K38)&lt;&gt;VALIDACIONES!$G$1),IF(COUNTIF($Q38:$R38,"?*")&gt;0,", ","")&amp;"parcial distinto a "&amp;VALIDACIONES!$G$1,"")</f>
        <v/>
      </c>
      <c r="T38">
        <f>IF(AND(OR($A38="Ítems agrupados por caso clínico o problema",$A38="Subítem de caso o problema",$A38="Emparejamiento Ampliado",$A38="Opción de Emparejamiento Ampliado"),TRIM($B38)=""),IF(COUNTIF($Q38:$S38,"?*")&gt;0,", ","")&amp;"grupo","")</f>
        <v/>
      </c>
      <c r="U38">
        <f>IF(AND(OR($A38="Verdadero o Falso Simple",$A38="Respuesta A/B/Ambas/Ninguna",$A38="Verdadero o Falso Complejas",$A38="Selección de la mejor respuesta",$A38="Subítem de caso o problema",$A38="Opción de Emparejamiento Ampliado"),TRIM($I38)=""),IF(COUNTIF($Q38:$T38,"?*")&gt;0,", ","")&amp;"respuesta_correcta","")</f>
        <v/>
      </c>
      <c r="V38">
        <f>IF(AND(OR($A38="Verdadero o Falso Simple",$A38="Respuesta A/B/Ambas/Ninguna",$A38="Verdadero o Falso Complejas",$A38="Selección de la mejor respuesta",$A38="Subítem de caso o problema",$A38="Opción de Emparejamiento Ampliado"),TRIM($J38)=""),IF(COUNTIF($Q38:$U38,"?*")&gt;0,", ","")&amp;"dificultad","")</f>
        <v/>
      </c>
      <c r="W38">
        <f>IF(AND(OR($A38="Ítems agrupados por caso clínico o problema",$A38="Emparejamiento Ampliado"),TRIM($I38)&lt;&gt;""),IF(COUNTIF($Q38:$V38,"?*")&gt;0,", ","")&amp;"respuesta debe ir vacia","")</f>
        <v/>
      </c>
      <c r="X38">
        <f>IF(AND(OR($A38="Ítems agrupados por caso clínico o problema",$A38="Emparejamiento Ampliado"),TRIM($J38)&lt;&gt;""),IF(COUNTIF($Q38:$W38,"?*")&gt;0,", ","")&amp;"dificultad debe ir vacia","")</f>
        <v/>
      </c>
      <c r="Y38">
        <f>IF(AND($A38="Verdadero o Falso Simple",OR(COUNTIF($D38:$E38,"?*")&lt;2,COUNTIF($F38:$H38,"?*")&gt;0)),IF(COUNTIF($Q38:$X38,"?*")&gt;0,", ","")&amp;"incisos A-B","")</f>
        <v/>
      </c>
      <c r="Z38">
        <f>IF(AND($A38="Verdadero o Falso Simple",TRIM($I38)&lt;&gt;"",NOT(OR(LEFT(TRIM($I38),1)="A",LEFT(TRIM($I38),1)="B"))),IF(COUNTIF($Q38:$Y38,"?*")&gt;0,", ","")&amp;"respuesta A-B","")</f>
        <v/>
      </c>
      <c r="AA38">
        <f>IF(AND($A38="Respuesta A/B/Ambas/Ninguna",COUNTIF($D38:$G38,"?*")&lt;4),IF(COUNTIF($Q38:$Z38,"?*")&gt;0,", ","")&amp;"opciones A-D","")</f>
        <v/>
      </c>
      <c r="AB38">
        <f>IF(AND($A38="Respuesta A/B/Ambas/Ninguna",COUNTIF($H38:$H38,"?*")&gt;0),IF(COUNTIF($Q38:$AA38,"?*")&gt;0,", ","")&amp;"opcion E deshabilitada","")</f>
        <v/>
      </c>
      <c r="AC38">
        <f>IF(AND($A38="Respuesta A/B/Ambas/Ninguna",TRIM($I38)&lt;&gt;"",NOT(OR(LEFT(TRIM($I38),1)="A",LEFT(TRIM($I38),1)="B",LEFT(TRIM($I38),1)="C",LEFT(TRIM($I38),1)="D"))),IF(COUNTIF($Q38:$AB38,"?*")&gt;0,", ","")&amp;"respuesta A-D","")</f>
        <v/>
      </c>
      <c r="AD38">
        <f>IF(AND($A38="Verdadero o Falso Complejas",OR(LEN(TRIM(SUBSTITUTE($D38,"1.","")))=0,LEN(TRIM(SUBSTITUTE($E38,"2.","")))=0,LEN(TRIM(SUBSTITUTE($F38,"3.","")))=0,LEN(TRIM(SUBSTITUTE($G38,"4.","")))=0)),IF(COUNTIF($Q38:$AC38,"?*")&gt;0,", ","")&amp;"incisos 1-4","")</f>
        <v/>
      </c>
      <c r="AE38">
        <f>IF(AND($A38="Verdadero o Falso Complejas",COUNTIF($H38:$H38,"?*")&gt;0),IF(COUNTIF($Q38:$AD38,"?*")&gt;0,", ","")&amp;"opcion E deshabilitada","")</f>
        <v/>
      </c>
      <c r="AF38">
        <f>IF(AND($A38="Verdadero o Falso Complejas",TRIM($I38)&lt;&gt;"",NOT(OR(LEFT(TRIM($I38),1)="A",LEFT(TRIM($I38),1)="B",LEFT(TRIM($I38),1)="C",LEFT(TRIM($I38),1)="D",LEFT(TRIM($I38),1)="E"))),IF(COUNTIF($Q38:$AE38,"?*")&gt;0,", ","")&amp;"respuesta A-E","")</f>
        <v/>
      </c>
      <c r="AG38">
        <f>IF(AND(OR($A38="Selección de la mejor respuesta",$A38="Subítem de caso o problema"),COUNTA($D38:$H38)&lt;5),IF(COUNTIF($Q38:$AF38,"?*")&gt;0,", ","")&amp;"incisos A-E","")</f>
        <v/>
      </c>
      <c r="AH38">
        <f>IF(AND(OR($A38="Selección de la mejor respuesta",$A38="Subítem de caso o problema"),TRIM($I38)&lt;&gt;"",NOT(OR(LEFT(TRIM($I38),1)="A",LEFT(TRIM($I38),1)="B",LEFT(TRIM($I38),1)="C",LEFT(TRIM($I38),1)="D",LEFT(TRIM($I38),1)="E"))),IF(COUNTIF($Q38:$AG38,"?*")&gt;0,", ","")&amp;"respuesta A-E","")</f>
        <v/>
      </c>
      <c r="AI38">
        <f>IF(AND(OR($A38="Ítems agrupados por caso clínico o problema",$A38="Opción de Emparejamiento Ampliado"),COUNTIF($D38:$H38,"?*")&gt;0),IF(COUNTIF($Q38:$AH38,"?*")&gt;0,", ","")&amp;"sin incisos","")</f>
        <v/>
      </c>
      <c r="AJ38">
        <f>IF(AND($A38="Emparejamiento Ampliado",COUNTIF($D38:$H38,"?*")&lt;2),IF(COUNTIF($Q38:$AI38,"?*")&gt;0,", ","")&amp;"minimo 2 claves","")</f>
        <v/>
      </c>
      <c r="AK38">
        <f>IF(AND($A38="Opción de Emparejamiento Ampliado",NOT(OR(LEFT(TRIM($I38),1)="A",LEFT(TRIM($I38),1)="B",LEFT(TRIM($I38),1)="C",LEFT(TRIM($I38),1)="D",LEFT(TRIM($I38),1)="E"))),IF(COUNTIF($Q38:$AJ38,"?*")&gt;0,", ","")&amp;"respuesta A-E","")</f>
        <v/>
      </c>
      <c r="AL38">
        <f>IF(TRIM($K38)="",IF(COUNTIF($M38:$M38,"?*")&gt;0,", ","")&amp;"parcial","")</f>
        <v/>
      </c>
      <c r="AM38">
        <f>IF(AND(TRIM($K38)&lt;&gt;"",TRIM($K38)&lt;&gt;VALIDACIONES!$G$1),IF(COUNTIF($M38:$N38,"?*")&gt;0,", ","")&amp;"parcial distinto a "&amp;VALIDACIONES!$G$1,"")</f>
        <v/>
      </c>
      <c r="AN38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</row>
    <row r="39" ht="24" customHeight="1">
      <c r="A39" s="344" t="n"/>
      <c r="B39" s="344" t="n"/>
      <c r="C39" s="344" t="n"/>
      <c r="D39" s="344">
        <f>IF($A39="Verdadero o Falso Simple","Verdadero",IF($A39="Respuesta A/B/Ambas/Ninguna","A. Si la primera es verdadera",IF($A39="Verdadero o Falso Complejas","1. ","")))</f>
        <v/>
      </c>
      <c r="E39" s="344">
        <f>IF($A39="Verdadero o Falso Simple","Falso",IF($A39="Respuesta A/B/Ambas/Ninguna","B. Si la segunda es verdadera",IF($A39="Verdadero o Falso Complejas","2. ","")))</f>
        <v/>
      </c>
      <c r="F39" s="344">
        <f>IF($A39="Respuesta A/B/Ambas/Ninguna","C. Si ambas son verdaderas",IF($A39="Verdadero o Falso Complejas","3. ",""))</f>
        <v/>
      </c>
      <c r="G39" s="344">
        <f>IF($A39="Respuesta A/B/Ambas/Ninguna","D. Si ninguna es verdadera",IF($A39="Verdadero o Falso Complejas","4. ",""))</f>
        <v/>
      </c>
      <c r="H39" s="344">
        <f>IF($A39="Verdadero o Falso Simple","",IF($A39="Respuesta A/B/Ambas/Ninguna","",IF($A39="Verdadero o Falso Complejas","","")))</f>
        <v/>
      </c>
      <c r="I39" s="344" t="n"/>
      <c r="J39" s="344" t="n">
        <v>2</v>
      </c>
      <c r="K39" s="344" t="inlineStr">
        <is>
          <t>2P</t>
        </is>
      </c>
      <c r="L39" s="345">
        <f>IF(TRIM($A39)="","",IF(OR($A39="Selección de la mejor respuesta",$A39="SELECCION_MEJOR_RESPUESTA",$A39="Subítem de caso o problema",$A39="SUBITEM_CASO"),IF(TRIM($C39)="","Completar enunciado",IF(SUMPRODUCT(--(LEN(TRIM($D39:$H39&amp;""))&gt;0))&lt;5,"Completar opciones A-E",IF(AND(TRIM($I39)&lt;&gt;"",OR(LEFT(TRIM($I39),1)="A",LEFT(TRIM($I39),1)="B",LEFT(TRIM($I39),1)="C",LEFT(TRIM($I39),1)="D",LEFT(TRIM($I39),1)="E")),"OK","Completar respuesta correcta A-E"))),IF(TRIM($A39)="","",IF(COUNTIF($Q39:$AJ39,"?*")=0,"OK","Falta revisar: "&amp;$Q39&amp;$R39&amp;$S39&amp;$T39&amp;$U39&amp;$V39&amp;$W39&amp;$X39&amp;$Y39&amp;$Z39&amp;$AA39&amp;$AB39&amp;$AC39&amp;$AD39&amp;$AE39&amp;$AF39&amp;$AG39&amp;$AH39&amp;$AI39&amp;$AJ39))))</f>
        <v/>
      </c>
      <c r="M39" s="341" t="n"/>
      <c r="Q39">
        <f>IF(TRIM($C39)="","enunciado","")</f>
        <v/>
      </c>
      <c r="R39">
        <f>IF(TRIM($K39)="",IF(COUNTIF($Q39:$Q39,"?*")&gt;0,", ","")&amp;"parcial","")</f>
        <v/>
      </c>
      <c r="S39">
        <f>IF(AND(TRIM($K39)&lt;&gt;"",TRIM($K39)&lt;&gt;VALIDACIONES!$G$1),IF(COUNTIF($Q39:$R39,"?*")&gt;0,", ","")&amp;"parcial distinto a "&amp;VALIDACIONES!$G$1,"")</f>
        <v/>
      </c>
      <c r="T39">
        <f>IF(AND(OR($A39="Ítems agrupados por caso clínico o problema",$A39="Subítem de caso o problema",$A39="Emparejamiento Ampliado",$A39="Opción de Emparejamiento Ampliado"),TRIM($B39)=""),IF(COUNTIF($Q39:$S39,"?*")&gt;0,", ","")&amp;"grupo","")</f>
        <v/>
      </c>
      <c r="U39">
        <f>IF(AND(OR($A39="Verdadero o Falso Simple",$A39="Respuesta A/B/Ambas/Ninguna",$A39="Verdadero o Falso Complejas",$A39="Selección de la mejor respuesta",$A39="Subítem de caso o problema",$A39="Opción de Emparejamiento Ampliado"),TRIM($I39)=""),IF(COUNTIF($Q39:$T39,"?*")&gt;0,", ","")&amp;"respuesta_correcta","")</f>
        <v/>
      </c>
      <c r="V39">
        <f>IF(AND(OR($A39="Verdadero o Falso Simple",$A39="Respuesta A/B/Ambas/Ninguna",$A39="Verdadero o Falso Complejas",$A39="Selección de la mejor respuesta",$A39="Subítem de caso o problema",$A39="Opción de Emparejamiento Ampliado"),TRIM($J39)=""),IF(COUNTIF($Q39:$U39,"?*")&gt;0,", ","")&amp;"dificultad","")</f>
        <v/>
      </c>
      <c r="W39">
        <f>IF(AND(OR($A39="Ítems agrupados por caso clínico o problema",$A39="Emparejamiento Ampliado"),TRIM($I39)&lt;&gt;""),IF(COUNTIF($Q39:$V39,"?*")&gt;0,", ","")&amp;"respuesta debe ir vacia","")</f>
        <v/>
      </c>
      <c r="X39">
        <f>IF(AND(OR($A39="Ítems agrupados por caso clínico o problema",$A39="Emparejamiento Ampliado"),TRIM($J39)&lt;&gt;""),IF(COUNTIF($Q39:$W39,"?*")&gt;0,", ","")&amp;"dificultad debe ir vacia","")</f>
        <v/>
      </c>
      <c r="Y39">
        <f>IF(AND($A39="Verdadero o Falso Simple",OR(COUNTIF($D39:$E39,"?*")&lt;2,COUNTIF($F39:$H39,"?*")&gt;0)),IF(COUNTIF($Q39:$X39,"?*")&gt;0,", ","")&amp;"incisos A-B","")</f>
        <v/>
      </c>
      <c r="Z39">
        <f>IF(AND($A39="Verdadero o Falso Simple",TRIM($I39)&lt;&gt;"",NOT(OR(LEFT(TRIM($I39),1)="A",LEFT(TRIM($I39),1)="B"))),IF(COUNTIF($Q39:$Y39,"?*")&gt;0,", ","")&amp;"respuesta A-B","")</f>
        <v/>
      </c>
      <c r="AA39">
        <f>IF(AND($A39="Respuesta A/B/Ambas/Ninguna",COUNTIF($D39:$G39,"?*")&lt;4),IF(COUNTIF($Q39:$Z39,"?*")&gt;0,", ","")&amp;"opciones A-D","")</f>
        <v/>
      </c>
      <c r="AB39">
        <f>IF(AND($A39="Respuesta A/B/Ambas/Ninguna",COUNTIF($H39:$H39,"?*")&gt;0),IF(COUNTIF($Q39:$AA39,"?*")&gt;0,", ","")&amp;"opcion E deshabilitada","")</f>
        <v/>
      </c>
      <c r="AC39">
        <f>IF(AND($A39="Respuesta A/B/Ambas/Ninguna",TRIM($I39)&lt;&gt;"",NOT(OR(LEFT(TRIM($I39),1)="A",LEFT(TRIM($I39),1)="B",LEFT(TRIM($I39),1)="C",LEFT(TRIM($I39),1)="D"))),IF(COUNTIF($Q39:$AB39,"?*")&gt;0,", ","")&amp;"respuesta A-D","")</f>
        <v/>
      </c>
      <c r="AD39">
        <f>IF(AND($A39="Verdadero o Falso Complejas",OR(LEN(TRIM(SUBSTITUTE($D39,"1.","")))=0,LEN(TRIM(SUBSTITUTE($E39,"2.","")))=0,LEN(TRIM(SUBSTITUTE($F39,"3.","")))=0,LEN(TRIM(SUBSTITUTE($G39,"4.","")))=0)),IF(COUNTIF($Q39:$AC39,"?*")&gt;0,", ","")&amp;"incisos 1-4","")</f>
        <v/>
      </c>
      <c r="AE39">
        <f>IF(AND($A39="Verdadero o Falso Complejas",COUNTIF($H39:$H39,"?*")&gt;0),IF(COUNTIF($Q39:$AD39,"?*")&gt;0,", ","")&amp;"opcion E deshabilitada","")</f>
        <v/>
      </c>
      <c r="AF39">
        <f>IF(AND($A39="Verdadero o Falso Complejas",TRIM($I39)&lt;&gt;"",NOT(OR(LEFT(TRIM($I39),1)="A",LEFT(TRIM($I39),1)="B",LEFT(TRIM($I39),1)="C",LEFT(TRIM($I39),1)="D",LEFT(TRIM($I39),1)="E"))),IF(COUNTIF($Q39:$AE39,"?*")&gt;0,", ","")&amp;"respuesta A-E","")</f>
        <v/>
      </c>
      <c r="AG39">
        <f>IF(AND(OR($A39="Selección de la mejor respuesta",$A39="Subítem de caso o problema"),COUNTA($D39:$H39)&lt;5),IF(COUNTIF($Q39:$AF39,"?*")&gt;0,", ","")&amp;"incisos A-E","")</f>
        <v/>
      </c>
      <c r="AH39">
        <f>IF(AND(OR($A39="Selección de la mejor respuesta",$A39="Subítem de caso o problema"),TRIM($I39)&lt;&gt;"",NOT(OR(LEFT(TRIM($I39),1)="A",LEFT(TRIM($I39),1)="B",LEFT(TRIM($I39),1)="C",LEFT(TRIM($I39),1)="D",LEFT(TRIM($I39),1)="E"))),IF(COUNTIF($Q39:$AG39,"?*")&gt;0,", ","")&amp;"respuesta A-E","")</f>
        <v/>
      </c>
      <c r="AI39">
        <f>IF(AND(OR($A39="Ítems agrupados por caso clínico o problema",$A39="Opción de Emparejamiento Ampliado"),COUNTIF($D39:$H39,"?*")&gt;0),IF(COUNTIF($Q39:$AH39,"?*")&gt;0,", ","")&amp;"sin incisos","")</f>
        <v/>
      </c>
      <c r="AJ39">
        <f>IF(AND($A39="Emparejamiento Ampliado",COUNTIF($D39:$H39,"?*")&lt;2),IF(COUNTIF($Q39:$AI39,"?*")&gt;0,", ","")&amp;"minimo 2 claves","")</f>
        <v/>
      </c>
      <c r="AK39">
        <f>IF(AND($A39="Opción de Emparejamiento Ampliado",NOT(OR(LEFT(TRIM($I39),1)="A",LEFT(TRIM($I39),1)="B",LEFT(TRIM($I39),1)="C",LEFT(TRIM($I39),1)="D",LEFT(TRIM($I39),1)="E"))),IF(COUNTIF($Q39:$AJ39,"?*")&gt;0,", ","")&amp;"respuesta A-E","")</f>
        <v/>
      </c>
      <c r="AL39">
        <f>IF(TRIM($K39)="",IF(COUNTIF($M39:$M39,"?*")&gt;0,", ","")&amp;"parcial","")</f>
        <v/>
      </c>
      <c r="AM39">
        <f>IF(AND(TRIM($K39)&lt;&gt;"",TRIM($K39)&lt;&gt;VALIDACIONES!$G$1),IF(COUNTIF($M39:$N39,"?*")&gt;0,", ","")&amp;"parcial distinto a "&amp;VALIDACIONES!$G$1,"")</f>
        <v/>
      </c>
      <c r="AN39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</row>
    <row r="40" ht="24" customHeight="1">
      <c r="A40" s="344" t="n"/>
      <c r="B40" s="344" t="n"/>
      <c r="C40" s="344" t="n"/>
      <c r="D40" s="344">
        <f>IF($A40="Verdadero o Falso Simple","Verdadero",IF($A40="Respuesta A/B/Ambas/Ninguna","A. Si la primera es verdadera",IF($A40="Verdadero o Falso Complejas","1. ","")))</f>
        <v/>
      </c>
      <c r="E40" s="344">
        <f>IF($A40="Verdadero o Falso Simple","Falso",IF($A40="Respuesta A/B/Ambas/Ninguna","B. Si la segunda es verdadera",IF($A40="Verdadero o Falso Complejas","2. ","")))</f>
        <v/>
      </c>
      <c r="F40" s="344">
        <f>IF($A40="Respuesta A/B/Ambas/Ninguna","C. Si ambas son verdaderas",IF($A40="Verdadero o Falso Complejas","3. ",""))</f>
        <v/>
      </c>
      <c r="G40" s="344">
        <f>IF($A40="Respuesta A/B/Ambas/Ninguna","D. Si ninguna es verdadera",IF($A40="Verdadero o Falso Complejas","4. ",""))</f>
        <v/>
      </c>
      <c r="H40" s="344">
        <f>IF($A40="Verdadero o Falso Simple","",IF($A40="Respuesta A/B/Ambas/Ninguna","",IF($A40="Verdadero o Falso Complejas","","")))</f>
        <v/>
      </c>
      <c r="I40" s="344" t="n"/>
      <c r="J40" s="344" t="n">
        <v>2</v>
      </c>
      <c r="K40" s="344" t="inlineStr">
        <is>
          <t>2P</t>
        </is>
      </c>
      <c r="L40" s="345">
        <f>IF(TRIM($A40)="","",IF(OR($A40="Selección de la mejor respuesta",$A40="SELECCION_MEJOR_RESPUESTA",$A40="Subítem de caso o problema",$A40="SUBITEM_CASO"),IF(TRIM($C40)="","Completar enunciado",IF(SUMPRODUCT(--(LEN(TRIM($D40:$H40&amp;""))&gt;0))&lt;5,"Completar opciones A-E",IF(AND(TRIM($I40)&lt;&gt;"",OR(LEFT(TRIM($I40),1)="A",LEFT(TRIM($I40),1)="B",LEFT(TRIM($I40),1)="C",LEFT(TRIM($I40),1)="D",LEFT(TRIM($I40),1)="E")),"OK","Completar respuesta correcta A-E"))),IF(TRIM($A40)="","",IF(COUNTIF($Q40:$AJ40,"?*")=0,"OK","Falta revisar: "&amp;$Q40&amp;$R40&amp;$S40&amp;$T40&amp;$U40&amp;$V40&amp;$W40&amp;$X40&amp;$Y40&amp;$Z40&amp;$AA40&amp;$AB40&amp;$AC40&amp;$AD40&amp;$AE40&amp;$AF40&amp;$AG40&amp;$AH40&amp;$AI40&amp;$AJ40))))</f>
        <v/>
      </c>
      <c r="M40" s="341" t="n"/>
      <c r="Q40">
        <f>IF(TRIM($C40)="","enunciado","")</f>
        <v/>
      </c>
      <c r="R40">
        <f>IF(TRIM($K40)="",IF(COUNTIF($Q40:$Q40,"?*")&gt;0,", ","")&amp;"parcial","")</f>
        <v/>
      </c>
      <c r="S40">
        <f>IF(AND(TRIM($K40)&lt;&gt;"",TRIM($K40)&lt;&gt;VALIDACIONES!$G$1),IF(COUNTIF($Q40:$R40,"?*")&gt;0,", ","")&amp;"parcial distinto a "&amp;VALIDACIONES!$G$1,"")</f>
        <v/>
      </c>
      <c r="T40">
        <f>IF(AND(OR($A40="Ítems agrupados por caso clínico o problema",$A40="Subítem de caso o problema",$A40="Emparejamiento Ampliado",$A40="Opción de Emparejamiento Ampliado"),TRIM($B40)=""),IF(COUNTIF($Q40:$S40,"?*")&gt;0,", ","")&amp;"grupo","")</f>
        <v/>
      </c>
      <c r="U40">
        <f>IF(AND(OR($A40="Verdadero o Falso Simple",$A40="Respuesta A/B/Ambas/Ninguna",$A40="Verdadero o Falso Complejas",$A40="Selección de la mejor respuesta",$A40="Subítem de caso o problema",$A40="Opción de Emparejamiento Ampliado"),TRIM($I40)=""),IF(COUNTIF($Q40:$T40,"?*")&gt;0,", ","")&amp;"respuesta_correcta","")</f>
        <v/>
      </c>
      <c r="V40">
        <f>IF(AND(OR($A40="Verdadero o Falso Simple",$A40="Respuesta A/B/Ambas/Ninguna",$A40="Verdadero o Falso Complejas",$A40="Selección de la mejor respuesta",$A40="Subítem de caso o problema",$A40="Opción de Emparejamiento Ampliado"),TRIM($J40)=""),IF(COUNTIF($Q40:$U40,"?*")&gt;0,", ","")&amp;"dificultad","")</f>
        <v/>
      </c>
      <c r="W40">
        <f>IF(AND(OR($A40="Ítems agrupados por caso clínico o problema",$A40="Emparejamiento Ampliado"),TRIM($I40)&lt;&gt;""),IF(COUNTIF($Q40:$V40,"?*")&gt;0,", ","")&amp;"respuesta debe ir vacia","")</f>
        <v/>
      </c>
      <c r="X40">
        <f>IF(AND(OR($A40="Ítems agrupados por caso clínico o problema",$A40="Emparejamiento Ampliado"),TRIM($J40)&lt;&gt;""),IF(COUNTIF($Q40:$W40,"?*")&gt;0,", ","")&amp;"dificultad debe ir vacia","")</f>
        <v/>
      </c>
      <c r="Y40">
        <f>IF(AND($A40="Verdadero o Falso Simple",OR(COUNTIF($D40:$E40,"?*")&lt;2,COUNTIF($F40:$H40,"?*")&gt;0)),IF(COUNTIF($Q40:$X40,"?*")&gt;0,", ","")&amp;"incisos A-B","")</f>
        <v/>
      </c>
      <c r="Z40">
        <f>IF(AND($A40="Verdadero o Falso Simple",TRIM($I40)&lt;&gt;"",NOT(OR(LEFT(TRIM($I40),1)="A",LEFT(TRIM($I40),1)="B"))),IF(COUNTIF($Q40:$Y40,"?*")&gt;0,", ","")&amp;"respuesta A-B","")</f>
        <v/>
      </c>
      <c r="AA40">
        <f>IF(AND($A40="Respuesta A/B/Ambas/Ninguna",COUNTIF($D40:$G40,"?*")&lt;4),IF(COUNTIF($Q40:$Z40,"?*")&gt;0,", ","")&amp;"opciones A-D","")</f>
        <v/>
      </c>
      <c r="AB40">
        <f>IF(AND($A40="Respuesta A/B/Ambas/Ninguna",COUNTIF($H40:$H40,"?*")&gt;0),IF(COUNTIF($Q40:$AA40,"?*")&gt;0,", ","")&amp;"opcion E deshabilitada","")</f>
        <v/>
      </c>
      <c r="AC40">
        <f>IF(AND($A40="Respuesta A/B/Ambas/Ninguna",TRIM($I40)&lt;&gt;"",NOT(OR(LEFT(TRIM($I40),1)="A",LEFT(TRIM($I40),1)="B",LEFT(TRIM($I40),1)="C",LEFT(TRIM($I40),1)="D"))),IF(COUNTIF($Q40:$AB40,"?*")&gt;0,", ","")&amp;"respuesta A-D","")</f>
        <v/>
      </c>
      <c r="AD40">
        <f>IF(AND($A40="Verdadero o Falso Complejas",OR(LEN(TRIM(SUBSTITUTE($D40,"1.","")))=0,LEN(TRIM(SUBSTITUTE($E40,"2.","")))=0,LEN(TRIM(SUBSTITUTE($F40,"3.","")))=0,LEN(TRIM(SUBSTITUTE($G40,"4.","")))=0)),IF(COUNTIF($Q40:$AC40,"?*")&gt;0,", ","")&amp;"incisos 1-4","")</f>
        <v/>
      </c>
      <c r="AE40">
        <f>IF(AND($A40="Verdadero o Falso Complejas",COUNTIF($H40:$H40,"?*")&gt;0),IF(COUNTIF($Q40:$AD40,"?*")&gt;0,", ","")&amp;"opcion E deshabilitada","")</f>
        <v/>
      </c>
      <c r="AF40">
        <f>IF(AND($A40="Verdadero o Falso Complejas",TRIM($I40)&lt;&gt;"",NOT(OR(LEFT(TRIM($I40),1)="A",LEFT(TRIM($I40),1)="B",LEFT(TRIM($I40),1)="C",LEFT(TRIM($I40),1)="D",LEFT(TRIM($I40),1)="E"))),IF(COUNTIF($Q40:$AE40,"?*")&gt;0,", ","")&amp;"respuesta A-E","")</f>
        <v/>
      </c>
      <c r="AG40">
        <f>IF(AND(OR($A40="Selección de la mejor respuesta",$A40="Subítem de caso o problema"),COUNTA($D40:$H40)&lt;5),IF(COUNTIF($Q40:$AF40,"?*")&gt;0,", ","")&amp;"incisos A-E","")</f>
        <v/>
      </c>
      <c r="AH40">
        <f>IF(AND(OR($A40="Selección de la mejor respuesta",$A40="Subítem de caso o problema"),TRIM($I40)&lt;&gt;"",NOT(OR(LEFT(TRIM($I40),1)="A",LEFT(TRIM($I40),1)="B",LEFT(TRIM($I40),1)="C",LEFT(TRIM($I40),1)="D",LEFT(TRIM($I40),1)="E"))),IF(COUNTIF($Q40:$AG40,"?*")&gt;0,", ","")&amp;"respuesta A-E","")</f>
        <v/>
      </c>
      <c r="AI40">
        <f>IF(AND(OR($A40="Ítems agrupados por caso clínico o problema",$A40="Opción de Emparejamiento Ampliado"),COUNTIF($D40:$H40,"?*")&gt;0),IF(COUNTIF($Q40:$AH40,"?*")&gt;0,", ","")&amp;"sin incisos","")</f>
        <v/>
      </c>
      <c r="AJ40">
        <f>IF(AND($A40="Emparejamiento Ampliado",COUNTIF($D40:$H40,"?*")&lt;2),IF(COUNTIF($Q40:$AI40,"?*")&gt;0,", ","")&amp;"minimo 2 claves","")</f>
        <v/>
      </c>
      <c r="AK40">
        <f>IF(AND($A40="Opción de Emparejamiento Ampliado",NOT(OR(LEFT(TRIM($I40),1)="A",LEFT(TRIM($I40),1)="B",LEFT(TRIM($I40),1)="C",LEFT(TRIM($I40),1)="D",LEFT(TRIM($I40),1)="E"))),IF(COUNTIF($Q40:$AJ40,"?*")&gt;0,", ","")&amp;"respuesta A-E","")</f>
        <v/>
      </c>
      <c r="AL40">
        <f>IF(TRIM($K40)="",IF(COUNTIF($M40:$M40,"?*")&gt;0,", ","")&amp;"parcial","")</f>
        <v/>
      </c>
      <c r="AM40">
        <f>IF(AND(TRIM($K40)&lt;&gt;"",TRIM($K40)&lt;&gt;VALIDACIONES!$G$1),IF(COUNTIF($M40:$N40,"?*")&gt;0,", ","")&amp;"parcial distinto a "&amp;VALIDACIONES!$G$1,"")</f>
        <v/>
      </c>
      <c r="AN40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</row>
    <row r="41" ht="24" customHeight="1">
      <c r="A41" s="344" t="n"/>
      <c r="B41" s="344" t="n"/>
      <c r="C41" s="344" t="n"/>
      <c r="D41" s="344">
        <f>IF($A41="Verdadero o Falso Simple","Verdadero",IF($A41="Respuesta A/B/Ambas/Ninguna","A. Si la primera es verdadera",IF($A41="Verdadero o Falso Complejas","1. ","")))</f>
        <v/>
      </c>
      <c r="E41" s="344">
        <f>IF($A41="Verdadero o Falso Simple","Falso",IF($A41="Respuesta A/B/Ambas/Ninguna","B. Si la segunda es verdadera",IF($A41="Verdadero o Falso Complejas","2. ","")))</f>
        <v/>
      </c>
      <c r="F41" s="344">
        <f>IF($A41="Respuesta A/B/Ambas/Ninguna","C. Si ambas son verdaderas",IF($A41="Verdadero o Falso Complejas","3. ",""))</f>
        <v/>
      </c>
      <c r="G41" s="344">
        <f>IF($A41="Respuesta A/B/Ambas/Ninguna","D. Si ninguna es verdadera",IF($A41="Verdadero o Falso Complejas","4. ",""))</f>
        <v/>
      </c>
      <c r="H41" s="344">
        <f>IF($A41="Verdadero o Falso Simple","",IF($A41="Respuesta A/B/Ambas/Ninguna","",IF($A41="Verdadero o Falso Complejas","","")))</f>
        <v/>
      </c>
      <c r="I41" s="344" t="n"/>
      <c r="J41" s="344" t="n">
        <v>2</v>
      </c>
      <c r="K41" s="344" t="inlineStr">
        <is>
          <t>2P</t>
        </is>
      </c>
      <c r="L41" s="345">
        <f>IF(TRIM($A41)="","",IF(OR($A41="Selección de la mejor respuesta",$A41="SELECCION_MEJOR_RESPUESTA",$A41="Subítem de caso o problema",$A41="SUBITEM_CASO"),IF(TRIM($C41)="","Completar enunciado",IF(SUMPRODUCT(--(LEN(TRIM($D41:$H41&amp;""))&gt;0))&lt;5,"Completar opciones A-E",IF(AND(TRIM($I41)&lt;&gt;"",OR(LEFT(TRIM($I41),1)="A",LEFT(TRIM($I41),1)="B",LEFT(TRIM($I41),1)="C",LEFT(TRIM($I41),1)="D",LEFT(TRIM($I41),1)="E")),"OK","Completar respuesta correcta A-E"))),IF(TRIM($A41)="","",IF(COUNTIF($Q41:$AJ41,"?*")=0,"OK","Falta revisar: "&amp;$Q41&amp;$R41&amp;$S41&amp;$T41&amp;$U41&amp;$V41&amp;$W41&amp;$X41&amp;$Y41&amp;$Z41&amp;$AA41&amp;$AB41&amp;$AC41&amp;$AD41&amp;$AE41&amp;$AF41&amp;$AG41&amp;$AH41&amp;$AI41&amp;$AJ41))))</f>
        <v/>
      </c>
      <c r="M41" s="341" t="n"/>
      <c r="Q41">
        <f>IF(TRIM($C41)="","enunciado","")</f>
        <v/>
      </c>
      <c r="R41">
        <f>IF(TRIM($K41)="",IF(COUNTIF($Q41:$Q41,"?*")&gt;0,", ","")&amp;"parcial","")</f>
        <v/>
      </c>
      <c r="S41">
        <f>IF(AND(TRIM($K41)&lt;&gt;"",TRIM($K41)&lt;&gt;VALIDACIONES!$G$1),IF(COUNTIF($Q41:$R41,"?*")&gt;0,", ","")&amp;"parcial distinto a "&amp;VALIDACIONES!$G$1,"")</f>
        <v/>
      </c>
      <c r="T41">
        <f>IF(AND(OR($A41="Ítems agrupados por caso clínico o problema",$A41="Subítem de caso o problema",$A41="Emparejamiento Ampliado",$A41="Opción de Emparejamiento Ampliado"),TRIM($B41)=""),IF(COUNTIF($Q41:$S41,"?*")&gt;0,", ","")&amp;"grupo","")</f>
        <v/>
      </c>
      <c r="U41">
        <f>IF(AND(OR($A41="Verdadero o Falso Simple",$A41="Respuesta A/B/Ambas/Ninguna",$A41="Verdadero o Falso Complejas",$A41="Selección de la mejor respuesta",$A41="Subítem de caso o problema",$A41="Opción de Emparejamiento Ampliado"),TRIM($I41)=""),IF(COUNTIF($Q41:$T41,"?*")&gt;0,", ","")&amp;"respuesta_correcta","")</f>
        <v/>
      </c>
      <c r="V41">
        <f>IF(AND(OR($A41="Verdadero o Falso Simple",$A41="Respuesta A/B/Ambas/Ninguna",$A41="Verdadero o Falso Complejas",$A41="Selección de la mejor respuesta",$A41="Subítem de caso o problema",$A41="Opción de Emparejamiento Ampliado"),TRIM($J41)=""),IF(COUNTIF($Q41:$U41,"?*")&gt;0,", ","")&amp;"dificultad","")</f>
        <v/>
      </c>
      <c r="W41">
        <f>IF(AND(OR($A41="Ítems agrupados por caso clínico o problema",$A41="Emparejamiento Ampliado"),TRIM($I41)&lt;&gt;""),IF(COUNTIF($Q41:$V41,"?*")&gt;0,", ","")&amp;"respuesta debe ir vacia","")</f>
        <v/>
      </c>
      <c r="X41">
        <f>IF(AND(OR($A41="Ítems agrupados por caso clínico o problema",$A41="Emparejamiento Ampliado"),TRIM($J41)&lt;&gt;""),IF(COUNTIF($Q41:$W41,"?*")&gt;0,", ","")&amp;"dificultad debe ir vacia","")</f>
        <v/>
      </c>
      <c r="Y41">
        <f>IF(AND($A41="Verdadero o Falso Simple",OR(COUNTIF($D41:$E41,"?*")&lt;2,COUNTIF($F41:$H41,"?*")&gt;0)),IF(COUNTIF($Q41:$X41,"?*")&gt;0,", ","")&amp;"incisos A-B","")</f>
        <v/>
      </c>
      <c r="Z41">
        <f>IF(AND($A41="Verdadero o Falso Simple",TRIM($I41)&lt;&gt;"",NOT(OR(LEFT(TRIM($I41),1)="A",LEFT(TRIM($I41),1)="B"))),IF(COUNTIF($Q41:$Y41,"?*")&gt;0,", ","")&amp;"respuesta A-B","")</f>
        <v/>
      </c>
      <c r="AA41">
        <f>IF(AND($A41="Respuesta A/B/Ambas/Ninguna",COUNTIF($D41:$G41,"?*")&lt;4),IF(COUNTIF($Q41:$Z41,"?*")&gt;0,", ","")&amp;"opciones A-D","")</f>
        <v/>
      </c>
      <c r="AB41">
        <f>IF(AND($A41="Respuesta A/B/Ambas/Ninguna",COUNTIF($H41:$H41,"?*")&gt;0),IF(COUNTIF($Q41:$AA41,"?*")&gt;0,", ","")&amp;"opcion E deshabilitada","")</f>
        <v/>
      </c>
      <c r="AC41">
        <f>IF(AND($A41="Respuesta A/B/Ambas/Ninguna",TRIM($I41)&lt;&gt;"",NOT(OR(LEFT(TRIM($I41),1)="A",LEFT(TRIM($I41),1)="B",LEFT(TRIM($I41),1)="C",LEFT(TRIM($I41),1)="D"))),IF(COUNTIF($Q41:$AB41,"?*")&gt;0,", ","")&amp;"respuesta A-D","")</f>
        <v/>
      </c>
      <c r="AD41">
        <f>IF(AND($A41="Verdadero o Falso Complejas",OR(LEN(TRIM(SUBSTITUTE($D41,"1.","")))=0,LEN(TRIM(SUBSTITUTE($E41,"2.","")))=0,LEN(TRIM(SUBSTITUTE($F41,"3.","")))=0,LEN(TRIM(SUBSTITUTE($G41,"4.","")))=0)),IF(COUNTIF($Q41:$AC41,"?*")&gt;0,", ","")&amp;"incisos 1-4","")</f>
        <v/>
      </c>
      <c r="AE41">
        <f>IF(AND($A41="Verdadero o Falso Complejas",COUNTIF($H41:$H41,"?*")&gt;0),IF(COUNTIF($Q41:$AD41,"?*")&gt;0,", ","")&amp;"opcion E deshabilitada","")</f>
        <v/>
      </c>
      <c r="AF41">
        <f>IF(AND($A41="Verdadero o Falso Complejas",TRIM($I41)&lt;&gt;"",NOT(OR(LEFT(TRIM($I41),1)="A",LEFT(TRIM($I41),1)="B",LEFT(TRIM($I41),1)="C",LEFT(TRIM($I41),1)="D",LEFT(TRIM($I41),1)="E"))),IF(COUNTIF($Q41:$AE41,"?*")&gt;0,", ","")&amp;"respuesta A-E","")</f>
        <v/>
      </c>
      <c r="AG41">
        <f>IF(AND(OR($A41="Selección de la mejor respuesta",$A41="Subítem de caso o problema"),COUNTA($D41:$H41)&lt;5),IF(COUNTIF($Q41:$AF41,"?*")&gt;0,", ","")&amp;"incisos A-E","")</f>
        <v/>
      </c>
      <c r="AH41">
        <f>IF(AND(OR($A41="Selección de la mejor respuesta",$A41="Subítem de caso o problema"),TRIM($I41)&lt;&gt;"",NOT(OR(LEFT(TRIM($I41),1)="A",LEFT(TRIM($I41),1)="B",LEFT(TRIM($I41),1)="C",LEFT(TRIM($I41),1)="D",LEFT(TRIM($I41),1)="E"))),IF(COUNTIF($Q41:$AG41,"?*")&gt;0,", ","")&amp;"respuesta A-E","")</f>
        <v/>
      </c>
      <c r="AI41">
        <f>IF(AND(OR($A41="Ítems agrupados por caso clínico o problema",$A41="Opción de Emparejamiento Ampliado"),COUNTIF($D41:$H41,"?*")&gt;0),IF(COUNTIF($Q41:$AH41,"?*")&gt;0,", ","")&amp;"sin incisos","")</f>
        <v/>
      </c>
      <c r="AJ41">
        <f>IF(AND($A41="Emparejamiento Ampliado",COUNTIF($D41:$H41,"?*")&lt;2),IF(COUNTIF($Q41:$AI41,"?*")&gt;0,", ","")&amp;"minimo 2 claves","")</f>
        <v/>
      </c>
      <c r="AK41">
        <f>IF(AND($A41="Opción de Emparejamiento Ampliado",NOT(OR(LEFT(TRIM($I41),1)="A",LEFT(TRIM($I41),1)="B",LEFT(TRIM($I41),1)="C",LEFT(TRIM($I41),1)="D",LEFT(TRIM($I41),1)="E"))),IF(COUNTIF($Q41:$AJ41,"?*")&gt;0,", ","")&amp;"respuesta A-E","")</f>
        <v/>
      </c>
      <c r="AL41">
        <f>IF(TRIM($K41)="",IF(COUNTIF($M41:$M41,"?*")&gt;0,", ","")&amp;"parcial","")</f>
        <v/>
      </c>
      <c r="AM41">
        <f>IF(AND(TRIM($K41)&lt;&gt;"",TRIM($K41)&lt;&gt;VALIDACIONES!$G$1),IF(COUNTIF($M41:$N41,"?*")&gt;0,", ","")&amp;"parcial distinto a "&amp;VALIDACIONES!$G$1,"")</f>
        <v/>
      </c>
      <c r="AN41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</row>
    <row r="42" ht="24" customHeight="1">
      <c r="A42" s="344" t="n"/>
      <c r="B42" s="344" t="n"/>
      <c r="C42" s="344" t="n"/>
      <c r="D42" s="344">
        <f>IF($A42="Verdadero o Falso Simple","Verdadero",IF($A42="Respuesta A/B/Ambas/Ninguna","A. Si la primera es verdadera",IF($A42="Verdadero o Falso Complejas","1. ","")))</f>
        <v/>
      </c>
      <c r="E42" s="344">
        <f>IF($A42="Verdadero o Falso Simple","Falso",IF($A42="Respuesta A/B/Ambas/Ninguna","B. Si la segunda es verdadera",IF($A42="Verdadero o Falso Complejas","2. ","")))</f>
        <v/>
      </c>
      <c r="F42" s="344">
        <f>IF($A42="Respuesta A/B/Ambas/Ninguna","C. Si ambas son verdaderas",IF($A42="Verdadero o Falso Complejas","3. ",""))</f>
        <v/>
      </c>
      <c r="G42" s="344">
        <f>IF($A42="Respuesta A/B/Ambas/Ninguna","D. Si ninguna es verdadera",IF($A42="Verdadero o Falso Complejas","4. ",""))</f>
        <v/>
      </c>
      <c r="H42" s="344">
        <f>IF($A42="Verdadero o Falso Simple","",IF($A42="Respuesta A/B/Ambas/Ninguna","",IF($A42="Verdadero o Falso Complejas","","")))</f>
        <v/>
      </c>
      <c r="I42" s="344" t="n"/>
      <c r="J42" s="344" t="n">
        <v>2</v>
      </c>
      <c r="K42" s="344" t="inlineStr">
        <is>
          <t>2P</t>
        </is>
      </c>
      <c r="L42" s="345">
        <f>IF(TRIM($A42)="","",IF(OR($A42="Selección de la mejor respuesta",$A42="SELECCION_MEJOR_RESPUESTA",$A42="Subítem de caso o problema",$A42="SUBITEM_CASO"),IF(TRIM($C42)="","Completar enunciado",IF(SUMPRODUCT(--(LEN(TRIM($D42:$H42&amp;""))&gt;0))&lt;5,"Completar opciones A-E",IF(AND(TRIM($I42)&lt;&gt;"",OR(LEFT(TRIM($I42),1)="A",LEFT(TRIM($I42),1)="B",LEFT(TRIM($I42),1)="C",LEFT(TRIM($I42),1)="D",LEFT(TRIM($I42),1)="E")),"OK","Completar respuesta correcta A-E"))),IF(TRIM($A42)="","",IF(COUNTIF($Q42:$AJ42,"?*")=0,"OK","Falta revisar: "&amp;$Q42&amp;$R42&amp;$S42&amp;$T42&amp;$U42&amp;$V42&amp;$W42&amp;$X42&amp;$Y42&amp;$Z42&amp;$AA42&amp;$AB42&amp;$AC42&amp;$AD42&amp;$AE42&amp;$AF42&amp;$AG42&amp;$AH42&amp;$AI42&amp;$AJ42))))</f>
        <v/>
      </c>
      <c r="M42" s="341" t="n"/>
      <c r="Q42">
        <f>IF(TRIM($C42)="","enunciado","")</f>
        <v/>
      </c>
      <c r="R42">
        <f>IF(TRIM($K42)="",IF(COUNTIF($Q42:$Q42,"?*")&gt;0,", ","")&amp;"parcial","")</f>
        <v/>
      </c>
      <c r="S42">
        <f>IF(AND(TRIM($K42)&lt;&gt;"",TRIM($K42)&lt;&gt;VALIDACIONES!$G$1),IF(COUNTIF($Q42:$R42,"?*")&gt;0,", ","")&amp;"parcial distinto a "&amp;VALIDACIONES!$G$1,"")</f>
        <v/>
      </c>
      <c r="T42">
        <f>IF(AND(OR($A42="Ítems agrupados por caso clínico o problema",$A42="Subítem de caso o problema",$A42="Emparejamiento Ampliado",$A42="Opción de Emparejamiento Ampliado"),TRIM($B42)=""),IF(COUNTIF($Q42:$S42,"?*")&gt;0,", ","")&amp;"grupo","")</f>
        <v/>
      </c>
      <c r="U42">
        <f>IF(AND(OR($A42="Verdadero o Falso Simple",$A42="Respuesta A/B/Ambas/Ninguna",$A42="Verdadero o Falso Complejas",$A42="Selección de la mejor respuesta",$A42="Subítem de caso o problema",$A42="Opción de Emparejamiento Ampliado"),TRIM($I42)=""),IF(COUNTIF($Q42:$T42,"?*")&gt;0,", ","")&amp;"respuesta_correcta","")</f>
        <v/>
      </c>
      <c r="V42">
        <f>IF(AND(OR($A42="Verdadero o Falso Simple",$A42="Respuesta A/B/Ambas/Ninguna",$A42="Verdadero o Falso Complejas",$A42="Selección de la mejor respuesta",$A42="Subítem de caso o problema",$A42="Opción de Emparejamiento Ampliado"),TRIM($J42)=""),IF(COUNTIF($Q42:$U42,"?*")&gt;0,", ","")&amp;"dificultad","")</f>
        <v/>
      </c>
      <c r="W42">
        <f>IF(AND(OR($A42="Ítems agrupados por caso clínico o problema",$A42="Emparejamiento Ampliado"),TRIM($I42)&lt;&gt;""),IF(COUNTIF($Q42:$V42,"?*")&gt;0,", ","")&amp;"respuesta debe ir vacia","")</f>
        <v/>
      </c>
      <c r="X42">
        <f>IF(AND(OR($A42="Ítems agrupados por caso clínico o problema",$A42="Emparejamiento Ampliado"),TRIM($J42)&lt;&gt;""),IF(COUNTIF($Q42:$W42,"?*")&gt;0,", ","")&amp;"dificultad debe ir vacia","")</f>
        <v/>
      </c>
      <c r="Y42">
        <f>IF(AND($A42="Verdadero o Falso Simple",OR(COUNTIF($D42:$E42,"?*")&lt;2,COUNTIF($F42:$H42,"?*")&gt;0)),IF(COUNTIF($Q42:$X42,"?*")&gt;0,", ","")&amp;"incisos A-B","")</f>
        <v/>
      </c>
      <c r="Z42">
        <f>IF(AND($A42="Verdadero o Falso Simple",TRIM($I42)&lt;&gt;"",NOT(OR(LEFT(TRIM($I42),1)="A",LEFT(TRIM($I42),1)="B"))),IF(COUNTIF($Q42:$Y42,"?*")&gt;0,", ","")&amp;"respuesta A-B","")</f>
        <v/>
      </c>
      <c r="AA42">
        <f>IF(AND($A42="Respuesta A/B/Ambas/Ninguna",COUNTIF($D42:$G42,"?*")&lt;4),IF(COUNTIF($Q42:$Z42,"?*")&gt;0,", ","")&amp;"opciones A-D","")</f>
        <v/>
      </c>
      <c r="AB42">
        <f>IF(AND($A42="Respuesta A/B/Ambas/Ninguna",COUNTIF($H42:$H42,"?*")&gt;0),IF(COUNTIF($Q42:$AA42,"?*")&gt;0,", ","")&amp;"opcion E deshabilitada","")</f>
        <v/>
      </c>
      <c r="AC42">
        <f>IF(AND($A42="Respuesta A/B/Ambas/Ninguna",TRIM($I42)&lt;&gt;"",NOT(OR(LEFT(TRIM($I42),1)="A",LEFT(TRIM($I42),1)="B",LEFT(TRIM($I42),1)="C",LEFT(TRIM($I42),1)="D"))),IF(COUNTIF($Q42:$AB42,"?*")&gt;0,", ","")&amp;"respuesta A-D","")</f>
        <v/>
      </c>
      <c r="AD42">
        <f>IF(AND($A42="Verdadero o Falso Complejas",OR(LEN(TRIM(SUBSTITUTE($D42,"1.","")))=0,LEN(TRIM(SUBSTITUTE($E42,"2.","")))=0,LEN(TRIM(SUBSTITUTE($F42,"3.","")))=0,LEN(TRIM(SUBSTITUTE($G42,"4.","")))=0)),IF(COUNTIF($Q42:$AC42,"?*")&gt;0,", ","")&amp;"incisos 1-4","")</f>
        <v/>
      </c>
      <c r="AE42">
        <f>IF(AND($A42="Verdadero o Falso Complejas",COUNTIF($H42:$H42,"?*")&gt;0),IF(COUNTIF($Q42:$AD42,"?*")&gt;0,", ","")&amp;"opcion E deshabilitada","")</f>
        <v/>
      </c>
      <c r="AF42">
        <f>IF(AND($A42="Verdadero o Falso Complejas",TRIM($I42)&lt;&gt;"",NOT(OR(LEFT(TRIM($I42),1)="A",LEFT(TRIM($I42),1)="B",LEFT(TRIM($I42),1)="C",LEFT(TRIM($I42),1)="D",LEFT(TRIM($I42),1)="E"))),IF(COUNTIF($Q42:$AE42,"?*")&gt;0,", ","")&amp;"respuesta A-E","")</f>
        <v/>
      </c>
      <c r="AG42">
        <f>IF(AND(OR($A42="Selección de la mejor respuesta",$A42="Subítem de caso o problema"),COUNTA($D42:$H42)&lt;5),IF(COUNTIF($Q42:$AF42,"?*")&gt;0,", ","")&amp;"incisos A-E","")</f>
        <v/>
      </c>
      <c r="AH42">
        <f>IF(AND(OR($A42="Selección de la mejor respuesta",$A42="Subítem de caso o problema"),TRIM($I42)&lt;&gt;"",NOT(OR(LEFT(TRIM($I42),1)="A",LEFT(TRIM($I42),1)="B",LEFT(TRIM($I42),1)="C",LEFT(TRIM($I42),1)="D",LEFT(TRIM($I42),1)="E"))),IF(COUNTIF($Q42:$AG42,"?*")&gt;0,", ","")&amp;"respuesta A-E","")</f>
        <v/>
      </c>
      <c r="AI42">
        <f>IF(AND(OR($A42="Ítems agrupados por caso clínico o problema",$A42="Opción de Emparejamiento Ampliado"),COUNTIF($D42:$H42,"?*")&gt;0),IF(COUNTIF($Q42:$AH42,"?*")&gt;0,", ","")&amp;"sin incisos","")</f>
        <v/>
      </c>
      <c r="AJ42">
        <f>IF(AND($A42="Emparejamiento Ampliado",COUNTIF($D42:$H42,"?*")&lt;2),IF(COUNTIF($Q42:$AI42,"?*")&gt;0,", ","")&amp;"minimo 2 claves","")</f>
        <v/>
      </c>
      <c r="AK42">
        <f>IF(AND($A42="Opción de Emparejamiento Ampliado",NOT(OR(LEFT(TRIM($I42),1)="A",LEFT(TRIM($I42),1)="B",LEFT(TRIM($I42),1)="C",LEFT(TRIM($I42),1)="D",LEFT(TRIM($I42),1)="E"))),IF(COUNTIF($Q42:$AJ42,"?*")&gt;0,", ","")&amp;"respuesta A-E","")</f>
        <v/>
      </c>
      <c r="AL42">
        <f>IF(TRIM($K42)="",IF(COUNTIF($M42:$M42,"?*")&gt;0,", ","")&amp;"parcial","")</f>
        <v/>
      </c>
      <c r="AM42">
        <f>IF(AND(TRIM($K42)&lt;&gt;"",TRIM($K42)&lt;&gt;VALIDACIONES!$G$1),IF(COUNTIF($M42:$N42,"?*")&gt;0,", ","")&amp;"parcial distinto a "&amp;VALIDACIONES!$G$1,"")</f>
        <v/>
      </c>
      <c r="AN42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</row>
    <row r="43" ht="24" customHeight="1">
      <c r="A43" s="344" t="n"/>
      <c r="B43" s="344" t="n"/>
      <c r="C43" s="344" t="n"/>
      <c r="D43" s="344">
        <f>IF($A43="Verdadero o Falso Simple","Verdadero",IF($A43="Respuesta A/B/Ambas/Ninguna","A. Si la primera es verdadera",IF($A43="Verdadero o Falso Complejas","1. ","")))</f>
        <v/>
      </c>
      <c r="E43" s="344">
        <f>IF($A43="Verdadero o Falso Simple","Falso",IF($A43="Respuesta A/B/Ambas/Ninguna","B. Si la segunda es verdadera",IF($A43="Verdadero o Falso Complejas","2. ","")))</f>
        <v/>
      </c>
      <c r="F43" s="344">
        <f>IF($A43="Respuesta A/B/Ambas/Ninguna","C. Si ambas son verdaderas",IF($A43="Verdadero o Falso Complejas","3. ",""))</f>
        <v/>
      </c>
      <c r="G43" s="344">
        <f>IF($A43="Respuesta A/B/Ambas/Ninguna","D. Si ninguna es verdadera",IF($A43="Verdadero o Falso Complejas","4. ",""))</f>
        <v/>
      </c>
      <c r="H43" s="344">
        <f>IF($A43="Verdadero o Falso Simple","",IF($A43="Respuesta A/B/Ambas/Ninguna","",IF($A43="Verdadero o Falso Complejas","","")))</f>
        <v/>
      </c>
      <c r="I43" s="344" t="n"/>
      <c r="J43" s="344" t="n">
        <v>2</v>
      </c>
      <c r="K43" s="344" t="inlineStr">
        <is>
          <t>2P</t>
        </is>
      </c>
      <c r="L43" s="345">
        <f>IF(TRIM($A43)="","",IF(OR($A43="Selección de la mejor respuesta",$A43="SELECCION_MEJOR_RESPUESTA",$A43="Subítem de caso o problema",$A43="SUBITEM_CASO"),IF(TRIM($C43)="","Completar enunciado",IF(SUMPRODUCT(--(LEN(TRIM($D43:$H43&amp;""))&gt;0))&lt;5,"Completar opciones A-E",IF(AND(TRIM($I43)&lt;&gt;"",OR(LEFT(TRIM($I43),1)="A",LEFT(TRIM($I43),1)="B",LEFT(TRIM($I43),1)="C",LEFT(TRIM($I43),1)="D",LEFT(TRIM($I43),1)="E")),"OK","Completar respuesta correcta A-E"))),IF(TRIM($A43)="","",IF(COUNTIF($Q43:$AJ43,"?*")=0,"OK","Falta revisar: "&amp;$Q43&amp;$R43&amp;$S43&amp;$T43&amp;$U43&amp;$V43&amp;$W43&amp;$X43&amp;$Y43&amp;$Z43&amp;$AA43&amp;$AB43&amp;$AC43&amp;$AD43&amp;$AE43&amp;$AF43&amp;$AG43&amp;$AH43&amp;$AI43&amp;$AJ43))))</f>
        <v/>
      </c>
      <c r="M43" s="341" t="n"/>
      <c r="Q43">
        <f>IF(TRIM($C43)="","enunciado","")</f>
        <v/>
      </c>
      <c r="R43">
        <f>IF(TRIM($K43)="",IF(COUNTIF($Q43:$Q43,"?*")&gt;0,", ","")&amp;"parcial","")</f>
        <v/>
      </c>
      <c r="S43">
        <f>IF(AND(TRIM($K43)&lt;&gt;"",TRIM($K43)&lt;&gt;VALIDACIONES!$G$1),IF(COUNTIF($Q43:$R43,"?*")&gt;0,", ","")&amp;"parcial distinto a "&amp;VALIDACIONES!$G$1,"")</f>
        <v/>
      </c>
      <c r="T43">
        <f>IF(AND(OR($A43="Ítems agrupados por caso clínico o problema",$A43="Subítem de caso o problema",$A43="Emparejamiento Ampliado",$A43="Opción de Emparejamiento Ampliado"),TRIM($B43)=""),IF(COUNTIF($Q43:$S43,"?*")&gt;0,", ","")&amp;"grupo","")</f>
        <v/>
      </c>
      <c r="U43">
        <f>IF(AND(OR($A43="Verdadero o Falso Simple",$A43="Respuesta A/B/Ambas/Ninguna",$A43="Verdadero o Falso Complejas",$A43="Selección de la mejor respuesta",$A43="Subítem de caso o problema",$A43="Opción de Emparejamiento Ampliado"),TRIM($I43)=""),IF(COUNTIF($Q43:$T43,"?*")&gt;0,", ","")&amp;"respuesta_correcta","")</f>
        <v/>
      </c>
      <c r="V43">
        <f>IF(AND(OR($A43="Verdadero o Falso Simple",$A43="Respuesta A/B/Ambas/Ninguna",$A43="Verdadero o Falso Complejas",$A43="Selección de la mejor respuesta",$A43="Subítem de caso o problema",$A43="Opción de Emparejamiento Ampliado"),TRIM($J43)=""),IF(COUNTIF($Q43:$U43,"?*")&gt;0,", ","")&amp;"dificultad","")</f>
        <v/>
      </c>
      <c r="W43">
        <f>IF(AND(OR($A43="Ítems agrupados por caso clínico o problema",$A43="Emparejamiento Ampliado"),TRIM($I43)&lt;&gt;""),IF(COUNTIF($Q43:$V43,"?*")&gt;0,", ","")&amp;"respuesta debe ir vacia","")</f>
        <v/>
      </c>
      <c r="X43">
        <f>IF(AND(OR($A43="Ítems agrupados por caso clínico o problema",$A43="Emparejamiento Ampliado"),TRIM($J43)&lt;&gt;""),IF(COUNTIF($Q43:$W43,"?*")&gt;0,", ","")&amp;"dificultad debe ir vacia","")</f>
        <v/>
      </c>
      <c r="Y43">
        <f>IF(AND($A43="Verdadero o Falso Simple",OR(COUNTIF($D43:$E43,"?*")&lt;2,COUNTIF($F43:$H43,"?*")&gt;0)),IF(COUNTIF($Q43:$X43,"?*")&gt;0,", ","")&amp;"incisos A-B","")</f>
        <v/>
      </c>
      <c r="Z43">
        <f>IF(AND($A43="Verdadero o Falso Simple",TRIM($I43)&lt;&gt;"",NOT(OR(LEFT(TRIM($I43),1)="A",LEFT(TRIM($I43),1)="B"))),IF(COUNTIF($Q43:$Y43,"?*")&gt;0,", ","")&amp;"respuesta A-B","")</f>
        <v/>
      </c>
      <c r="AA43">
        <f>IF(AND($A43="Respuesta A/B/Ambas/Ninguna",COUNTIF($D43:$G43,"?*")&lt;4),IF(COUNTIF($Q43:$Z43,"?*")&gt;0,", ","")&amp;"opciones A-D","")</f>
        <v/>
      </c>
      <c r="AB43">
        <f>IF(AND($A43="Respuesta A/B/Ambas/Ninguna",COUNTIF($H43:$H43,"?*")&gt;0),IF(COUNTIF($Q43:$AA43,"?*")&gt;0,", ","")&amp;"opcion E deshabilitada","")</f>
        <v/>
      </c>
      <c r="AC43">
        <f>IF(AND($A43="Respuesta A/B/Ambas/Ninguna",TRIM($I43)&lt;&gt;"",NOT(OR(LEFT(TRIM($I43),1)="A",LEFT(TRIM($I43),1)="B",LEFT(TRIM($I43),1)="C",LEFT(TRIM($I43),1)="D"))),IF(COUNTIF($Q43:$AB43,"?*")&gt;0,", ","")&amp;"respuesta A-D","")</f>
        <v/>
      </c>
      <c r="AD43">
        <f>IF(AND($A43="Verdadero o Falso Complejas",OR(LEN(TRIM(SUBSTITUTE($D43,"1.","")))=0,LEN(TRIM(SUBSTITUTE($E43,"2.","")))=0,LEN(TRIM(SUBSTITUTE($F43,"3.","")))=0,LEN(TRIM(SUBSTITUTE($G43,"4.","")))=0)),IF(COUNTIF($Q43:$AC43,"?*")&gt;0,", ","")&amp;"incisos 1-4","")</f>
        <v/>
      </c>
      <c r="AE43">
        <f>IF(AND($A43="Verdadero o Falso Complejas",COUNTIF($H43:$H43,"?*")&gt;0),IF(COUNTIF($Q43:$AD43,"?*")&gt;0,", ","")&amp;"opcion E deshabilitada","")</f>
        <v/>
      </c>
      <c r="AF43">
        <f>IF(AND($A43="Verdadero o Falso Complejas",TRIM($I43)&lt;&gt;"",NOT(OR(LEFT(TRIM($I43),1)="A",LEFT(TRIM($I43),1)="B",LEFT(TRIM($I43),1)="C",LEFT(TRIM($I43),1)="D",LEFT(TRIM($I43),1)="E"))),IF(COUNTIF($Q43:$AE43,"?*")&gt;0,", ","")&amp;"respuesta A-E","")</f>
        <v/>
      </c>
      <c r="AG43">
        <f>IF(AND(OR($A43="Selección de la mejor respuesta",$A43="Subítem de caso o problema"),COUNTA($D43:$H43)&lt;5),IF(COUNTIF($Q43:$AF43,"?*")&gt;0,", ","")&amp;"incisos A-E","")</f>
        <v/>
      </c>
      <c r="AH43">
        <f>IF(AND(OR($A43="Selección de la mejor respuesta",$A43="Subítem de caso o problema"),TRIM($I43)&lt;&gt;"",NOT(OR(LEFT(TRIM($I43),1)="A",LEFT(TRIM($I43),1)="B",LEFT(TRIM($I43),1)="C",LEFT(TRIM($I43),1)="D",LEFT(TRIM($I43),1)="E"))),IF(COUNTIF($Q43:$AG43,"?*")&gt;0,", ","")&amp;"respuesta A-E","")</f>
        <v/>
      </c>
      <c r="AI43">
        <f>IF(AND(OR($A43="Ítems agrupados por caso clínico o problema",$A43="Opción de Emparejamiento Ampliado"),COUNTIF($D43:$H43,"?*")&gt;0),IF(COUNTIF($Q43:$AH43,"?*")&gt;0,", ","")&amp;"sin incisos","")</f>
        <v/>
      </c>
      <c r="AJ43">
        <f>IF(AND($A43="Emparejamiento Ampliado",COUNTIF($D43:$H43,"?*")&lt;2),IF(COUNTIF($Q43:$AI43,"?*")&gt;0,", ","")&amp;"minimo 2 claves","")</f>
        <v/>
      </c>
      <c r="AK43">
        <f>IF(AND($A43="Opción de Emparejamiento Ampliado",NOT(OR(LEFT(TRIM($I43),1)="A",LEFT(TRIM($I43),1)="B",LEFT(TRIM($I43),1)="C",LEFT(TRIM($I43),1)="D",LEFT(TRIM($I43),1)="E"))),IF(COUNTIF($Q43:$AJ43,"?*")&gt;0,", ","")&amp;"respuesta A-E","")</f>
        <v/>
      </c>
      <c r="AL43">
        <f>IF(TRIM($K43)="",IF(COUNTIF($M43:$M43,"?*")&gt;0,", ","")&amp;"parcial","")</f>
        <v/>
      </c>
      <c r="AM43">
        <f>IF(AND(TRIM($K43)&lt;&gt;"",TRIM($K43)&lt;&gt;VALIDACIONES!$G$1),IF(COUNTIF($M43:$N43,"?*")&gt;0,", ","")&amp;"parcial distinto a "&amp;VALIDACIONES!$G$1,"")</f>
        <v/>
      </c>
      <c r="AN43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</row>
    <row r="44" ht="24" customHeight="1">
      <c r="A44" s="344" t="n"/>
      <c r="B44" s="344" t="n"/>
      <c r="C44" s="344" t="n"/>
      <c r="D44" s="344">
        <f>IF($A44="Verdadero o Falso Simple","Verdadero",IF($A44="Respuesta A/B/Ambas/Ninguna","A. Si la primera es verdadera",IF($A44="Verdadero o Falso Complejas","1. ","")))</f>
        <v/>
      </c>
      <c r="E44" s="344">
        <f>IF($A44="Verdadero o Falso Simple","Falso",IF($A44="Respuesta A/B/Ambas/Ninguna","B. Si la segunda es verdadera",IF($A44="Verdadero o Falso Complejas","2. ","")))</f>
        <v/>
      </c>
      <c r="F44" s="344">
        <f>IF($A44="Respuesta A/B/Ambas/Ninguna","C. Si ambas son verdaderas",IF($A44="Verdadero o Falso Complejas","3. ",""))</f>
        <v/>
      </c>
      <c r="G44" s="344">
        <f>IF($A44="Respuesta A/B/Ambas/Ninguna","D. Si ninguna es verdadera",IF($A44="Verdadero o Falso Complejas","4. ",""))</f>
        <v/>
      </c>
      <c r="H44" s="344">
        <f>IF($A44="Verdadero o Falso Simple","",IF($A44="Respuesta A/B/Ambas/Ninguna","",IF($A44="Verdadero o Falso Complejas","","")))</f>
        <v/>
      </c>
      <c r="I44" s="344" t="n"/>
      <c r="J44" s="344" t="n">
        <v>2</v>
      </c>
      <c r="K44" s="344" t="inlineStr">
        <is>
          <t>2P</t>
        </is>
      </c>
      <c r="L44" s="345">
        <f>IF(TRIM($A44)="","",IF(OR($A44="Selección de la mejor respuesta",$A44="SELECCION_MEJOR_RESPUESTA",$A44="Subítem de caso o problema",$A44="SUBITEM_CASO"),IF(TRIM($C44)="","Completar enunciado",IF(SUMPRODUCT(--(LEN(TRIM($D44:$H44&amp;""))&gt;0))&lt;5,"Completar opciones A-E",IF(AND(TRIM($I44)&lt;&gt;"",OR(LEFT(TRIM($I44),1)="A",LEFT(TRIM($I44),1)="B",LEFT(TRIM($I44),1)="C",LEFT(TRIM($I44),1)="D",LEFT(TRIM($I44),1)="E")),"OK","Completar respuesta correcta A-E"))),IF(TRIM($A44)="","",IF(COUNTIF($Q44:$AJ44,"?*")=0,"OK","Falta revisar: "&amp;$Q44&amp;$R44&amp;$S44&amp;$T44&amp;$U44&amp;$V44&amp;$W44&amp;$X44&amp;$Y44&amp;$Z44&amp;$AA44&amp;$AB44&amp;$AC44&amp;$AD44&amp;$AE44&amp;$AF44&amp;$AG44&amp;$AH44&amp;$AI44&amp;$AJ44))))</f>
        <v/>
      </c>
      <c r="M44" s="341" t="n"/>
      <c r="Q44">
        <f>IF(TRIM($C44)="","enunciado","")</f>
        <v/>
      </c>
      <c r="R44">
        <f>IF(TRIM($K44)="",IF(COUNTIF($Q44:$Q44,"?*")&gt;0,", ","")&amp;"parcial","")</f>
        <v/>
      </c>
      <c r="S44">
        <f>IF(AND(TRIM($K44)&lt;&gt;"",TRIM($K44)&lt;&gt;VALIDACIONES!$G$1),IF(COUNTIF($Q44:$R44,"?*")&gt;0,", ","")&amp;"parcial distinto a "&amp;VALIDACIONES!$G$1,"")</f>
        <v/>
      </c>
      <c r="T44">
        <f>IF(AND(OR($A44="Ítems agrupados por caso clínico o problema",$A44="Subítem de caso o problema",$A44="Emparejamiento Ampliado",$A44="Opción de Emparejamiento Ampliado"),TRIM($B44)=""),IF(COUNTIF($Q44:$S44,"?*")&gt;0,", ","")&amp;"grupo","")</f>
        <v/>
      </c>
      <c r="U44">
        <f>IF(AND(OR($A44="Verdadero o Falso Simple",$A44="Respuesta A/B/Ambas/Ninguna",$A44="Verdadero o Falso Complejas",$A44="Selección de la mejor respuesta",$A44="Subítem de caso o problema",$A44="Opción de Emparejamiento Ampliado"),TRIM($I44)=""),IF(COUNTIF($Q44:$T44,"?*")&gt;0,", ","")&amp;"respuesta_correcta","")</f>
        <v/>
      </c>
      <c r="V44">
        <f>IF(AND(OR($A44="Verdadero o Falso Simple",$A44="Respuesta A/B/Ambas/Ninguna",$A44="Verdadero o Falso Complejas",$A44="Selección de la mejor respuesta",$A44="Subítem de caso o problema",$A44="Opción de Emparejamiento Ampliado"),TRIM($J44)=""),IF(COUNTIF($Q44:$U44,"?*")&gt;0,", ","")&amp;"dificultad","")</f>
        <v/>
      </c>
      <c r="W44">
        <f>IF(AND(OR($A44="Ítems agrupados por caso clínico o problema",$A44="Emparejamiento Ampliado"),TRIM($I44)&lt;&gt;""),IF(COUNTIF($Q44:$V44,"?*")&gt;0,", ","")&amp;"respuesta debe ir vacia","")</f>
        <v/>
      </c>
      <c r="X44">
        <f>IF(AND(OR($A44="Ítems agrupados por caso clínico o problema",$A44="Emparejamiento Ampliado"),TRIM($J44)&lt;&gt;""),IF(COUNTIF($Q44:$W44,"?*")&gt;0,", ","")&amp;"dificultad debe ir vacia","")</f>
        <v/>
      </c>
      <c r="Y44">
        <f>IF(AND($A44="Verdadero o Falso Simple",OR(COUNTIF($D44:$E44,"?*")&lt;2,COUNTIF($F44:$H44,"?*")&gt;0)),IF(COUNTIF($Q44:$X44,"?*")&gt;0,", ","")&amp;"incisos A-B","")</f>
        <v/>
      </c>
      <c r="Z44">
        <f>IF(AND($A44="Verdadero o Falso Simple",TRIM($I44)&lt;&gt;"",NOT(OR(LEFT(TRIM($I44),1)="A",LEFT(TRIM($I44),1)="B"))),IF(COUNTIF($Q44:$Y44,"?*")&gt;0,", ","")&amp;"respuesta A-B","")</f>
        <v/>
      </c>
      <c r="AA44">
        <f>IF(AND($A44="Respuesta A/B/Ambas/Ninguna",COUNTIF($D44:$G44,"?*")&lt;4),IF(COUNTIF($Q44:$Z44,"?*")&gt;0,", ","")&amp;"opciones A-D","")</f>
        <v/>
      </c>
      <c r="AB44">
        <f>IF(AND($A44="Respuesta A/B/Ambas/Ninguna",COUNTIF($H44:$H44,"?*")&gt;0),IF(COUNTIF($Q44:$AA44,"?*")&gt;0,", ","")&amp;"opcion E deshabilitada","")</f>
        <v/>
      </c>
      <c r="AC44">
        <f>IF(AND($A44="Respuesta A/B/Ambas/Ninguna",TRIM($I44)&lt;&gt;"",NOT(OR(LEFT(TRIM($I44),1)="A",LEFT(TRIM($I44),1)="B",LEFT(TRIM($I44),1)="C",LEFT(TRIM($I44),1)="D"))),IF(COUNTIF($Q44:$AB44,"?*")&gt;0,", ","")&amp;"respuesta A-D","")</f>
        <v/>
      </c>
      <c r="AD44">
        <f>IF(AND($A44="Verdadero o Falso Complejas",OR(LEN(TRIM(SUBSTITUTE($D44,"1.","")))=0,LEN(TRIM(SUBSTITUTE($E44,"2.","")))=0,LEN(TRIM(SUBSTITUTE($F44,"3.","")))=0,LEN(TRIM(SUBSTITUTE($G44,"4.","")))=0)),IF(COUNTIF($Q44:$AC44,"?*")&gt;0,", ","")&amp;"incisos 1-4","")</f>
        <v/>
      </c>
      <c r="AE44">
        <f>IF(AND($A44="Verdadero o Falso Complejas",COUNTIF($H44:$H44,"?*")&gt;0),IF(COUNTIF($Q44:$AD44,"?*")&gt;0,", ","")&amp;"opcion E deshabilitada","")</f>
        <v/>
      </c>
      <c r="AF44">
        <f>IF(AND($A44="Verdadero o Falso Complejas",TRIM($I44)&lt;&gt;"",NOT(OR(LEFT(TRIM($I44),1)="A",LEFT(TRIM($I44),1)="B",LEFT(TRIM($I44),1)="C",LEFT(TRIM($I44),1)="D",LEFT(TRIM($I44),1)="E"))),IF(COUNTIF($Q44:$AE44,"?*")&gt;0,", ","")&amp;"respuesta A-E","")</f>
        <v/>
      </c>
      <c r="AG44">
        <f>IF(AND(OR($A44="Selección de la mejor respuesta",$A44="Subítem de caso o problema"),COUNTA($D44:$H44)&lt;5),IF(COUNTIF($Q44:$AF44,"?*")&gt;0,", ","")&amp;"incisos A-E","")</f>
        <v/>
      </c>
      <c r="AH44">
        <f>IF(AND(OR($A44="Selección de la mejor respuesta",$A44="Subítem de caso o problema"),TRIM($I44)&lt;&gt;"",NOT(OR(LEFT(TRIM($I44),1)="A",LEFT(TRIM($I44),1)="B",LEFT(TRIM($I44),1)="C",LEFT(TRIM($I44),1)="D",LEFT(TRIM($I44),1)="E"))),IF(COUNTIF($Q44:$AG44,"?*")&gt;0,", ","")&amp;"respuesta A-E","")</f>
        <v/>
      </c>
      <c r="AI44">
        <f>IF(AND(OR($A44="Ítems agrupados por caso clínico o problema",$A44="Opción de Emparejamiento Ampliado"),COUNTIF($D44:$H44,"?*")&gt;0),IF(COUNTIF($Q44:$AH44,"?*")&gt;0,", ","")&amp;"sin incisos","")</f>
        <v/>
      </c>
      <c r="AJ44">
        <f>IF(AND($A44="Emparejamiento Ampliado",COUNTIF($D44:$H44,"?*")&lt;2),IF(COUNTIF($Q44:$AI44,"?*")&gt;0,", ","")&amp;"minimo 2 claves","")</f>
        <v/>
      </c>
      <c r="AK44">
        <f>IF(AND($A44="Opción de Emparejamiento Ampliado",NOT(OR(LEFT(TRIM($I44),1)="A",LEFT(TRIM($I44),1)="B",LEFT(TRIM($I44),1)="C",LEFT(TRIM($I44),1)="D",LEFT(TRIM($I44),1)="E"))),IF(COUNTIF($Q44:$AJ44,"?*")&gt;0,", ","")&amp;"respuesta A-E","")</f>
        <v/>
      </c>
      <c r="AL44">
        <f>IF(TRIM($K44)="",IF(COUNTIF($M44:$M44,"?*")&gt;0,", ","")&amp;"parcial","")</f>
        <v/>
      </c>
      <c r="AM44">
        <f>IF(AND(TRIM($K44)&lt;&gt;"",TRIM($K44)&lt;&gt;VALIDACIONES!$G$1),IF(COUNTIF($M44:$N44,"?*")&gt;0,", ","")&amp;"parcial distinto a "&amp;VALIDACIONES!$G$1,"")</f>
        <v/>
      </c>
      <c r="AN44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</row>
    <row r="45" ht="24" customHeight="1">
      <c r="A45" s="344" t="n"/>
      <c r="B45" s="344" t="n"/>
      <c r="C45" s="344" t="n"/>
      <c r="D45" s="344">
        <f>IF($A45="Verdadero o Falso Simple","Verdadero",IF($A45="Respuesta A/B/Ambas/Ninguna","A. Si la primera es verdadera",IF($A45="Verdadero o Falso Complejas","1. ","")))</f>
        <v/>
      </c>
      <c r="E45" s="344">
        <f>IF($A45="Verdadero o Falso Simple","Falso",IF($A45="Respuesta A/B/Ambas/Ninguna","B. Si la segunda es verdadera",IF($A45="Verdadero o Falso Complejas","2. ","")))</f>
        <v/>
      </c>
      <c r="F45" s="344">
        <f>IF($A45="Respuesta A/B/Ambas/Ninguna","C. Si ambas son verdaderas",IF($A45="Verdadero o Falso Complejas","3. ",""))</f>
        <v/>
      </c>
      <c r="G45" s="344">
        <f>IF($A45="Respuesta A/B/Ambas/Ninguna","D. Si ninguna es verdadera",IF($A45="Verdadero o Falso Complejas","4. ",""))</f>
        <v/>
      </c>
      <c r="H45" s="344">
        <f>IF($A45="Verdadero o Falso Simple","",IF($A45="Respuesta A/B/Ambas/Ninguna","",IF($A45="Verdadero o Falso Complejas","","")))</f>
        <v/>
      </c>
      <c r="I45" s="344" t="n"/>
      <c r="J45" s="344" t="n">
        <v>2</v>
      </c>
      <c r="K45" s="344" t="inlineStr">
        <is>
          <t>2P</t>
        </is>
      </c>
      <c r="L45" s="345">
        <f>IF(TRIM($A45)="","",IF(OR($A45="Selección de la mejor respuesta",$A45="SELECCION_MEJOR_RESPUESTA",$A45="Subítem de caso o problema",$A45="SUBITEM_CASO"),IF(TRIM($C45)="","Completar enunciado",IF(SUMPRODUCT(--(LEN(TRIM($D45:$H45&amp;""))&gt;0))&lt;5,"Completar opciones A-E",IF(AND(TRIM($I45)&lt;&gt;"",OR(LEFT(TRIM($I45),1)="A",LEFT(TRIM($I45),1)="B",LEFT(TRIM($I45),1)="C",LEFT(TRIM($I45),1)="D",LEFT(TRIM($I45),1)="E")),"OK","Completar respuesta correcta A-E"))),IF(TRIM($A45)="","",IF(COUNTIF($Q45:$AJ45,"?*")=0,"OK","Falta revisar: "&amp;$Q45&amp;$R45&amp;$S45&amp;$T45&amp;$U45&amp;$V45&amp;$W45&amp;$X45&amp;$Y45&amp;$Z45&amp;$AA45&amp;$AB45&amp;$AC45&amp;$AD45&amp;$AE45&amp;$AF45&amp;$AG45&amp;$AH45&amp;$AI45&amp;$AJ45))))</f>
        <v/>
      </c>
      <c r="M45" s="341" t="n"/>
      <c r="Q45">
        <f>IF(TRIM($C45)="","enunciado","")</f>
        <v/>
      </c>
      <c r="R45">
        <f>IF(TRIM($K45)="",IF(COUNTIF($Q45:$Q45,"?*")&gt;0,", ","")&amp;"parcial","")</f>
        <v/>
      </c>
      <c r="S45">
        <f>IF(AND(TRIM($K45)&lt;&gt;"",TRIM($K45)&lt;&gt;VALIDACIONES!$G$1),IF(COUNTIF($Q45:$R45,"?*")&gt;0,", ","")&amp;"parcial distinto a "&amp;VALIDACIONES!$G$1,"")</f>
        <v/>
      </c>
      <c r="T45">
        <f>IF(AND(OR($A45="Ítems agrupados por caso clínico o problema",$A45="Subítem de caso o problema",$A45="Emparejamiento Ampliado",$A45="Opción de Emparejamiento Ampliado"),TRIM($B45)=""),IF(COUNTIF($Q45:$S45,"?*")&gt;0,", ","")&amp;"grupo","")</f>
        <v/>
      </c>
      <c r="U45">
        <f>IF(AND(OR($A45="Verdadero o Falso Simple",$A45="Respuesta A/B/Ambas/Ninguna",$A45="Verdadero o Falso Complejas",$A45="Selección de la mejor respuesta",$A45="Subítem de caso o problema",$A45="Opción de Emparejamiento Ampliado"),TRIM($I45)=""),IF(COUNTIF($Q45:$T45,"?*")&gt;0,", ","")&amp;"respuesta_correcta","")</f>
        <v/>
      </c>
      <c r="V45">
        <f>IF(AND(OR($A45="Verdadero o Falso Simple",$A45="Respuesta A/B/Ambas/Ninguna",$A45="Verdadero o Falso Complejas",$A45="Selección de la mejor respuesta",$A45="Subítem de caso o problema",$A45="Opción de Emparejamiento Ampliado"),TRIM($J45)=""),IF(COUNTIF($Q45:$U45,"?*")&gt;0,", ","")&amp;"dificultad","")</f>
        <v/>
      </c>
      <c r="W45">
        <f>IF(AND(OR($A45="Ítems agrupados por caso clínico o problema",$A45="Emparejamiento Ampliado"),TRIM($I45)&lt;&gt;""),IF(COUNTIF($Q45:$V45,"?*")&gt;0,", ","")&amp;"respuesta debe ir vacia","")</f>
        <v/>
      </c>
      <c r="X45">
        <f>IF(AND(OR($A45="Ítems agrupados por caso clínico o problema",$A45="Emparejamiento Ampliado"),TRIM($J45)&lt;&gt;""),IF(COUNTIF($Q45:$W45,"?*")&gt;0,", ","")&amp;"dificultad debe ir vacia","")</f>
        <v/>
      </c>
      <c r="Y45">
        <f>IF(AND($A45="Verdadero o Falso Simple",OR(COUNTIF($D45:$E45,"?*")&lt;2,COUNTIF($F45:$H45,"?*")&gt;0)),IF(COUNTIF($Q45:$X45,"?*")&gt;0,", ","")&amp;"incisos A-B","")</f>
        <v/>
      </c>
      <c r="Z45">
        <f>IF(AND($A45="Verdadero o Falso Simple",TRIM($I45)&lt;&gt;"",NOT(OR(LEFT(TRIM($I45),1)="A",LEFT(TRIM($I45),1)="B"))),IF(COUNTIF($Q45:$Y45,"?*")&gt;0,", ","")&amp;"respuesta A-B","")</f>
        <v/>
      </c>
      <c r="AA45">
        <f>IF(AND($A45="Respuesta A/B/Ambas/Ninguna",COUNTIF($D45:$G45,"?*")&lt;4),IF(COUNTIF($Q45:$Z45,"?*")&gt;0,", ","")&amp;"opciones A-D","")</f>
        <v/>
      </c>
      <c r="AB45">
        <f>IF(AND($A45="Respuesta A/B/Ambas/Ninguna",COUNTIF($H45:$H45,"?*")&gt;0),IF(COUNTIF($Q45:$AA45,"?*")&gt;0,", ","")&amp;"opcion E deshabilitada","")</f>
        <v/>
      </c>
      <c r="AC45">
        <f>IF(AND($A45="Respuesta A/B/Ambas/Ninguna",TRIM($I45)&lt;&gt;"",NOT(OR(LEFT(TRIM($I45),1)="A",LEFT(TRIM($I45),1)="B",LEFT(TRIM($I45),1)="C",LEFT(TRIM($I45),1)="D"))),IF(COUNTIF($Q45:$AB45,"?*")&gt;0,", ","")&amp;"respuesta A-D","")</f>
        <v/>
      </c>
      <c r="AD45">
        <f>IF(AND($A45="Verdadero o Falso Complejas",OR(LEN(TRIM(SUBSTITUTE($D45,"1.","")))=0,LEN(TRIM(SUBSTITUTE($E45,"2.","")))=0,LEN(TRIM(SUBSTITUTE($F45,"3.","")))=0,LEN(TRIM(SUBSTITUTE($G45,"4.","")))=0)),IF(COUNTIF($Q45:$AC45,"?*")&gt;0,", ","")&amp;"incisos 1-4","")</f>
        <v/>
      </c>
      <c r="AE45">
        <f>IF(AND($A45="Verdadero o Falso Complejas",COUNTIF($H45:$H45,"?*")&gt;0),IF(COUNTIF($Q45:$AD45,"?*")&gt;0,", ","")&amp;"opcion E deshabilitada","")</f>
        <v/>
      </c>
      <c r="AF45">
        <f>IF(AND($A45="Verdadero o Falso Complejas",TRIM($I45)&lt;&gt;"",NOT(OR(LEFT(TRIM($I45),1)="A",LEFT(TRIM($I45),1)="B",LEFT(TRIM($I45),1)="C",LEFT(TRIM($I45),1)="D",LEFT(TRIM($I45),1)="E"))),IF(COUNTIF($Q45:$AE45,"?*")&gt;0,", ","")&amp;"respuesta A-E","")</f>
        <v/>
      </c>
      <c r="AG45">
        <f>IF(AND(OR($A45="Selección de la mejor respuesta",$A45="Subítem de caso o problema"),COUNTA($D45:$H45)&lt;5),IF(COUNTIF($Q45:$AF45,"?*")&gt;0,", ","")&amp;"incisos A-E","")</f>
        <v/>
      </c>
      <c r="AH45">
        <f>IF(AND(OR($A45="Selección de la mejor respuesta",$A45="Subítem de caso o problema"),TRIM($I45)&lt;&gt;"",NOT(OR(LEFT(TRIM($I45),1)="A",LEFT(TRIM($I45),1)="B",LEFT(TRIM($I45),1)="C",LEFT(TRIM($I45),1)="D",LEFT(TRIM($I45),1)="E"))),IF(COUNTIF($Q45:$AG45,"?*")&gt;0,", ","")&amp;"respuesta A-E","")</f>
        <v/>
      </c>
      <c r="AI45">
        <f>IF(AND(OR($A45="Ítems agrupados por caso clínico o problema",$A45="Opción de Emparejamiento Ampliado"),COUNTIF($D45:$H45,"?*")&gt;0),IF(COUNTIF($Q45:$AH45,"?*")&gt;0,", ","")&amp;"sin incisos","")</f>
        <v/>
      </c>
      <c r="AJ45">
        <f>IF(AND($A45="Emparejamiento Ampliado",COUNTIF($D45:$H45,"?*")&lt;2),IF(COUNTIF($Q45:$AI45,"?*")&gt;0,", ","")&amp;"minimo 2 claves","")</f>
        <v/>
      </c>
      <c r="AK45">
        <f>IF(AND($A45="Opción de Emparejamiento Ampliado",NOT(OR(LEFT(TRIM($I45),1)="A",LEFT(TRIM($I45),1)="B",LEFT(TRIM($I45),1)="C",LEFT(TRIM($I45),1)="D",LEFT(TRIM($I45),1)="E"))),IF(COUNTIF($Q45:$AJ45,"?*")&gt;0,", ","")&amp;"respuesta A-E","")</f>
        <v/>
      </c>
      <c r="AL45">
        <f>IF(TRIM($K45)="",IF(COUNTIF($M45:$M45,"?*")&gt;0,", ","")&amp;"parcial","")</f>
        <v/>
      </c>
      <c r="AM45">
        <f>IF(AND(TRIM($K45)&lt;&gt;"",TRIM($K45)&lt;&gt;VALIDACIONES!$G$1),IF(COUNTIF($M45:$N45,"?*")&gt;0,", ","")&amp;"parcial distinto a "&amp;VALIDACIONES!$G$1,"")</f>
        <v/>
      </c>
      <c r="AN45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</row>
    <row r="46" ht="24" customHeight="1">
      <c r="A46" s="344" t="n"/>
      <c r="B46" s="344" t="n"/>
      <c r="C46" s="344" t="n"/>
      <c r="D46" s="344">
        <f>IF($A46="Verdadero o Falso Simple","Verdadero",IF($A46="Respuesta A/B/Ambas/Ninguna","A. Si la primera es verdadera",IF($A46="Verdadero o Falso Complejas","1. ","")))</f>
        <v/>
      </c>
      <c r="E46" s="344">
        <f>IF($A46="Verdadero o Falso Simple","Falso",IF($A46="Respuesta A/B/Ambas/Ninguna","B. Si la segunda es verdadera",IF($A46="Verdadero o Falso Complejas","2. ","")))</f>
        <v/>
      </c>
      <c r="F46" s="344">
        <f>IF($A46="Respuesta A/B/Ambas/Ninguna","C. Si ambas son verdaderas",IF($A46="Verdadero o Falso Complejas","3. ",""))</f>
        <v/>
      </c>
      <c r="G46" s="344">
        <f>IF($A46="Respuesta A/B/Ambas/Ninguna","D. Si ninguna es verdadera",IF($A46="Verdadero o Falso Complejas","4. ",""))</f>
        <v/>
      </c>
      <c r="H46" s="344">
        <f>IF($A46="Verdadero o Falso Simple","",IF($A46="Respuesta A/B/Ambas/Ninguna","",IF($A46="Verdadero o Falso Complejas","","")))</f>
        <v/>
      </c>
      <c r="I46" s="344" t="n"/>
      <c r="J46" s="344" t="n">
        <v>2</v>
      </c>
      <c r="K46" s="344" t="inlineStr">
        <is>
          <t>2P</t>
        </is>
      </c>
      <c r="L46" s="345">
        <f>IF(TRIM($A46)="","",IF(OR($A46="Selección de la mejor respuesta",$A46="SELECCION_MEJOR_RESPUESTA",$A46="Subítem de caso o problema",$A46="SUBITEM_CASO"),IF(TRIM($C46)="","Completar enunciado",IF(SUMPRODUCT(--(LEN(TRIM($D46:$H46&amp;""))&gt;0))&lt;5,"Completar opciones A-E",IF(AND(TRIM($I46)&lt;&gt;"",OR(LEFT(TRIM($I46),1)="A",LEFT(TRIM($I46),1)="B",LEFT(TRIM($I46),1)="C",LEFT(TRIM($I46),1)="D",LEFT(TRIM($I46),1)="E")),"OK","Completar respuesta correcta A-E"))),IF(TRIM($A46)="","",IF(COUNTIF($Q46:$AJ46,"?*")=0,"OK","Falta revisar: "&amp;$Q46&amp;$R46&amp;$S46&amp;$T46&amp;$U46&amp;$V46&amp;$W46&amp;$X46&amp;$Y46&amp;$Z46&amp;$AA46&amp;$AB46&amp;$AC46&amp;$AD46&amp;$AE46&amp;$AF46&amp;$AG46&amp;$AH46&amp;$AI46&amp;$AJ46))))</f>
        <v/>
      </c>
      <c r="M46" s="341" t="n"/>
      <c r="Q46">
        <f>IF(TRIM($C46)="","enunciado","")</f>
        <v/>
      </c>
      <c r="R46">
        <f>IF(TRIM($K46)="",IF(COUNTIF($Q46:$Q46,"?*")&gt;0,", ","")&amp;"parcial","")</f>
        <v/>
      </c>
      <c r="S46">
        <f>IF(AND(TRIM($K46)&lt;&gt;"",TRIM($K46)&lt;&gt;VALIDACIONES!$G$1),IF(COUNTIF($Q46:$R46,"?*")&gt;0,", ","")&amp;"parcial distinto a "&amp;VALIDACIONES!$G$1,"")</f>
        <v/>
      </c>
      <c r="T46">
        <f>IF(AND(OR($A46="Ítems agrupados por caso clínico o problema",$A46="Subítem de caso o problema",$A46="Emparejamiento Ampliado",$A46="Opción de Emparejamiento Ampliado"),TRIM($B46)=""),IF(COUNTIF($Q46:$S46,"?*")&gt;0,", ","")&amp;"grupo","")</f>
        <v/>
      </c>
      <c r="U46">
        <f>IF(AND(OR($A46="Verdadero o Falso Simple",$A46="Respuesta A/B/Ambas/Ninguna",$A46="Verdadero o Falso Complejas",$A46="Selección de la mejor respuesta",$A46="Subítem de caso o problema",$A46="Opción de Emparejamiento Ampliado"),TRIM($I46)=""),IF(COUNTIF($Q46:$T46,"?*")&gt;0,", ","")&amp;"respuesta_correcta","")</f>
        <v/>
      </c>
      <c r="V46">
        <f>IF(AND(OR($A46="Verdadero o Falso Simple",$A46="Respuesta A/B/Ambas/Ninguna",$A46="Verdadero o Falso Complejas",$A46="Selección de la mejor respuesta",$A46="Subítem de caso o problema",$A46="Opción de Emparejamiento Ampliado"),TRIM($J46)=""),IF(COUNTIF($Q46:$U46,"?*")&gt;0,", ","")&amp;"dificultad","")</f>
        <v/>
      </c>
      <c r="W46">
        <f>IF(AND(OR($A46="Ítems agrupados por caso clínico o problema",$A46="Emparejamiento Ampliado"),TRIM($I46)&lt;&gt;""),IF(COUNTIF($Q46:$V46,"?*")&gt;0,", ","")&amp;"respuesta debe ir vacia","")</f>
        <v/>
      </c>
      <c r="X46">
        <f>IF(AND(OR($A46="Ítems agrupados por caso clínico o problema",$A46="Emparejamiento Ampliado"),TRIM($J46)&lt;&gt;""),IF(COUNTIF($Q46:$W46,"?*")&gt;0,", ","")&amp;"dificultad debe ir vacia","")</f>
        <v/>
      </c>
      <c r="Y46">
        <f>IF(AND($A46="Verdadero o Falso Simple",OR(COUNTIF($D46:$E46,"?*")&lt;2,COUNTIF($F46:$H46,"?*")&gt;0)),IF(COUNTIF($Q46:$X46,"?*")&gt;0,", ","")&amp;"incisos A-B","")</f>
        <v/>
      </c>
      <c r="Z46">
        <f>IF(AND($A46="Verdadero o Falso Simple",TRIM($I46)&lt;&gt;"",NOT(OR(LEFT(TRIM($I46),1)="A",LEFT(TRIM($I46),1)="B"))),IF(COUNTIF($Q46:$Y46,"?*")&gt;0,", ","")&amp;"respuesta A-B","")</f>
        <v/>
      </c>
      <c r="AA46">
        <f>IF(AND($A46="Respuesta A/B/Ambas/Ninguna",COUNTIF($D46:$G46,"?*")&lt;4),IF(COUNTIF($Q46:$Z46,"?*")&gt;0,", ","")&amp;"opciones A-D","")</f>
        <v/>
      </c>
      <c r="AB46">
        <f>IF(AND($A46="Respuesta A/B/Ambas/Ninguna",COUNTIF($H46:$H46,"?*")&gt;0),IF(COUNTIF($Q46:$AA46,"?*")&gt;0,", ","")&amp;"opcion E deshabilitada","")</f>
        <v/>
      </c>
      <c r="AC46">
        <f>IF(AND($A46="Respuesta A/B/Ambas/Ninguna",TRIM($I46)&lt;&gt;"",NOT(OR(LEFT(TRIM($I46),1)="A",LEFT(TRIM($I46),1)="B",LEFT(TRIM($I46),1)="C",LEFT(TRIM($I46),1)="D"))),IF(COUNTIF($Q46:$AB46,"?*")&gt;0,", ","")&amp;"respuesta A-D","")</f>
        <v/>
      </c>
      <c r="AD46">
        <f>IF(AND($A46="Verdadero o Falso Complejas",OR(LEN(TRIM(SUBSTITUTE($D46,"1.","")))=0,LEN(TRIM(SUBSTITUTE($E46,"2.","")))=0,LEN(TRIM(SUBSTITUTE($F46,"3.","")))=0,LEN(TRIM(SUBSTITUTE($G46,"4.","")))=0)),IF(COUNTIF($Q46:$AC46,"?*")&gt;0,", ","")&amp;"incisos 1-4","")</f>
        <v/>
      </c>
      <c r="AE46">
        <f>IF(AND($A46="Verdadero o Falso Complejas",COUNTIF($H46:$H46,"?*")&gt;0),IF(COUNTIF($Q46:$AD46,"?*")&gt;0,", ","")&amp;"opcion E deshabilitada","")</f>
        <v/>
      </c>
      <c r="AF46">
        <f>IF(AND($A46="Verdadero o Falso Complejas",TRIM($I46)&lt;&gt;"",NOT(OR(LEFT(TRIM($I46),1)="A",LEFT(TRIM($I46),1)="B",LEFT(TRIM($I46),1)="C",LEFT(TRIM($I46),1)="D",LEFT(TRIM($I46),1)="E"))),IF(COUNTIF($Q46:$AE46,"?*")&gt;0,", ","")&amp;"respuesta A-E","")</f>
        <v/>
      </c>
      <c r="AG46">
        <f>IF(AND(OR($A46="Selección de la mejor respuesta",$A46="Subítem de caso o problema"),COUNTA($D46:$H46)&lt;5),IF(COUNTIF($Q46:$AF46,"?*")&gt;0,", ","")&amp;"incisos A-E","")</f>
        <v/>
      </c>
      <c r="AH46">
        <f>IF(AND(OR($A46="Selección de la mejor respuesta",$A46="Subítem de caso o problema"),TRIM($I46)&lt;&gt;"",NOT(OR(LEFT(TRIM($I46),1)="A",LEFT(TRIM($I46),1)="B",LEFT(TRIM($I46),1)="C",LEFT(TRIM($I46),1)="D",LEFT(TRIM($I46),1)="E"))),IF(COUNTIF($Q46:$AG46,"?*")&gt;0,", ","")&amp;"respuesta A-E","")</f>
        <v/>
      </c>
      <c r="AI46">
        <f>IF(AND(OR($A46="Ítems agrupados por caso clínico o problema",$A46="Opción de Emparejamiento Ampliado"),COUNTIF($D46:$H46,"?*")&gt;0),IF(COUNTIF($Q46:$AH46,"?*")&gt;0,", ","")&amp;"sin incisos","")</f>
        <v/>
      </c>
      <c r="AJ46">
        <f>IF(AND($A46="Emparejamiento Ampliado",COUNTIF($D46:$H46,"?*")&lt;2),IF(COUNTIF($Q46:$AI46,"?*")&gt;0,", ","")&amp;"minimo 2 claves","")</f>
        <v/>
      </c>
      <c r="AK46">
        <f>IF(AND($A46="Opción de Emparejamiento Ampliado",NOT(OR(LEFT(TRIM($I46),1)="A",LEFT(TRIM($I46),1)="B",LEFT(TRIM($I46),1)="C",LEFT(TRIM($I46),1)="D",LEFT(TRIM($I46),1)="E"))),IF(COUNTIF($Q46:$AJ46,"?*")&gt;0,", ","")&amp;"respuesta A-E","")</f>
        <v/>
      </c>
      <c r="AL46">
        <f>IF(TRIM($K46)="",IF(COUNTIF($M46:$M46,"?*")&gt;0,", ","")&amp;"parcial","")</f>
        <v/>
      </c>
      <c r="AM46">
        <f>IF(AND(TRIM($K46)&lt;&gt;"",TRIM($K46)&lt;&gt;VALIDACIONES!$G$1),IF(COUNTIF($M46:$N46,"?*")&gt;0,", ","")&amp;"parcial distinto a "&amp;VALIDACIONES!$G$1,"")</f>
        <v/>
      </c>
      <c r="AN46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</row>
    <row r="47" ht="24" customHeight="1">
      <c r="A47" s="346" t="n"/>
      <c r="B47" s="346" t="n"/>
      <c r="C47" s="346" t="n"/>
      <c r="D47" s="346">
        <f>IF($A47="Verdadero o Falso Simple","Verdadero",IF($A47="Respuesta A/B/Ambas/Ninguna","A. Si la primera es verdadera",IF($A47="Verdadero o Falso Complejas","1. ","")))</f>
        <v/>
      </c>
      <c r="E47" s="346">
        <f>IF($A47="Verdadero o Falso Simple","Falso",IF($A47="Respuesta A/B/Ambas/Ninguna","B. Si la segunda es verdadera",IF($A47="Verdadero o Falso Complejas","2. ","")))</f>
        <v/>
      </c>
      <c r="F47" s="346">
        <f>IF($A47="Respuesta A/B/Ambas/Ninguna","C. Si ambas son verdaderas",IF($A47="Verdadero o Falso Complejas","3. ",""))</f>
        <v/>
      </c>
      <c r="G47" s="346">
        <f>IF($A47="Respuesta A/B/Ambas/Ninguna","D. Si ninguna es verdadera",IF($A47="Verdadero o Falso Complejas","4. ",""))</f>
        <v/>
      </c>
      <c r="H47" s="346">
        <f>IF($A47="Verdadero o Falso Simple","",IF($A47="Respuesta A/B/Ambas/Ninguna","",IF($A47="Verdadero o Falso Complejas","","")))</f>
        <v/>
      </c>
      <c r="I47" s="346" t="n"/>
      <c r="J47" s="346" t="n">
        <v>3</v>
      </c>
      <c r="K47" s="346" t="inlineStr">
        <is>
          <t>2P</t>
        </is>
      </c>
      <c r="L47" s="347">
        <f>IF(TRIM($A47)="","",IF(OR($A47="Selección de la mejor respuesta",$A47="SELECCION_MEJOR_RESPUESTA",$A47="Subítem de caso o problema",$A47="SUBITEM_CASO"),IF(TRIM($C47)="","Completar enunciado",IF(SUMPRODUCT(--(LEN(TRIM($D47:$H47&amp;""))&gt;0))&lt;5,"Completar opciones A-E",IF(AND(TRIM($I47)&lt;&gt;"",OR(LEFT(TRIM($I47),1)="A",LEFT(TRIM($I47),1)="B",LEFT(TRIM($I47),1)="C",LEFT(TRIM($I47),1)="D",LEFT(TRIM($I47),1)="E")),"OK","Completar respuesta correcta A-E"))),IF(TRIM($A47)="","",IF(COUNTIF($Q47:$AJ47,"?*")=0,"OK","Falta revisar: "&amp;$Q47&amp;$R47&amp;$S47&amp;$T47&amp;$U47&amp;$V47&amp;$W47&amp;$X47&amp;$Y47&amp;$Z47&amp;$AA47&amp;$AB47&amp;$AC47&amp;$AD47&amp;$AE47&amp;$AF47&amp;$AG47&amp;$AH47&amp;$AI47&amp;$AJ47))))</f>
        <v/>
      </c>
      <c r="M47" s="341" t="n"/>
      <c r="Q47">
        <f>IF(TRIM($C47)="","enunciado","")</f>
        <v/>
      </c>
      <c r="R47">
        <f>IF(TRIM($K47)="",IF(COUNTIF($Q47:$Q47,"?*")&gt;0,", ","")&amp;"parcial","")</f>
        <v/>
      </c>
      <c r="S47">
        <f>IF(AND(TRIM($K47)&lt;&gt;"",TRIM($K47)&lt;&gt;VALIDACIONES!$G$1),IF(COUNTIF($Q47:$R47,"?*")&gt;0,", ","")&amp;"parcial distinto a "&amp;VALIDACIONES!$G$1,"")</f>
        <v/>
      </c>
      <c r="T47">
        <f>IF(AND(OR($A47="Ítems agrupados por caso clínico o problema",$A47="Subítem de caso o problema",$A47="Emparejamiento Ampliado",$A47="Opción de Emparejamiento Ampliado"),TRIM($B47)=""),IF(COUNTIF($Q47:$S47,"?*")&gt;0,", ","")&amp;"grupo","")</f>
        <v/>
      </c>
      <c r="U47">
        <f>IF(AND(OR($A47="Verdadero o Falso Simple",$A47="Respuesta A/B/Ambas/Ninguna",$A47="Verdadero o Falso Complejas",$A47="Selección de la mejor respuesta",$A47="Subítem de caso o problema",$A47="Opción de Emparejamiento Ampliado"),TRIM($I47)=""),IF(COUNTIF($Q47:$T47,"?*")&gt;0,", ","")&amp;"respuesta_correcta","")</f>
        <v/>
      </c>
      <c r="V47">
        <f>IF(AND(OR($A47="Verdadero o Falso Simple",$A47="Respuesta A/B/Ambas/Ninguna",$A47="Verdadero o Falso Complejas",$A47="Selección de la mejor respuesta",$A47="Subítem de caso o problema",$A47="Opción de Emparejamiento Ampliado"),TRIM($J47)=""),IF(COUNTIF($Q47:$U47,"?*")&gt;0,", ","")&amp;"dificultad","")</f>
        <v/>
      </c>
      <c r="W47">
        <f>IF(AND(OR($A47="Ítems agrupados por caso clínico o problema",$A47="Emparejamiento Ampliado"),TRIM($I47)&lt;&gt;""),IF(COUNTIF($Q47:$V47,"?*")&gt;0,", ","")&amp;"respuesta debe ir vacia","")</f>
        <v/>
      </c>
      <c r="X47">
        <f>IF(AND(OR($A47="Ítems agrupados por caso clínico o problema",$A47="Emparejamiento Ampliado"),TRIM($J47)&lt;&gt;""),IF(COUNTIF($Q47:$W47,"?*")&gt;0,", ","")&amp;"dificultad debe ir vacia","")</f>
        <v/>
      </c>
      <c r="Y47">
        <f>IF(AND($A47="Verdadero o Falso Simple",OR(COUNTIF($D47:$E47,"?*")&lt;2,COUNTIF($F47:$H47,"?*")&gt;0)),IF(COUNTIF($Q47:$X47,"?*")&gt;0,", ","")&amp;"incisos A-B","")</f>
        <v/>
      </c>
      <c r="Z47">
        <f>IF(AND($A47="Verdadero o Falso Simple",TRIM($I47)&lt;&gt;"",NOT(OR(LEFT(TRIM($I47),1)="A",LEFT(TRIM($I47),1)="B"))),IF(COUNTIF($Q47:$Y47,"?*")&gt;0,", ","")&amp;"respuesta A-B","")</f>
        <v/>
      </c>
      <c r="AA47">
        <f>IF(AND($A47="Respuesta A/B/Ambas/Ninguna",COUNTIF($D47:$G47,"?*")&lt;4),IF(COUNTIF($Q47:$Z47,"?*")&gt;0,", ","")&amp;"opciones A-D","")</f>
        <v/>
      </c>
      <c r="AB47">
        <f>IF(AND($A47="Respuesta A/B/Ambas/Ninguna",COUNTIF($H47:$H47,"?*")&gt;0),IF(COUNTIF($Q47:$AA47,"?*")&gt;0,", ","")&amp;"opcion E deshabilitada","")</f>
        <v/>
      </c>
      <c r="AC47">
        <f>IF(AND($A47="Respuesta A/B/Ambas/Ninguna",TRIM($I47)&lt;&gt;"",NOT(OR(LEFT(TRIM($I47),1)="A",LEFT(TRIM($I47),1)="B",LEFT(TRIM($I47),1)="C",LEFT(TRIM($I47),1)="D"))),IF(COUNTIF($Q47:$AB47,"?*")&gt;0,", ","")&amp;"respuesta A-D","")</f>
        <v/>
      </c>
      <c r="AD47">
        <f>IF(AND($A47="Verdadero o Falso Complejas",OR(LEN(TRIM(SUBSTITUTE($D47,"1.","")))=0,LEN(TRIM(SUBSTITUTE($E47,"2.","")))=0,LEN(TRIM(SUBSTITUTE($F47,"3.","")))=0,LEN(TRIM(SUBSTITUTE($G47,"4.","")))=0)),IF(COUNTIF($Q47:$AC47,"?*")&gt;0,", ","")&amp;"incisos 1-4","")</f>
        <v/>
      </c>
      <c r="AE47">
        <f>IF(AND($A47="Verdadero o Falso Complejas",COUNTIF($H47:$H47,"?*")&gt;0),IF(COUNTIF($Q47:$AD47,"?*")&gt;0,", ","")&amp;"opcion E deshabilitada","")</f>
        <v/>
      </c>
      <c r="AF47">
        <f>IF(AND($A47="Verdadero o Falso Complejas",TRIM($I47)&lt;&gt;"",NOT(OR(LEFT(TRIM($I47),1)="A",LEFT(TRIM($I47),1)="B",LEFT(TRIM($I47),1)="C",LEFT(TRIM($I47),1)="D",LEFT(TRIM($I47),1)="E"))),IF(COUNTIF($Q47:$AE47,"?*")&gt;0,", ","")&amp;"respuesta A-E","")</f>
        <v/>
      </c>
      <c r="AG47">
        <f>IF(AND(OR($A47="Selección de la mejor respuesta",$A47="Subítem de caso o problema"),COUNTA($D47:$H47)&lt;5),IF(COUNTIF($Q47:$AF47,"?*")&gt;0,", ","")&amp;"incisos A-E","")</f>
        <v/>
      </c>
      <c r="AH47">
        <f>IF(AND(OR($A47="Selección de la mejor respuesta",$A47="Subítem de caso o problema"),TRIM($I47)&lt;&gt;"",NOT(OR(LEFT(TRIM($I47),1)="A",LEFT(TRIM($I47),1)="B",LEFT(TRIM($I47),1)="C",LEFT(TRIM($I47),1)="D",LEFT(TRIM($I47),1)="E"))),IF(COUNTIF($Q47:$AG47,"?*")&gt;0,", ","")&amp;"respuesta A-E","")</f>
        <v/>
      </c>
      <c r="AI47">
        <f>IF(AND(OR($A47="Ítems agrupados por caso clínico o problema",$A47="Opción de Emparejamiento Ampliado"),COUNTIF($D47:$H47,"?*")&gt;0),IF(COUNTIF($Q47:$AH47,"?*")&gt;0,", ","")&amp;"sin incisos","")</f>
        <v/>
      </c>
      <c r="AJ47">
        <f>IF(AND($A47="Emparejamiento Ampliado",COUNTIF($D47:$H47,"?*")&lt;2),IF(COUNTIF($Q47:$AI47,"?*")&gt;0,", ","")&amp;"minimo 2 claves","")</f>
        <v/>
      </c>
      <c r="AK47">
        <f>IF(AND($A47="Opción de Emparejamiento Ampliado",NOT(OR(LEFT(TRIM($I47),1)="A",LEFT(TRIM($I47),1)="B",LEFT(TRIM($I47),1)="C",LEFT(TRIM($I47),1)="D",LEFT(TRIM($I47),1)="E"))),IF(COUNTIF($Q47:$AJ47,"?*")&gt;0,", ","")&amp;"respuesta A-E","")</f>
        <v/>
      </c>
      <c r="AL47">
        <f>IF(TRIM($K47)="",IF(COUNTIF($M47:$M47,"?*")&gt;0,", ","")&amp;"parcial","")</f>
        <v/>
      </c>
      <c r="AM47">
        <f>IF(AND(TRIM($K47)&lt;&gt;"",TRIM($K47)&lt;&gt;VALIDACIONES!$G$1),IF(COUNTIF($M47:$N47,"?*")&gt;0,", ","")&amp;"parcial distinto a "&amp;VALIDACIONES!$G$1,"")</f>
        <v/>
      </c>
      <c r="AN47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</row>
    <row r="48" ht="24" customHeight="1">
      <c r="A48" s="346" t="n"/>
      <c r="B48" s="346" t="n"/>
      <c r="C48" s="346" t="n"/>
      <c r="D48" s="346">
        <f>IF($A48="Verdadero o Falso Simple","Verdadero",IF($A48="Respuesta A/B/Ambas/Ninguna","A. Si la primera es verdadera",IF($A48="Verdadero o Falso Complejas","1. ","")))</f>
        <v/>
      </c>
      <c r="E48" s="346">
        <f>IF($A48="Verdadero o Falso Simple","Falso",IF($A48="Respuesta A/B/Ambas/Ninguna","B. Si la segunda es verdadera",IF($A48="Verdadero o Falso Complejas","2. ","")))</f>
        <v/>
      </c>
      <c r="F48" s="346">
        <f>IF($A48="Respuesta A/B/Ambas/Ninguna","C. Si ambas son verdaderas",IF($A48="Verdadero o Falso Complejas","3. ",""))</f>
        <v/>
      </c>
      <c r="G48" s="346">
        <f>IF($A48="Respuesta A/B/Ambas/Ninguna","D. Si ninguna es verdadera",IF($A48="Verdadero o Falso Complejas","4. ",""))</f>
        <v/>
      </c>
      <c r="H48" s="346">
        <f>IF($A48="Verdadero o Falso Simple","",IF($A48="Respuesta A/B/Ambas/Ninguna","",IF($A48="Verdadero o Falso Complejas","","")))</f>
        <v/>
      </c>
      <c r="I48" s="346" t="n"/>
      <c r="J48" s="346" t="n">
        <v>3</v>
      </c>
      <c r="K48" s="346" t="inlineStr">
        <is>
          <t>2P</t>
        </is>
      </c>
      <c r="L48" s="347">
        <f>IF(TRIM($A48)="","",IF(OR($A48="Selección de la mejor respuesta",$A48="SELECCION_MEJOR_RESPUESTA",$A48="Subítem de caso o problema",$A48="SUBITEM_CASO"),IF(TRIM($C48)="","Completar enunciado",IF(SUMPRODUCT(--(LEN(TRIM($D48:$H48&amp;""))&gt;0))&lt;5,"Completar opciones A-E",IF(AND(TRIM($I48)&lt;&gt;"",OR(LEFT(TRIM($I48),1)="A",LEFT(TRIM($I48),1)="B",LEFT(TRIM($I48),1)="C",LEFT(TRIM($I48),1)="D",LEFT(TRIM($I48),1)="E")),"OK","Completar respuesta correcta A-E"))),IF(TRIM($A48)="","",IF(COUNTIF($Q48:$AJ48,"?*")=0,"OK","Falta revisar: "&amp;$Q48&amp;$R48&amp;$S48&amp;$T48&amp;$U48&amp;$V48&amp;$W48&amp;$X48&amp;$Y48&amp;$Z48&amp;$AA48&amp;$AB48&amp;$AC48&amp;$AD48&amp;$AE48&amp;$AF48&amp;$AG48&amp;$AH48&amp;$AI48&amp;$AJ48))))</f>
        <v/>
      </c>
      <c r="M48" s="341" t="n"/>
      <c r="Q48">
        <f>IF(TRIM($C48)="","enunciado","")</f>
        <v/>
      </c>
      <c r="R48">
        <f>IF(TRIM($K48)="",IF(COUNTIF($Q48:$Q48,"?*")&gt;0,", ","")&amp;"parcial","")</f>
        <v/>
      </c>
      <c r="S48">
        <f>IF(AND(TRIM($K48)&lt;&gt;"",TRIM($K48)&lt;&gt;VALIDACIONES!$G$1),IF(COUNTIF($Q48:$R48,"?*")&gt;0,", ","")&amp;"parcial distinto a "&amp;VALIDACIONES!$G$1,"")</f>
        <v/>
      </c>
      <c r="T48">
        <f>IF(AND(OR($A48="Ítems agrupados por caso clínico o problema",$A48="Subítem de caso o problema",$A48="Emparejamiento Ampliado",$A48="Opción de Emparejamiento Ampliado"),TRIM($B48)=""),IF(COUNTIF($Q48:$S48,"?*")&gt;0,", ","")&amp;"grupo","")</f>
        <v/>
      </c>
      <c r="U48">
        <f>IF(AND(OR($A48="Verdadero o Falso Simple",$A48="Respuesta A/B/Ambas/Ninguna",$A48="Verdadero o Falso Complejas",$A48="Selección de la mejor respuesta",$A48="Subítem de caso o problema",$A48="Opción de Emparejamiento Ampliado"),TRIM($I48)=""),IF(COUNTIF($Q48:$T48,"?*")&gt;0,", ","")&amp;"respuesta_correcta","")</f>
        <v/>
      </c>
      <c r="V48">
        <f>IF(AND(OR($A48="Verdadero o Falso Simple",$A48="Respuesta A/B/Ambas/Ninguna",$A48="Verdadero o Falso Complejas",$A48="Selección de la mejor respuesta",$A48="Subítem de caso o problema",$A48="Opción de Emparejamiento Ampliado"),TRIM($J48)=""),IF(COUNTIF($Q48:$U48,"?*")&gt;0,", ","")&amp;"dificultad","")</f>
        <v/>
      </c>
      <c r="W48">
        <f>IF(AND(OR($A48="Ítems agrupados por caso clínico o problema",$A48="Emparejamiento Ampliado"),TRIM($I48)&lt;&gt;""),IF(COUNTIF($Q48:$V48,"?*")&gt;0,", ","")&amp;"respuesta debe ir vacia","")</f>
        <v/>
      </c>
      <c r="X48">
        <f>IF(AND(OR($A48="Ítems agrupados por caso clínico o problema",$A48="Emparejamiento Ampliado"),TRIM($J48)&lt;&gt;""),IF(COUNTIF($Q48:$W48,"?*")&gt;0,", ","")&amp;"dificultad debe ir vacia","")</f>
        <v/>
      </c>
      <c r="Y48">
        <f>IF(AND($A48="Verdadero o Falso Simple",OR(COUNTIF($D48:$E48,"?*")&lt;2,COUNTIF($F48:$H48,"?*")&gt;0)),IF(COUNTIF($Q48:$X48,"?*")&gt;0,", ","")&amp;"incisos A-B","")</f>
        <v/>
      </c>
      <c r="Z48">
        <f>IF(AND($A48="Verdadero o Falso Simple",TRIM($I48)&lt;&gt;"",NOT(OR(LEFT(TRIM($I48),1)="A",LEFT(TRIM($I48),1)="B"))),IF(COUNTIF($Q48:$Y48,"?*")&gt;0,", ","")&amp;"respuesta A-B","")</f>
        <v/>
      </c>
      <c r="AA48">
        <f>IF(AND($A48="Respuesta A/B/Ambas/Ninguna",COUNTIF($D48:$G48,"?*")&lt;4),IF(COUNTIF($Q48:$Z48,"?*")&gt;0,", ","")&amp;"opciones A-D","")</f>
        <v/>
      </c>
      <c r="AB48">
        <f>IF(AND($A48="Respuesta A/B/Ambas/Ninguna",COUNTIF($H48:$H48,"?*")&gt;0),IF(COUNTIF($Q48:$AA48,"?*")&gt;0,", ","")&amp;"opcion E deshabilitada","")</f>
        <v/>
      </c>
      <c r="AC48">
        <f>IF(AND($A48="Respuesta A/B/Ambas/Ninguna",TRIM($I48)&lt;&gt;"",NOT(OR(LEFT(TRIM($I48),1)="A",LEFT(TRIM($I48),1)="B",LEFT(TRIM($I48),1)="C",LEFT(TRIM($I48),1)="D"))),IF(COUNTIF($Q48:$AB48,"?*")&gt;0,", ","")&amp;"respuesta A-D","")</f>
        <v/>
      </c>
      <c r="AD48">
        <f>IF(AND($A48="Verdadero o Falso Complejas",OR(LEN(TRIM(SUBSTITUTE($D48,"1.","")))=0,LEN(TRIM(SUBSTITUTE($E48,"2.","")))=0,LEN(TRIM(SUBSTITUTE($F48,"3.","")))=0,LEN(TRIM(SUBSTITUTE($G48,"4.","")))=0)),IF(COUNTIF($Q48:$AC48,"?*")&gt;0,", ","")&amp;"incisos 1-4","")</f>
        <v/>
      </c>
      <c r="AE48">
        <f>IF(AND($A48="Verdadero o Falso Complejas",COUNTIF($H48:$H48,"?*")&gt;0),IF(COUNTIF($Q48:$AD48,"?*")&gt;0,", ","")&amp;"opcion E deshabilitada","")</f>
        <v/>
      </c>
      <c r="AF48">
        <f>IF(AND($A48="Verdadero o Falso Complejas",TRIM($I48)&lt;&gt;"",NOT(OR(LEFT(TRIM($I48),1)="A",LEFT(TRIM($I48),1)="B",LEFT(TRIM($I48),1)="C",LEFT(TRIM($I48),1)="D",LEFT(TRIM($I48),1)="E"))),IF(COUNTIF($Q48:$AE48,"?*")&gt;0,", ","")&amp;"respuesta A-E","")</f>
        <v/>
      </c>
      <c r="AG48">
        <f>IF(AND(OR($A48="Selección de la mejor respuesta",$A48="Subítem de caso o problema"),COUNTA($D48:$H48)&lt;5),IF(COUNTIF($Q48:$AF48,"?*")&gt;0,", ","")&amp;"incisos A-E","")</f>
        <v/>
      </c>
      <c r="AH48">
        <f>IF(AND(OR($A48="Selección de la mejor respuesta",$A48="Subítem de caso o problema"),TRIM($I48)&lt;&gt;"",NOT(OR(LEFT(TRIM($I48),1)="A",LEFT(TRIM($I48),1)="B",LEFT(TRIM($I48),1)="C",LEFT(TRIM($I48),1)="D",LEFT(TRIM($I48),1)="E"))),IF(COUNTIF($Q48:$AG48,"?*")&gt;0,", ","")&amp;"respuesta A-E","")</f>
        <v/>
      </c>
      <c r="AI48">
        <f>IF(AND(OR($A48="Ítems agrupados por caso clínico o problema",$A48="Opción de Emparejamiento Ampliado"),COUNTIF($D48:$H48,"?*")&gt;0),IF(COUNTIF($Q48:$AH48,"?*")&gt;0,", ","")&amp;"sin incisos","")</f>
        <v/>
      </c>
      <c r="AJ48">
        <f>IF(AND($A48="Emparejamiento Ampliado",COUNTIF($D48:$H48,"?*")&lt;2),IF(COUNTIF($Q48:$AI48,"?*")&gt;0,", ","")&amp;"minimo 2 claves","")</f>
        <v/>
      </c>
      <c r="AK48">
        <f>IF(AND($A48="Opción de Emparejamiento Ampliado",NOT(OR(LEFT(TRIM($I48),1)="A",LEFT(TRIM($I48),1)="B",LEFT(TRIM($I48),1)="C",LEFT(TRIM($I48),1)="D",LEFT(TRIM($I48),1)="E"))),IF(COUNTIF($Q48:$AJ48,"?*")&gt;0,", ","")&amp;"respuesta A-E","")</f>
        <v/>
      </c>
      <c r="AL48">
        <f>IF(TRIM($K48)="",IF(COUNTIF($M48:$M48,"?*")&gt;0,", ","")&amp;"parcial","")</f>
        <v/>
      </c>
      <c r="AM48">
        <f>IF(AND(TRIM($K48)&lt;&gt;"",TRIM($K48)&lt;&gt;VALIDACIONES!$G$1),IF(COUNTIF($M48:$N48,"?*")&gt;0,", ","")&amp;"parcial distinto a "&amp;VALIDACIONES!$G$1,"")</f>
        <v/>
      </c>
      <c r="AN48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</row>
    <row r="49" ht="24" customHeight="1">
      <c r="A49" s="346" t="n"/>
      <c r="B49" s="346" t="n"/>
      <c r="C49" s="346" t="n"/>
      <c r="D49" s="346">
        <f>IF($A49="Verdadero o Falso Simple","Verdadero",IF($A49="Respuesta A/B/Ambas/Ninguna","A. Si la primera es verdadera",IF($A49="Verdadero o Falso Complejas","1. ","")))</f>
        <v/>
      </c>
      <c r="E49" s="346">
        <f>IF($A49="Verdadero o Falso Simple","Falso",IF($A49="Respuesta A/B/Ambas/Ninguna","B. Si la segunda es verdadera",IF($A49="Verdadero o Falso Complejas","2. ","")))</f>
        <v/>
      </c>
      <c r="F49" s="346">
        <f>IF($A49="Respuesta A/B/Ambas/Ninguna","C. Si ambas son verdaderas",IF($A49="Verdadero o Falso Complejas","3. ",""))</f>
        <v/>
      </c>
      <c r="G49" s="346">
        <f>IF($A49="Respuesta A/B/Ambas/Ninguna","D. Si ninguna es verdadera",IF($A49="Verdadero o Falso Complejas","4. ",""))</f>
        <v/>
      </c>
      <c r="H49" s="346">
        <f>IF($A49="Verdadero o Falso Simple","",IF($A49="Respuesta A/B/Ambas/Ninguna","",IF($A49="Verdadero o Falso Complejas","","")))</f>
        <v/>
      </c>
      <c r="I49" s="346" t="n"/>
      <c r="J49" s="346" t="n">
        <v>3</v>
      </c>
      <c r="K49" s="346" t="inlineStr">
        <is>
          <t>2P</t>
        </is>
      </c>
      <c r="L49" s="347">
        <f>IF(TRIM($A49)="","",IF(OR($A49="Selección de la mejor respuesta",$A49="SELECCION_MEJOR_RESPUESTA",$A49="Subítem de caso o problema",$A49="SUBITEM_CASO"),IF(TRIM($C49)="","Completar enunciado",IF(SUMPRODUCT(--(LEN(TRIM($D49:$H49&amp;""))&gt;0))&lt;5,"Completar opciones A-E",IF(AND(TRIM($I49)&lt;&gt;"",OR(LEFT(TRIM($I49),1)="A",LEFT(TRIM($I49),1)="B",LEFT(TRIM($I49),1)="C",LEFT(TRIM($I49),1)="D",LEFT(TRIM($I49),1)="E")),"OK","Completar respuesta correcta A-E"))),IF(TRIM($A49)="","",IF(COUNTIF($Q49:$AJ49,"?*")=0,"OK","Falta revisar: "&amp;$Q49&amp;$R49&amp;$S49&amp;$T49&amp;$U49&amp;$V49&amp;$W49&amp;$X49&amp;$Y49&amp;$Z49&amp;$AA49&amp;$AB49&amp;$AC49&amp;$AD49&amp;$AE49&amp;$AF49&amp;$AG49&amp;$AH49&amp;$AI49&amp;$AJ49))))</f>
        <v/>
      </c>
      <c r="M49" s="341" t="n"/>
      <c r="Q49">
        <f>IF(TRIM($C49)="","enunciado","")</f>
        <v/>
      </c>
      <c r="R49">
        <f>IF(TRIM($K49)="",IF(COUNTIF($Q49:$Q49,"?*")&gt;0,", ","")&amp;"parcial","")</f>
        <v/>
      </c>
      <c r="S49">
        <f>IF(AND(TRIM($K49)&lt;&gt;"",TRIM($K49)&lt;&gt;VALIDACIONES!$G$1),IF(COUNTIF($Q49:$R49,"?*")&gt;0,", ","")&amp;"parcial distinto a "&amp;VALIDACIONES!$G$1,"")</f>
        <v/>
      </c>
      <c r="T49">
        <f>IF(AND(OR($A49="Ítems agrupados por caso clínico o problema",$A49="Subítem de caso o problema",$A49="Emparejamiento Ampliado",$A49="Opción de Emparejamiento Ampliado"),TRIM($B49)=""),IF(COUNTIF($Q49:$S49,"?*")&gt;0,", ","")&amp;"grupo","")</f>
        <v/>
      </c>
      <c r="U49">
        <f>IF(AND(OR($A49="Verdadero o Falso Simple",$A49="Respuesta A/B/Ambas/Ninguna",$A49="Verdadero o Falso Complejas",$A49="Selección de la mejor respuesta",$A49="Subítem de caso o problema",$A49="Opción de Emparejamiento Ampliado"),TRIM($I49)=""),IF(COUNTIF($Q49:$T49,"?*")&gt;0,", ","")&amp;"respuesta_correcta","")</f>
        <v/>
      </c>
      <c r="V49">
        <f>IF(AND(OR($A49="Verdadero o Falso Simple",$A49="Respuesta A/B/Ambas/Ninguna",$A49="Verdadero o Falso Complejas",$A49="Selección de la mejor respuesta",$A49="Subítem de caso o problema",$A49="Opción de Emparejamiento Ampliado"),TRIM($J49)=""),IF(COUNTIF($Q49:$U49,"?*")&gt;0,", ","")&amp;"dificultad","")</f>
        <v/>
      </c>
      <c r="W49">
        <f>IF(AND(OR($A49="Ítems agrupados por caso clínico o problema",$A49="Emparejamiento Ampliado"),TRIM($I49)&lt;&gt;""),IF(COUNTIF($Q49:$V49,"?*")&gt;0,", ","")&amp;"respuesta debe ir vacia","")</f>
        <v/>
      </c>
      <c r="X49">
        <f>IF(AND(OR($A49="Ítems agrupados por caso clínico o problema",$A49="Emparejamiento Ampliado"),TRIM($J49)&lt;&gt;""),IF(COUNTIF($Q49:$W49,"?*")&gt;0,", ","")&amp;"dificultad debe ir vacia","")</f>
        <v/>
      </c>
      <c r="Y49">
        <f>IF(AND($A49="Verdadero o Falso Simple",OR(COUNTIF($D49:$E49,"?*")&lt;2,COUNTIF($F49:$H49,"?*")&gt;0)),IF(COUNTIF($Q49:$X49,"?*")&gt;0,", ","")&amp;"incisos A-B","")</f>
        <v/>
      </c>
      <c r="Z49">
        <f>IF(AND($A49="Verdadero o Falso Simple",TRIM($I49)&lt;&gt;"",NOT(OR(LEFT(TRIM($I49),1)="A",LEFT(TRIM($I49),1)="B"))),IF(COUNTIF($Q49:$Y49,"?*")&gt;0,", ","")&amp;"respuesta A-B","")</f>
        <v/>
      </c>
      <c r="AA49">
        <f>IF(AND($A49="Respuesta A/B/Ambas/Ninguna",COUNTIF($D49:$G49,"?*")&lt;4),IF(COUNTIF($Q49:$Z49,"?*")&gt;0,", ","")&amp;"opciones A-D","")</f>
        <v/>
      </c>
      <c r="AB49">
        <f>IF(AND($A49="Respuesta A/B/Ambas/Ninguna",COUNTIF($H49:$H49,"?*")&gt;0),IF(COUNTIF($Q49:$AA49,"?*")&gt;0,", ","")&amp;"opcion E deshabilitada","")</f>
        <v/>
      </c>
      <c r="AC49">
        <f>IF(AND($A49="Respuesta A/B/Ambas/Ninguna",TRIM($I49)&lt;&gt;"",NOT(OR(LEFT(TRIM($I49),1)="A",LEFT(TRIM($I49),1)="B",LEFT(TRIM($I49),1)="C",LEFT(TRIM($I49),1)="D"))),IF(COUNTIF($Q49:$AB49,"?*")&gt;0,", ","")&amp;"respuesta A-D","")</f>
        <v/>
      </c>
      <c r="AD49">
        <f>IF(AND($A49="Verdadero o Falso Complejas",OR(LEN(TRIM(SUBSTITUTE($D49,"1.","")))=0,LEN(TRIM(SUBSTITUTE($E49,"2.","")))=0,LEN(TRIM(SUBSTITUTE($F49,"3.","")))=0,LEN(TRIM(SUBSTITUTE($G49,"4.","")))=0)),IF(COUNTIF($Q49:$AC49,"?*")&gt;0,", ","")&amp;"incisos 1-4","")</f>
        <v/>
      </c>
      <c r="AE49">
        <f>IF(AND($A49="Verdadero o Falso Complejas",COUNTIF($H49:$H49,"?*")&gt;0),IF(COUNTIF($Q49:$AD49,"?*")&gt;0,", ","")&amp;"opcion E deshabilitada","")</f>
        <v/>
      </c>
      <c r="AF49">
        <f>IF(AND($A49="Verdadero o Falso Complejas",TRIM($I49)&lt;&gt;"",NOT(OR(LEFT(TRIM($I49),1)="A",LEFT(TRIM($I49),1)="B",LEFT(TRIM($I49),1)="C",LEFT(TRIM($I49),1)="D",LEFT(TRIM($I49),1)="E"))),IF(COUNTIF($Q49:$AE49,"?*")&gt;0,", ","")&amp;"respuesta A-E","")</f>
        <v/>
      </c>
      <c r="AG49">
        <f>IF(AND(OR($A49="Selección de la mejor respuesta",$A49="Subítem de caso o problema"),COUNTA($D49:$H49)&lt;5),IF(COUNTIF($Q49:$AF49,"?*")&gt;0,", ","")&amp;"incisos A-E","")</f>
        <v/>
      </c>
      <c r="AH49">
        <f>IF(AND(OR($A49="Selección de la mejor respuesta",$A49="Subítem de caso o problema"),TRIM($I49)&lt;&gt;"",NOT(OR(LEFT(TRIM($I49),1)="A",LEFT(TRIM($I49),1)="B",LEFT(TRIM($I49),1)="C",LEFT(TRIM($I49),1)="D",LEFT(TRIM($I49),1)="E"))),IF(COUNTIF($Q49:$AG49,"?*")&gt;0,", ","")&amp;"respuesta A-E","")</f>
        <v/>
      </c>
      <c r="AI49">
        <f>IF(AND(OR($A49="Ítems agrupados por caso clínico o problema",$A49="Opción de Emparejamiento Ampliado"),COUNTIF($D49:$H49,"?*")&gt;0),IF(COUNTIF($Q49:$AH49,"?*")&gt;0,", ","")&amp;"sin incisos","")</f>
        <v/>
      </c>
      <c r="AJ49">
        <f>IF(AND($A49="Emparejamiento Ampliado",COUNTIF($D49:$H49,"?*")&lt;2),IF(COUNTIF($Q49:$AI49,"?*")&gt;0,", ","")&amp;"minimo 2 claves","")</f>
        <v/>
      </c>
      <c r="AK49">
        <f>IF(AND($A49="Opción de Emparejamiento Ampliado",NOT(OR(LEFT(TRIM($I49),1)="A",LEFT(TRIM($I49),1)="B",LEFT(TRIM($I49),1)="C",LEFT(TRIM($I49),1)="D",LEFT(TRIM($I49),1)="E"))),IF(COUNTIF($Q49:$AJ49,"?*")&gt;0,", ","")&amp;"respuesta A-E","")</f>
        <v/>
      </c>
      <c r="AL49">
        <f>IF(TRIM($K49)="",IF(COUNTIF($M49:$M49,"?*")&gt;0,", ","")&amp;"parcial","")</f>
        <v/>
      </c>
      <c r="AM49">
        <f>IF(AND(TRIM($K49)&lt;&gt;"",TRIM($K49)&lt;&gt;VALIDACIONES!$G$1),IF(COUNTIF($M49:$N49,"?*")&gt;0,", ","")&amp;"parcial distinto a "&amp;VALIDACIONES!$G$1,"")</f>
        <v/>
      </c>
      <c r="AN49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</row>
    <row r="50" ht="24" customHeight="1">
      <c r="A50" s="346" t="n"/>
      <c r="B50" s="346" t="n"/>
      <c r="C50" s="346" t="n"/>
      <c r="D50" s="346">
        <f>IF($A50="Verdadero o Falso Simple","Verdadero",IF($A50="Respuesta A/B/Ambas/Ninguna","A. Si la primera es verdadera",IF($A50="Verdadero o Falso Complejas","1. ","")))</f>
        <v/>
      </c>
      <c r="E50" s="346">
        <f>IF($A50="Verdadero o Falso Simple","Falso",IF($A50="Respuesta A/B/Ambas/Ninguna","B. Si la segunda es verdadera",IF($A50="Verdadero o Falso Complejas","2. ","")))</f>
        <v/>
      </c>
      <c r="F50" s="346">
        <f>IF($A50="Respuesta A/B/Ambas/Ninguna","C. Si ambas son verdaderas",IF($A50="Verdadero o Falso Complejas","3. ",""))</f>
        <v/>
      </c>
      <c r="G50" s="346">
        <f>IF($A50="Respuesta A/B/Ambas/Ninguna","D. Si ninguna es verdadera",IF($A50="Verdadero o Falso Complejas","4. ",""))</f>
        <v/>
      </c>
      <c r="H50" s="346">
        <f>IF($A50="Verdadero o Falso Simple","",IF($A50="Respuesta A/B/Ambas/Ninguna","",IF($A50="Verdadero o Falso Complejas","","")))</f>
        <v/>
      </c>
      <c r="I50" s="346" t="n"/>
      <c r="J50" s="346" t="n">
        <v>3</v>
      </c>
      <c r="K50" s="346" t="inlineStr">
        <is>
          <t>2P</t>
        </is>
      </c>
      <c r="L50" s="347">
        <f>IF(TRIM($A50)="","",IF(OR($A50="Selección de la mejor respuesta",$A50="SELECCION_MEJOR_RESPUESTA",$A50="Subítem de caso o problema",$A50="SUBITEM_CASO"),IF(TRIM($C50)="","Completar enunciado",IF(SUMPRODUCT(--(LEN(TRIM($D50:$H50&amp;""))&gt;0))&lt;5,"Completar opciones A-E",IF(AND(TRIM($I50)&lt;&gt;"",OR(LEFT(TRIM($I50),1)="A",LEFT(TRIM($I50),1)="B",LEFT(TRIM($I50),1)="C",LEFT(TRIM($I50),1)="D",LEFT(TRIM($I50),1)="E")),"OK","Completar respuesta correcta A-E"))),IF(TRIM($A50)="","",IF(COUNTIF($Q50:$AJ50,"?*")=0,"OK","Falta revisar: "&amp;$Q50&amp;$R50&amp;$S50&amp;$T50&amp;$U50&amp;$V50&amp;$W50&amp;$X50&amp;$Y50&amp;$Z50&amp;$AA50&amp;$AB50&amp;$AC50&amp;$AD50&amp;$AE50&amp;$AF50&amp;$AG50&amp;$AH50&amp;$AI50&amp;$AJ50))))</f>
        <v/>
      </c>
      <c r="M50" s="341" t="n"/>
      <c r="Q50">
        <f>IF(TRIM($C50)="","enunciado","")</f>
        <v/>
      </c>
      <c r="R50">
        <f>IF(TRIM($K50)="",IF(COUNTIF($Q50:$Q50,"?*")&gt;0,", ","")&amp;"parcial","")</f>
        <v/>
      </c>
      <c r="S50">
        <f>IF(AND(TRIM($K50)&lt;&gt;"",TRIM($K50)&lt;&gt;VALIDACIONES!$G$1),IF(COUNTIF($Q50:$R50,"?*")&gt;0,", ","")&amp;"parcial distinto a "&amp;VALIDACIONES!$G$1,"")</f>
        <v/>
      </c>
      <c r="T50">
        <f>IF(AND(OR($A50="Ítems agrupados por caso clínico o problema",$A50="Subítem de caso o problema",$A50="Emparejamiento Ampliado",$A50="Opción de Emparejamiento Ampliado"),TRIM($B50)=""),IF(COUNTIF($Q50:$S50,"?*")&gt;0,", ","")&amp;"grupo","")</f>
        <v/>
      </c>
      <c r="U50">
        <f>IF(AND(OR($A50="Verdadero o Falso Simple",$A50="Respuesta A/B/Ambas/Ninguna",$A50="Verdadero o Falso Complejas",$A50="Selección de la mejor respuesta",$A50="Subítem de caso o problema",$A50="Opción de Emparejamiento Ampliado"),TRIM($I50)=""),IF(COUNTIF($Q50:$T50,"?*")&gt;0,", ","")&amp;"respuesta_correcta","")</f>
        <v/>
      </c>
      <c r="V50">
        <f>IF(AND(OR($A50="Verdadero o Falso Simple",$A50="Respuesta A/B/Ambas/Ninguna",$A50="Verdadero o Falso Complejas",$A50="Selección de la mejor respuesta",$A50="Subítem de caso o problema",$A50="Opción de Emparejamiento Ampliado"),TRIM($J50)=""),IF(COUNTIF($Q50:$U50,"?*")&gt;0,", ","")&amp;"dificultad","")</f>
        <v/>
      </c>
      <c r="W50">
        <f>IF(AND(OR($A50="Ítems agrupados por caso clínico o problema",$A50="Emparejamiento Ampliado"),TRIM($I50)&lt;&gt;""),IF(COUNTIF($Q50:$V50,"?*")&gt;0,", ","")&amp;"respuesta debe ir vacia","")</f>
        <v/>
      </c>
      <c r="X50">
        <f>IF(AND(OR($A50="Ítems agrupados por caso clínico o problema",$A50="Emparejamiento Ampliado"),TRIM($J50)&lt;&gt;""),IF(COUNTIF($Q50:$W50,"?*")&gt;0,", ","")&amp;"dificultad debe ir vacia","")</f>
        <v/>
      </c>
      <c r="Y50">
        <f>IF(AND($A50="Verdadero o Falso Simple",OR(COUNTIF($D50:$E50,"?*")&lt;2,COUNTIF($F50:$H50,"?*")&gt;0)),IF(COUNTIF($Q50:$X50,"?*")&gt;0,", ","")&amp;"incisos A-B","")</f>
        <v/>
      </c>
      <c r="Z50">
        <f>IF(AND($A50="Verdadero o Falso Simple",TRIM($I50)&lt;&gt;"",NOT(OR(LEFT(TRIM($I50),1)="A",LEFT(TRIM($I50),1)="B"))),IF(COUNTIF($Q50:$Y50,"?*")&gt;0,", ","")&amp;"respuesta A-B","")</f>
        <v/>
      </c>
      <c r="AA50">
        <f>IF(AND($A50="Respuesta A/B/Ambas/Ninguna",COUNTIF($D50:$G50,"?*")&lt;4),IF(COUNTIF($Q50:$Z50,"?*")&gt;0,", ","")&amp;"opciones A-D","")</f>
        <v/>
      </c>
      <c r="AB50">
        <f>IF(AND($A50="Respuesta A/B/Ambas/Ninguna",COUNTIF($H50:$H50,"?*")&gt;0),IF(COUNTIF($Q50:$AA50,"?*")&gt;0,", ","")&amp;"opcion E deshabilitada","")</f>
        <v/>
      </c>
      <c r="AC50">
        <f>IF(AND($A50="Respuesta A/B/Ambas/Ninguna",TRIM($I50)&lt;&gt;"",NOT(OR(LEFT(TRIM($I50),1)="A",LEFT(TRIM($I50),1)="B",LEFT(TRIM($I50),1)="C",LEFT(TRIM($I50),1)="D"))),IF(COUNTIF($Q50:$AB50,"?*")&gt;0,", ","")&amp;"respuesta A-D","")</f>
        <v/>
      </c>
      <c r="AD50">
        <f>IF(AND($A50="Verdadero o Falso Complejas",OR(LEN(TRIM(SUBSTITUTE($D50,"1.","")))=0,LEN(TRIM(SUBSTITUTE($E50,"2.","")))=0,LEN(TRIM(SUBSTITUTE($F50,"3.","")))=0,LEN(TRIM(SUBSTITUTE($G50,"4.","")))=0)),IF(COUNTIF($Q50:$AC50,"?*")&gt;0,", ","")&amp;"incisos 1-4","")</f>
        <v/>
      </c>
      <c r="AE50">
        <f>IF(AND($A50="Verdadero o Falso Complejas",COUNTIF($H50:$H50,"?*")&gt;0),IF(COUNTIF($Q50:$AD50,"?*")&gt;0,", ","")&amp;"opcion E deshabilitada","")</f>
        <v/>
      </c>
      <c r="AF50">
        <f>IF(AND($A50="Verdadero o Falso Complejas",TRIM($I50)&lt;&gt;"",NOT(OR(LEFT(TRIM($I50),1)="A",LEFT(TRIM($I50),1)="B",LEFT(TRIM($I50),1)="C",LEFT(TRIM($I50),1)="D",LEFT(TRIM($I50),1)="E"))),IF(COUNTIF($Q50:$AE50,"?*")&gt;0,", ","")&amp;"respuesta A-E","")</f>
        <v/>
      </c>
      <c r="AG50">
        <f>IF(AND(OR($A50="Selección de la mejor respuesta",$A50="Subítem de caso o problema"),COUNTA($D50:$H50)&lt;5),IF(COUNTIF($Q50:$AF50,"?*")&gt;0,", ","")&amp;"incisos A-E","")</f>
        <v/>
      </c>
      <c r="AH50">
        <f>IF(AND(OR($A50="Selección de la mejor respuesta",$A50="Subítem de caso o problema"),TRIM($I50)&lt;&gt;"",NOT(OR(LEFT(TRIM($I50),1)="A",LEFT(TRIM($I50),1)="B",LEFT(TRIM($I50),1)="C",LEFT(TRIM($I50),1)="D",LEFT(TRIM($I50),1)="E"))),IF(COUNTIF($Q50:$AG50,"?*")&gt;0,", ","")&amp;"respuesta A-E","")</f>
        <v/>
      </c>
      <c r="AI50">
        <f>IF(AND(OR($A50="Ítems agrupados por caso clínico o problema",$A50="Opción de Emparejamiento Ampliado"),COUNTIF($D50:$H50,"?*")&gt;0),IF(COUNTIF($Q50:$AH50,"?*")&gt;0,", ","")&amp;"sin incisos","")</f>
        <v/>
      </c>
      <c r="AJ50">
        <f>IF(AND($A50="Emparejamiento Ampliado",COUNTIF($D50:$H50,"?*")&lt;2),IF(COUNTIF($Q50:$AI50,"?*")&gt;0,", ","")&amp;"minimo 2 claves","")</f>
        <v/>
      </c>
      <c r="AK50">
        <f>IF(AND($A50="Opción de Emparejamiento Ampliado",NOT(OR(LEFT(TRIM($I50),1)="A",LEFT(TRIM($I50),1)="B",LEFT(TRIM($I50),1)="C",LEFT(TRIM($I50),1)="D",LEFT(TRIM($I50),1)="E"))),IF(COUNTIF($Q50:$AJ50,"?*")&gt;0,", ","")&amp;"respuesta A-E","")</f>
        <v/>
      </c>
      <c r="AL50">
        <f>IF(TRIM($K50)="",IF(COUNTIF($M50:$M50,"?*")&gt;0,", ","")&amp;"parcial","")</f>
        <v/>
      </c>
      <c r="AM50">
        <f>IF(AND(TRIM($K50)&lt;&gt;"",TRIM($K50)&lt;&gt;VALIDACIONES!$G$1),IF(COUNTIF($M50:$N50,"?*")&gt;0,", ","")&amp;"parcial distinto a "&amp;VALIDACIONES!$G$1,"")</f>
        <v/>
      </c>
      <c r="AN50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</row>
    <row r="51" ht="24" customHeight="1">
      <c r="A51" s="346" t="n"/>
      <c r="B51" s="346" t="n"/>
      <c r="C51" s="346" t="n"/>
      <c r="D51" s="346">
        <f>IF($A51="Verdadero o Falso Simple","Verdadero",IF($A51="Respuesta A/B/Ambas/Ninguna","A. Si la primera es verdadera",IF($A51="Verdadero o Falso Complejas","1. ","")))</f>
        <v/>
      </c>
      <c r="E51" s="346">
        <f>IF($A51="Verdadero o Falso Simple","Falso",IF($A51="Respuesta A/B/Ambas/Ninguna","B. Si la segunda es verdadera",IF($A51="Verdadero o Falso Complejas","2. ","")))</f>
        <v/>
      </c>
      <c r="F51" s="346">
        <f>IF($A51="Respuesta A/B/Ambas/Ninguna","C. Si ambas son verdaderas",IF($A51="Verdadero o Falso Complejas","3. ",""))</f>
        <v/>
      </c>
      <c r="G51" s="346">
        <f>IF($A51="Respuesta A/B/Ambas/Ninguna","D. Si ninguna es verdadera",IF($A51="Verdadero o Falso Complejas","4. ",""))</f>
        <v/>
      </c>
      <c r="H51" s="346">
        <f>IF($A51="Verdadero o Falso Simple","",IF($A51="Respuesta A/B/Ambas/Ninguna","",IF($A51="Verdadero o Falso Complejas","","")))</f>
        <v/>
      </c>
      <c r="I51" s="346" t="n"/>
      <c r="J51" s="346" t="n">
        <v>3</v>
      </c>
      <c r="K51" s="346" t="inlineStr">
        <is>
          <t>2P</t>
        </is>
      </c>
      <c r="L51" s="347">
        <f>IF(TRIM($A51)="","",IF(OR($A51="Selección de la mejor respuesta",$A51="SELECCION_MEJOR_RESPUESTA",$A51="Subítem de caso o problema",$A51="SUBITEM_CASO"),IF(TRIM($C51)="","Completar enunciado",IF(SUMPRODUCT(--(LEN(TRIM($D51:$H51&amp;""))&gt;0))&lt;5,"Completar opciones A-E",IF(AND(TRIM($I51)&lt;&gt;"",OR(LEFT(TRIM($I51),1)="A",LEFT(TRIM($I51),1)="B",LEFT(TRIM($I51),1)="C",LEFT(TRIM($I51),1)="D",LEFT(TRIM($I51),1)="E")),"OK","Completar respuesta correcta A-E"))),IF(TRIM($A51)="","",IF(COUNTIF($Q51:$AJ51,"?*")=0,"OK","Falta revisar: "&amp;$Q51&amp;$R51&amp;$S51&amp;$T51&amp;$U51&amp;$V51&amp;$W51&amp;$X51&amp;$Y51&amp;$Z51&amp;$AA51&amp;$AB51&amp;$AC51&amp;$AD51&amp;$AE51&amp;$AF51&amp;$AG51&amp;$AH51&amp;$AI51&amp;$AJ51))))</f>
        <v/>
      </c>
      <c r="M51" s="341" t="n"/>
      <c r="Q51">
        <f>IF(TRIM($C51)="","enunciado","")</f>
        <v/>
      </c>
      <c r="R51">
        <f>IF(TRIM($K51)="",IF(COUNTIF($Q51:$Q51,"?*")&gt;0,", ","")&amp;"parcial","")</f>
        <v/>
      </c>
      <c r="S51">
        <f>IF(AND(TRIM($K51)&lt;&gt;"",TRIM($K51)&lt;&gt;VALIDACIONES!$G$1),IF(COUNTIF($Q51:$R51,"?*")&gt;0,", ","")&amp;"parcial distinto a "&amp;VALIDACIONES!$G$1,"")</f>
        <v/>
      </c>
      <c r="T51">
        <f>IF(AND(OR($A51="Ítems agrupados por caso clínico o problema",$A51="Subítem de caso o problema",$A51="Emparejamiento Ampliado",$A51="Opción de Emparejamiento Ampliado"),TRIM($B51)=""),IF(COUNTIF($Q51:$S51,"?*")&gt;0,", ","")&amp;"grupo","")</f>
        <v/>
      </c>
      <c r="U51">
        <f>IF(AND(OR($A51="Verdadero o Falso Simple",$A51="Respuesta A/B/Ambas/Ninguna",$A51="Verdadero o Falso Complejas",$A51="Selección de la mejor respuesta",$A51="Subítem de caso o problema",$A51="Opción de Emparejamiento Ampliado"),TRIM($I51)=""),IF(COUNTIF($Q51:$T51,"?*")&gt;0,", ","")&amp;"respuesta_correcta","")</f>
        <v/>
      </c>
      <c r="V51">
        <f>IF(AND(OR($A51="Verdadero o Falso Simple",$A51="Respuesta A/B/Ambas/Ninguna",$A51="Verdadero o Falso Complejas",$A51="Selección de la mejor respuesta",$A51="Subítem de caso o problema",$A51="Opción de Emparejamiento Ampliado"),TRIM($J51)=""),IF(COUNTIF($Q51:$U51,"?*")&gt;0,", ","")&amp;"dificultad","")</f>
        <v/>
      </c>
      <c r="W51">
        <f>IF(AND(OR($A51="Ítems agrupados por caso clínico o problema",$A51="Emparejamiento Ampliado"),TRIM($I51)&lt;&gt;""),IF(COUNTIF($Q51:$V51,"?*")&gt;0,", ","")&amp;"respuesta debe ir vacia","")</f>
        <v/>
      </c>
      <c r="X51">
        <f>IF(AND(OR($A51="Ítems agrupados por caso clínico o problema",$A51="Emparejamiento Ampliado"),TRIM($J51)&lt;&gt;""),IF(COUNTIF($Q51:$W51,"?*")&gt;0,", ","")&amp;"dificultad debe ir vacia","")</f>
        <v/>
      </c>
      <c r="Y51">
        <f>IF(AND($A51="Verdadero o Falso Simple",OR(COUNTIF($D51:$E51,"?*")&lt;2,COUNTIF($F51:$H51,"?*")&gt;0)),IF(COUNTIF($Q51:$X51,"?*")&gt;0,", ","")&amp;"incisos A-B","")</f>
        <v/>
      </c>
      <c r="Z51">
        <f>IF(AND($A51="Verdadero o Falso Simple",TRIM($I51)&lt;&gt;"",NOT(OR(LEFT(TRIM($I51),1)="A",LEFT(TRIM($I51),1)="B"))),IF(COUNTIF($Q51:$Y51,"?*")&gt;0,", ","")&amp;"respuesta A-B","")</f>
        <v/>
      </c>
      <c r="AA51">
        <f>IF(AND($A51="Respuesta A/B/Ambas/Ninguna",COUNTIF($D51:$G51,"?*")&lt;4),IF(COUNTIF($Q51:$Z51,"?*")&gt;0,", ","")&amp;"opciones A-D","")</f>
        <v/>
      </c>
      <c r="AB51">
        <f>IF(AND($A51="Respuesta A/B/Ambas/Ninguna",COUNTIF($H51:$H51,"?*")&gt;0),IF(COUNTIF($Q51:$AA51,"?*")&gt;0,", ","")&amp;"opcion E deshabilitada","")</f>
        <v/>
      </c>
      <c r="AC51">
        <f>IF(AND($A51="Respuesta A/B/Ambas/Ninguna",TRIM($I51)&lt;&gt;"",NOT(OR(LEFT(TRIM($I51),1)="A",LEFT(TRIM($I51),1)="B",LEFT(TRIM($I51),1)="C",LEFT(TRIM($I51),1)="D"))),IF(COUNTIF($Q51:$AB51,"?*")&gt;0,", ","")&amp;"respuesta A-D","")</f>
        <v/>
      </c>
      <c r="AD51">
        <f>IF(AND($A51="Verdadero o Falso Complejas",OR(LEN(TRIM(SUBSTITUTE($D51,"1.","")))=0,LEN(TRIM(SUBSTITUTE($E51,"2.","")))=0,LEN(TRIM(SUBSTITUTE($F51,"3.","")))=0,LEN(TRIM(SUBSTITUTE($G51,"4.","")))=0)),IF(COUNTIF($Q51:$AC51,"?*")&gt;0,", ","")&amp;"incisos 1-4","")</f>
        <v/>
      </c>
      <c r="AE51">
        <f>IF(AND($A51="Verdadero o Falso Complejas",COUNTIF($H51:$H51,"?*")&gt;0),IF(COUNTIF($Q51:$AD51,"?*")&gt;0,", ","")&amp;"opcion E deshabilitada","")</f>
        <v/>
      </c>
      <c r="AF51">
        <f>IF(AND($A51="Verdadero o Falso Complejas",TRIM($I51)&lt;&gt;"",NOT(OR(LEFT(TRIM($I51),1)="A",LEFT(TRIM($I51),1)="B",LEFT(TRIM($I51),1)="C",LEFT(TRIM($I51),1)="D",LEFT(TRIM($I51),1)="E"))),IF(COUNTIF($Q51:$AE51,"?*")&gt;0,", ","")&amp;"respuesta A-E","")</f>
        <v/>
      </c>
      <c r="AG51">
        <f>IF(AND(OR($A51="Selección de la mejor respuesta",$A51="Subítem de caso o problema"),COUNTA($D51:$H51)&lt;5),IF(COUNTIF($Q51:$AF51,"?*")&gt;0,", ","")&amp;"incisos A-E","")</f>
        <v/>
      </c>
      <c r="AH51">
        <f>IF(AND(OR($A51="Selección de la mejor respuesta",$A51="Subítem de caso o problema"),TRIM($I51)&lt;&gt;"",NOT(OR(LEFT(TRIM($I51),1)="A",LEFT(TRIM($I51),1)="B",LEFT(TRIM($I51),1)="C",LEFT(TRIM($I51),1)="D",LEFT(TRIM($I51),1)="E"))),IF(COUNTIF($Q51:$AG51,"?*")&gt;0,", ","")&amp;"respuesta A-E","")</f>
        <v/>
      </c>
      <c r="AI51">
        <f>IF(AND(OR($A51="Ítems agrupados por caso clínico o problema",$A51="Opción de Emparejamiento Ampliado"),COUNTIF($D51:$H51,"?*")&gt;0),IF(COUNTIF($Q51:$AH51,"?*")&gt;0,", ","")&amp;"sin incisos","")</f>
        <v/>
      </c>
      <c r="AJ51">
        <f>IF(AND($A51="Emparejamiento Ampliado",COUNTIF($D51:$H51,"?*")&lt;2),IF(COUNTIF($Q51:$AI51,"?*")&gt;0,", ","")&amp;"minimo 2 claves","")</f>
        <v/>
      </c>
      <c r="AK51">
        <f>IF(AND($A51="Opción de Emparejamiento Ampliado",NOT(OR(LEFT(TRIM($I51),1)="A",LEFT(TRIM($I51),1)="B",LEFT(TRIM($I51),1)="C",LEFT(TRIM($I51),1)="D",LEFT(TRIM($I51),1)="E"))),IF(COUNTIF($Q51:$AJ51,"?*")&gt;0,", ","")&amp;"respuesta A-E","")</f>
        <v/>
      </c>
      <c r="AL51">
        <f>IF(TRIM($K51)="",IF(COUNTIF($M51:$M51,"?*")&gt;0,", ","")&amp;"parcial","")</f>
        <v/>
      </c>
      <c r="AM51">
        <f>IF(AND(TRIM($K51)&lt;&gt;"",TRIM($K51)&lt;&gt;VALIDACIONES!$G$1),IF(COUNTIF($M51:$N51,"?*")&gt;0,", ","")&amp;"parcial distinto a "&amp;VALIDACIONES!$G$1,"")</f>
        <v/>
      </c>
      <c r="AN51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</row>
    <row r="52" ht="24" customHeight="1">
      <c r="A52" s="346" t="n"/>
      <c r="B52" s="346" t="n"/>
      <c r="C52" s="346" t="n"/>
      <c r="D52" s="346">
        <f>IF($A52="Verdadero o Falso Simple","Verdadero",IF($A52="Respuesta A/B/Ambas/Ninguna","A. Si la primera es verdadera",IF($A52="Verdadero o Falso Complejas","1. ","")))</f>
        <v/>
      </c>
      <c r="E52" s="346">
        <f>IF($A52="Verdadero o Falso Simple","Falso",IF($A52="Respuesta A/B/Ambas/Ninguna","B. Si la segunda es verdadera",IF($A52="Verdadero o Falso Complejas","2. ","")))</f>
        <v/>
      </c>
      <c r="F52" s="346">
        <f>IF($A52="Respuesta A/B/Ambas/Ninguna","C. Si ambas son verdaderas",IF($A52="Verdadero o Falso Complejas","3. ",""))</f>
        <v/>
      </c>
      <c r="G52" s="346">
        <f>IF($A52="Respuesta A/B/Ambas/Ninguna","D. Si ninguna es verdadera",IF($A52="Verdadero o Falso Complejas","4. ",""))</f>
        <v/>
      </c>
      <c r="H52" s="346">
        <f>IF($A52="Verdadero o Falso Simple","",IF($A52="Respuesta A/B/Ambas/Ninguna","",IF($A52="Verdadero o Falso Complejas","","")))</f>
        <v/>
      </c>
      <c r="I52" s="346" t="n"/>
      <c r="J52" s="346" t="n">
        <v>3</v>
      </c>
      <c r="K52" s="346" t="inlineStr">
        <is>
          <t>2P</t>
        </is>
      </c>
      <c r="L52" s="347">
        <f>IF(TRIM($A52)="","",IF(OR($A52="Selección de la mejor respuesta",$A52="SELECCION_MEJOR_RESPUESTA",$A52="Subítem de caso o problema",$A52="SUBITEM_CASO"),IF(TRIM($C52)="","Completar enunciado",IF(SUMPRODUCT(--(LEN(TRIM($D52:$H52&amp;""))&gt;0))&lt;5,"Completar opciones A-E",IF(AND(TRIM($I52)&lt;&gt;"",OR(LEFT(TRIM($I52),1)="A",LEFT(TRIM($I52),1)="B",LEFT(TRIM($I52),1)="C",LEFT(TRIM($I52),1)="D",LEFT(TRIM($I52),1)="E")),"OK","Completar respuesta correcta A-E"))),IF(TRIM($A52)="","",IF(COUNTIF($Q52:$AJ52,"?*")=0,"OK","Falta revisar: "&amp;$Q52&amp;$R52&amp;$S52&amp;$T52&amp;$U52&amp;$V52&amp;$W52&amp;$X52&amp;$Y52&amp;$Z52&amp;$AA52&amp;$AB52&amp;$AC52&amp;$AD52&amp;$AE52&amp;$AF52&amp;$AG52&amp;$AH52&amp;$AI52&amp;$AJ52))))</f>
        <v/>
      </c>
      <c r="M52" s="341" t="n"/>
      <c r="Q52">
        <f>IF(TRIM($C52)="","enunciado","")</f>
        <v/>
      </c>
      <c r="R52">
        <f>IF(TRIM($K52)="",IF(COUNTIF($Q52:$Q52,"?*")&gt;0,", ","")&amp;"parcial","")</f>
        <v/>
      </c>
      <c r="S52">
        <f>IF(AND(TRIM($K52)&lt;&gt;"",TRIM($K52)&lt;&gt;VALIDACIONES!$G$1),IF(COUNTIF($Q52:$R52,"?*")&gt;0,", ","")&amp;"parcial distinto a "&amp;VALIDACIONES!$G$1,"")</f>
        <v/>
      </c>
      <c r="T52">
        <f>IF(AND(OR($A52="Ítems agrupados por caso clínico o problema",$A52="Subítem de caso o problema",$A52="Emparejamiento Ampliado",$A52="Opción de Emparejamiento Ampliado"),TRIM($B52)=""),IF(COUNTIF($Q52:$S52,"?*")&gt;0,", ","")&amp;"grupo","")</f>
        <v/>
      </c>
      <c r="U52">
        <f>IF(AND(OR($A52="Verdadero o Falso Simple",$A52="Respuesta A/B/Ambas/Ninguna",$A52="Verdadero o Falso Complejas",$A52="Selección de la mejor respuesta",$A52="Subítem de caso o problema",$A52="Opción de Emparejamiento Ampliado"),TRIM($I52)=""),IF(COUNTIF($Q52:$T52,"?*")&gt;0,", ","")&amp;"respuesta_correcta","")</f>
        <v/>
      </c>
      <c r="V52">
        <f>IF(AND(OR($A52="Verdadero o Falso Simple",$A52="Respuesta A/B/Ambas/Ninguna",$A52="Verdadero o Falso Complejas",$A52="Selección de la mejor respuesta",$A52="Subítem de caso o problema",$A52="Opción de Emparejamiento Ampliado"),TRIM($J52)=""),IF(COUNTIF($Q52:$U52,"?*")&gt;0,", ","")&amp;"dificultad","")</f>
        <v/>
      </c>
      <c r="W52">
        <f>IF(AND(OR($A52="Ítems agrupados por caso clínico o problema",$A52="Emparejamiento Ampliado"),TRIM($I52)&lt;&gt;""),IF(COUNTIF($Q52:$V52,"?*")&gt;0,", ","")&amp;"respuesta debe ir vacia","")</f>
        <v/>
      </c>
      <c r="X52">
        <f>IF(AND(OR($A52="Ítems agrupados por caso clínico o problema",$A52="Emparejamiento Ampliado"),TRIM($J52)&lt;&gt;""),IF(COUNTIF($Q52:$W52,"?*")&gt;0,", ","")&amp;"dificultad debe ir vacia","")</f>
        <v/>
      </c>
      <c r="Y52">
        <f>IF(AND($A52="Verdadero o Falso Simple",OR(COUNTIF($D52:$E52,"?*")&lt;2,COUNTIF($F52:$H52,"?*")&gt;0)),IF(COUNTIF($Q52:$X52,"?*")&gt;0,", ","")&amp;"incisos A-B","")</f>
        <v/>
      </c>
      <c r="Z52">
        <f>IF(AND($A52="Verdadero o Falso Simple",TRIM($I52)&lt;&gt;"",NOT(OR(LEFT(TRIM($I52),1)="A",LEFT(TRIM($I52),1)="B"))),IF(COUNTIF($Q52:$Y52,"?*")&gt;0,", ","")&amp;"respuesta A-B","")</f>
        <v/>
      </c>
      <c r="AA52">
        <f>IF(AND($A52="Respuesta A/B/Ambas/Ninguna",COUNTIF($D52:$G52,"?*")&lt;4),IF(COUNTIF($Q52:$Z52,"?*")&gt;0,", ","")&amp;"opciones A-D","")</f>
        <v/>
      </c>
      <c r="AB52">
        <f>IF(AND($A52="Respuesta A/B/Ambas/Ninguna",COUNTIF($H52:$H52,"?*")&gt;0),IF(COUNTIF($Q52:$AA52,"?*")&gt;0,", ","")&amp;"opcion E deshabilitada","")</f>
        <v/>
      </c>
      <c r="AC52">
        <f>IF(AND($A52="Respuesta A/B/Ambas/Ninguna",TRIM($I52)&lt;&gt;"",NOT(OR(LEFT(TRIM($I52),1)="A",LEFT(TRIM($I52),1)="B",LEFT(TRIM($I52),1)="C",LEFT(TRIM($I52),1)="D"))),IF(COUNTIF($Q52:$AB52,"?*")&gt;0,", ","")&amp;"respuesta A-D","")</f>
        <v/>
      </c>
      <c r="AD52">
        <f>IF(AND($A52="Verdadero o Falso Complejas",OR(LEN(TRIM(SUBSTITUTE($D52,"1.","")))=0,LEN(TRIM(SUBSTITUTE($E52,"2.","")))=0,LEN(TRIM(SUBSTITUTE($F52,"3.","")))=0,LEN(TRIM(SUBSTITUTE($G52,"4.","")))=0)),IF(COUNTIF($Q52:$AC52,"?*")&gt;0,", ","")&amp;"incisos 1-4","")</f>
        <v/>
      </c>
      <c r="AE52">
        <f>IF(AND($A52="Verdadero o Falso Complejas",COUNTIF($H52:$H52,"?*")&gt;0),IF(COUNTIF($Q52:$AD52,"?*")&gt;0,", ","")&amp;"opcion E deshabilitada","")</f>
        <v/>
      </c>
      <c r="AF52">
        <f>IF(AND($A52="Verdadero o Falso Complejas",TRIM($I52)&lt;&gt;"",NOT(OR(LEFT(TRIM($I52),1)="A",LEFT(TRIM($I52),1)="B",LEFT(TRIM($I52),1)="C",LEFT(TRIM($I52),1)="D",LEFT(TRIM($I52),1)="E"))),IF(COUNTIF($Q52:$AE52,"?*")&gt;0,", ","")&amp;"respuesta A-E","")</f>
        <v/>
      </c>
      <c r="AG52">
        <f>IF(AND(OR($A52="Selección de la mejor respuesta",$A52="Subítem de caso o problema"),COUNTA($D52:$H52)&lt;5),IF(COUNTIF($Q52:$AF52,"?*")&gt;0,", ","")&amp;"incisos A-E","")</f>
        <v/>
      </c>
      <c r="AH52">
        <f>IF(AND(OR($A52="Selección de la mejor respuesta",$A52="Subítem de caso o problema"),TRIM($I52)&lt;&gt;"",NOT(OR(LEFT(TRIM($I52),1)="A",LEFT(TRIM($I52),1)="B",LEFT(TRIM($I52),1)="C",LEFT(TRIM($I52),1)="D",LEFT(TRIM($I52),1)="E"))),IF(COUNTIF($Q52:$AG52,"?*")&gt;0,", ","")&amp;"respuesta A-E","")</f>
        <v/>
      </c>
      <c r="AI52">
        <f>IF(AND(OR($A52="Ítems agrupados por caso clínico o problema",$A52="Opción de Emparejamiento Ampliado"),COUNTIF($D52:$H52,"?*")&gt;0),IF(COUNTIF($Q52:$AH52,"?*")&gt;0,", ","")&amp;"sin incisos","")</f>
        <v/>
      </c>
      <c r="AJ52">
        <f>IF(AND($A52="Emparejamiento Ampliado",COUNTIF($D52:$H52,"?*")&lt;2),IF(COUNTIF($Q52:$AI52,"?*")&gt;0,", ","")&amp;"minimo 2 claves","")</f>
        <v/>
      </c>
      <c r="AK52">
        <f>IF(AND($A52="Opción de Emparejamiento Ampliado",NOT(OR(LEFT(TRIM($I52),1)="A",LEFT(TRIM($I52),1)="B",LEFT(TRIM($I52),1)="C",LEFT(TRIM($I52),1)="D",LEFT(TRIM($I52),1)="E"))),IF(COUNTIF($Q52:$AJ52,"?*")&gt;0,", ","")&amp;"respuesta A-E","")</f>
        <v/>
      </c>
      <c r="AL52">
        <f>IF(TRIM($K52)="",IF(COUNTIF($M52:$M52,"?*")&gt;0,", ","")&amp;"parcial","")</f>
        <v/>
      </c>
      <c r="AM52">
        <f>IF(AND(TRIM($K52)&lt;&gt;"",TRIM($K52)&lt;&gt;VALIDACIONES!$G$1),IF(COUNTIF($M52:$N52,"?*")&gt;0,", ","")&amp;"parcial distinto a "&amp;VALIDACIONES!$G$1,"")</f>
        <v/>
      </c>
      <c r="AN52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</row>
    <row r="53" ht="24" customHeight="1">
      <c r="A53" s="346" t="n"/>
      <c r="B53" s="346" t="n"/>
      <c r="C53" s="346" t="n"/>
      <c r="D53" s="346">
        <f>IF($A53="Verdadero o Falso Simple","Verdadero",IF($A53="Respuesta A/B/Ambas/Ninguna","A. Si la primera es verdadera",IF($A53="Verdadero o Falso Complejas","1. ","")))</f>
        <v/>
      </c>
      <c r="E53" s="346">
        <f>IF($A53="Verdadero o Falso Simple","Falso",IF($A53="Respuesta A/B/Ambas/Ninguna","B. Si la segunda es verdadera",IF($A53="Verdadero o Falso Complejas","2. ","")))</f>
        <v/>
      </c>
      <c r="F53" s="346">
        <f>IF($A53="Respuesta A/B/Ambas/Ninguna","C. Si ambas son verdaderas",IF($A53="Verdadero o Falso Complejas","3. ",""))</f>
        <v/>
      </c>
      <c r="G53" s="346">
        <f>IF($A53="Respuesta A/B/Ambas/Ninguna","D. Si ninguna es verdadera",IF($A53="Verdadero o Falso Complejas","4. ",""))</f>
        <v/>
      </c>
      <c r="H53" s="346">
        <f>IF($A53="Verdadero o Falso Simple","",IF($A53="Respuesta A/B/Ambas/Ninguna","",IF($A53="Verdadero o Falso Complejas","","")))</f>
        <v/>
      </c>
      <c r="I53" s="346" t="n"/>
      <c r="J53" s="346" t="n">
        <v>3</v>
      </c>
      <c r="K53" s="346" t="inlineStr">
        <is>
          <t>2P</t>
        </is>
      </c>
      <c r="L53" s="347">
        <f>IF(TRIM($A53)="","",IF(OR($A53="Selección de la mejor respuesta",$A53="SELECCION_MEJOR_RESPUESTA",$A53="Subítem de caso o problema",$A53="SUBITEM_CASO"),IF(TRIM($C53)="","Completar enunciado",IF(SUMPRODUCT(--(LEN(TRIM($D53:$H53&amp;""))&gt;0))&lt;5,"Completar opciones A-E",IF(AND(TRIM($I53)&lt;&gt;"",OR(LEFT(TRIM($I53),1)="A",LEFT(TRIM($I53),1)="B",LEFT(TRIM($I53),1)="C",LEFT(TRIM($I53),1)="D",LEFT(TRIM($I53),1)="E")),"OK","Completar respuesta correcta A-E"))),IF(TRIM($A53)="","",IF(COUNTIF($Q53:$AJ53,"?*")=0,"OK","Falta revisar: "&amp;$Q53&amp;$R53&amp;$S53&amp;$T53&amp;$U53&amp;$V53&amp;$W53&amp;$X53&amp;$Y53&amp;$Z53&amp;$AA53&amp;$AB53&amp;$AC53&amp;$AD53&amp;$AE53&amp;$AF53&amp;$AG53&amp;$AH53&amp;$AI53&amp;$AJ53))))</f>
        <v/>
      </c>
      <c r="M53" s="341" t="n"/>
      <c r="Q53">
        <f>IF(TRIM($C53)="","enunciado","")</f>
        <v/>
      </c>
      <c r="R53">
        <f>IF(TRIM($K53)="",IF(COUNTIF($Q53:$Q53,"?*")&gt;0,", ","")&amp;"parcial","")</f>
        <v/>
      </c>
      <c r="S53">
        <f>IF(AND(TRIM($K53)&lt;&gt;"",TRIM($K53)&lt;&gt;VALIDACIONES!$G$1),IF(COUNTIF($Q53:$R53,"?*")&gt;0,", ","")&amp;"parcial distinto a "&amp;VALIDACIONES!$G$1,"")</f>
        <v/>
      </c>
      <c r="T53">
        <f>IF(AND(OR($A53="Ítems agrupados por caso clínico o problema",$A53="Subítem de caso o problema",$A53="Emparejamiento Ampliado",$A53="Opción de Emparejamiento Ampliado"),TRIM($B53)=""),IF(COUNTIF($Q53:$S53,"?*")&gt;0,", ","")&amp;"grupo","")</f>
        <v/>
      </c>
      <c r="U53">
        <f>IF(AND(OR($A53="Verdadero o Falso Simple",$A53="Respuesta A/B/Ambas/Ninguna",$A53="Verdadero o Falso Complejas",$A53="Selección de la mejor respuesta",$A53="Subítem de caso o problema",$A53="Opción de Emparejamiento Ampliado"),TRIM($I53)=""),IF(COUNTIF($Q53:$T53,"?*")&gt;0,", ","")&amp;"respuesta_correcta","")</f>
        <v/>
      </c>
      <c r="V53">
        <f>IF(AND(OR($A53="Verdadero o Falso Simple",$A53="Respuesta A/B/Ambas/Ninguna",$A53="Verdadero o Falso Complejas",$A53="Selección de la mejor respuesta",$A53="Subítem de caso o problema",$A53="Opción de Emparejamiento Ampliado"),TRIM($J53)=""),IF(COUNTIF($Q53:$U53,"?*")&gt;0,", ","")&amp;"dificultad","")</f>
        <v/>
      </c>
      <c r="W53">
        <f>IF(AND(OR($A53="Ítems agrupados por caso clínico o problema",$A53="Emparejamiento Ampliado"),TRIM($I53)&lt;&gt;""),IF(COUNTIF($Q53:$V53,"?*")&gt;0,", ","")&amp;"respuesta debe ir vacia","")</f>
        <v/>
      </c>
      <c r="X53">
        <f>IF(AND(OR($A53="Ítems agrupados por caso clínico o problema",$A53="Emparejamiento Ampliado"),TRIM($J53)&lt;&gt;""),IF(COUNTIF($Q53:$W53,"?*")&gt;0,", ","")&amp;"dificultad debe ir vacia","")</f>
        <v/>
      </c>
      <c r="Y53">
        <f>IF(AND($A53="Verdadero o Falso Simple",OR(COUNTIF($D53:$E53,"?*")&lt;2,COUNTIF($F53:$H53,"?*")&gt;0)),IF(COUNTIF($Q53:$X53,"?*")&gt;0,", ","")&amp;"incisos A-B","")</f>
        <v/>
      </c>
      <c r="Z53">
        <f>IF(AND($A53="Verdadero o Falso Simple",TRIM($I53)&lt;&gt;"",NOT(OR(LEFT(TRIM($I53),1)="A",LEFT(TRIM($I53),1)="B"))),IF(COUNTIF($Q53:$Y53,"?*")&gt;0,", ","")&amp;"respuesta A-B","")</f>
        <v/>
      </c>
      <c r="AA53">
        <f>IF(AND($A53="Respuesta A/B/Ambas/Ninguna",COUNTIF($D53:$G53,"?*")&lt;4),IF(COUNTIF($Q53:$Z53,"?*")&gt;0,", ","")&amp;"opciones A-D","")</f>
        <v/>
      </c>
      <c r="AB53">
        <f>IF(AND($A53="Respuesta A/B/Ambas/Ninguna",COUNTIF($H53:$H53,"?*")&gt;0),IF(COUNTIF($Q53:$AA53,"?*")&gt;0,", ","")&amp;"opcion E deshabilitada","")</f>
        <v/>
      </c>
      <c r="AC53">
        <f>IF(AND($A53="Respuesta A/B/Ambas/Ninguna",TRIM($I53)&lt;&gt;"",NOT(OR(LEFT(TRIM($I53),1)="A",LEFT(TRIM($I53),1)="B",LEFT(TRIM($I53),1)="C",LEFT(TRIM($I53),1)="D"))),IF(COUNTIF($Q53:$AB53,"?*")&gt;0,", ","")&amp;"respuesta A-D","")</f>
        <v/>
      </c>
      <c r="AD53">
        <f>IF(AND($A53="Verdadero o Falso Complejas",OR(LEN(TRIM(SUBSTITUTE($D53,"1.","")))=0,LEN(TRIM(SUBSTITUTE($E53,"2.","")))=0,LEN(TRIM(SUBSTITUTE($F53,"3.","")))=0,LEN(TRIM(SUBSTITUTE($G53,"4.","")))=0)),IF(COUNTIF($Q53:$AC53,"?*")&gt;0,", ","")&amp;"incisos 1-4","")</f>
        <v/>
      </c>
      <c r="AE53">
        <f>IF(AND($A53="Verdadero o Falso Complejas",COUNTIF($H53:$H53,"?*")&gt;0),IF(COUNTIF($Q53:$AD53,"?*")&gt;0,", ","")&amp;"opcion E deshabilitada","")</f>
        <v/>
      </c>
      <c r="AF53">
        <f>IF(AND($A53="Verdadero o Falso Complejas",TRIM($I53)&lt;&gt;"",NOT(OR(LEFT(TRIM($I53),1)="A",LEFT(TRIM($I53),1)="B",LEFT(TRIM($I53),1)="C",LEFT(TRIM($I53),1)="D",LEFT(TRIM($I53),1)="E"))),IF(COUNTIF($Q53:$AE53,"?*")&gt;0,", ","")&amp;"respuesta A-E","")</f>
        <v/>
      </c>
      <c r="AG53">
        <f>IF(AND(OR($A53="Selección de la mejor respuesta",$A53="Subítem de caso o problema"),COUNTA($D53:$H53)&lt;5),IF(COUNTIF($Q53:$AF53,"?*")&gt;0,", ","")&amp;"incisos A-E","")</f>
        <v/>
      </c>
      <c r="AH53">
        <f>IF(AND(OR($A53="Selección de la mejor respuesta",$A53="Subítem de caso o problema"),TRIM($I53)&lt;&gt;"",NOT(OR(LEFT(TRIM($I53),1)="A",LEFT(TRIM($I53),1)="B",LEFT(TRIM($I53),1)="C",LEFT(TRIM($I53),1)="D",LEFT(TRIM($I53),1)="E"))),IF(COUNTIF($Q53:$AG53,"?*")&gt;0,", ","")&amp;"respuesta A-E","")</f>
        <v/>
      </c>
      <c r="AI53">
        <f>IF(AND(OR($A53="Ítems agrupados por caso clínico o problema",$A53="Opción de Emparejamiento Ampliado"),COUNTIF($D53:$H53,"?*")&gt;0),IF(COUNTIF($Q53:$AH53,"?*")&gt;0,", ","")&amp;"sin incisos","")</f>
        <v/>
      </c>
      <c r="AJ53">
        <f>IF(AND($A53="Emparejamiento Ampliado",COUNTIF($D53:$H53,"?*")&lt;2),IF(COUNTIF($Q53:$AI53,"?*")&gt;0,", ","")&amp;"minimo 2 claves","")</f>
        <v/>
      </c>
      <c r="AK53">
        <f>IF(AND($A53="Opción de Emparejamiento Ampliado",NOT(OR(LEFT(TRIM($I53),1)="A",LEFT(TRIM($I53),1)="B",LEFT(TRIM($I53),1)="C",LEFT(TRIM($I53),1)="D",LEFT(TRIM($I53),1)="E"))),IF(COUNTIF($Q53:$AJ53,"?*")&gt;0,", ","")&amp;"respuesta A-E","")</f>
        <v/>
      </c>
      <c r="AL53">
        <f>IF(TRIM($K53)="",IF(COUNTIF($M53:$M53,"?*")&gt;0,", ","")&amp;"parcial","")</f>
        <v/>
      </c>
      <c r="AM53">
        <f>IF(AND(TRIM($K53)&lt;&gt;"",TRIM($K53)&lt;&gt;VALIDACIONES!$G$1),IF(COUNTIF($M53:$N53,"?*")&gt;0,", ","")&amp;"parcial distinto a "&amp;VALIDACIONES!$G$1,"")</f>
        <v/>
      </c>
      <c r="AN53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</row>
    <row r="54" ht="24" customHeight="1">
      <c r="A54" s="346" t="n"/>
      <c r="B54" s="346" t="n"/>
      <c r="C54" s="346" t="n"/>
      <c r="D54" s="346">
        <f>IF($A54="Verdadero o Falso Simple","Verdadero",IF($A54="Respuesta A/B/Ambas/Ninguna","A. Si la primera es verdadera",IF($A54="Verdadero o Falso Complejas","1. ","")))</f>
        <v/>
      </c>
      <c r="E54" s="346">
        <f>IF($A54="Verdadero o Falso Simple","Falso",IF($A54="Respuesta A/B/Ambas/Ninguna","B. Si la segunda es verdadera",IF($A54="Verdadero o Falso Complejas","2. ","")))</f>
        <v/>
      </c>
      <c r="F54" s="346">
        <f>IF($A54="Respuesta A/B/Ambas/Ninguna","C. Si ambas son verdaderas",IF($A54="Verdadero o Falso Complejas","3. ",""))</f>
        <v/>
      </c>
      <c r="G54" s="346">
        <f>IF($A54="Respuesta A/B/Ambas/Ninguna","D. Si ninguna es verdadera",IF($A54="Verdadero o Falso Complejas","4. ",""))</f>
        <v/>
      </c>
      <c r="H54" s="346">
        <f>IF($A54="Verdadero o Falso Simple","",IF($A54="Respuesta A/B/Ambas/Ninguna","",IF($A54="Verdadero o Falso Complejas","","")))</f>
        <v/>
      </c>
      <c r="I54" s="346" t="n"/>
      <c r="J54" s="346" t="n">
        <v>3</v>
      </c>
      <c r="K54" s="346" t="inlineStr">
        <is>
          <t>2P</t>
        </is>
      </c>
      <c r="L54" s="347">
        <f>IF(TRIM($A54)="","",IF(OR($A54="Selección de la mejor respuesta",$A54="SELECCION_MEJOR_RESPUESTA",$A54="Subítem de caso o problema",$A54="SUBITEM_CASO"),IF(TRIM($C54)="","Completar enunciado",IF(SUMPRODUCT(--(LEN(TRIM($D54:$H54&amp;""))&gt;0))&lt;5,"Completar opciones A-E",IF(AND(TRIM($I54)&lt;&gt;"",OR(LEFT(TRIM($I54),1)="A",LEFT(TRIM($I54),1)="B",LEFT(TRIM($I54),1)="C",LEFT(TRIM($I54),1)="D",LEFT(TRIM($I54),1)="E")),"OK","Completar respuesta correcta A-E"))),IF(TRIM($A54)="","",IF(COUNTIF($Q54:$AJ54,"?*")=0,"OK","Falta revisar: "&amp;$Q54&amp;$R54&amp;$S54&amp;$T54&amp;$U54&amp;$V54&amp;$W54&amp;$X54&amp;$Y54&amp;$Z54&amp;$AA54&amp;$AB54&amp;$AC54&amp;$AD54&amp;$AE54&amp;$AF54&amp;$AG54&amp;$AH54&amp;$AI54&amp;$AJ54))))</f>
        <v/>
      </c>
      <c r="M54" s="341" t="n"/>
      <c r="Q54">
        <f>IF(TRIM($C54)="","enunciado","")</f>
        <v/>
      </c>
      <c r="R54">
        <f>IF(TRIM($K54)="",IF(COUNTIF($Q54:$Q54,"?*")&gt;0,", ","")&amp;"parcial","")</f>
        <v/>
      </c>
      <c r="S54">
        <f>IF(AND(TRIM($K54)&lt;&gt;"",TRIM($K54)&lt;&gt;VALIDACIONES!$G$1),IF(COUNTIF($Q54:$R54,"?*")&gt;0,", ","")&amp;"parcial distinto a "&amp;VALIDACIONES!$G$1,"")</f>
        <v/>
      </c>
      <c r="T54">
        <f>IF(AND(OR($A54="Ítems agrupados por caso clínico o problema",$A54="Subítem de caso o problema",$A54="Emparejamiento Ampliado",$A54="Opción de Emparejamiento Ampliado"),TRIM($B54)=""),IF(COUNTIF($Q54:$S54,"?*")&gt;0,", ","")&amp;"grupo","")</f>
        <v/>
      </c>
      <c r="U54">
        <f>IF(AND(OR($A54="Verdadero o Falso Simple",$A54="Respuesta A/B/Ambas/Ninguna",$A54="Verdadero o Falso Complejas",$A54="Selección de la mejor respuesta",$A54="Subítem de caso o problema",$A54="Opción de Emparejamiento Ampliado"),TRIM($I54)=""),IF(COUNTIF($Q54:$T54,"?*")&gt;0,", ","")&amp;"respuesta_correcta","")</f>
        <v/>
      </c>
      <c r="V54">
        <f>IF(AND(OR($A54="Verdadero o Falso Simple",$A54="Respuesta A/B/Ambas/Ninguna",$A54="Verdadero o Falso Complejas",$A54="Selección de la mejor respuesta",$A54="Subítem de caso o problema",$A54="Opción de Emparejamiento Ampliado"),TRIM($J54)=""),IF(COUNTIF($Q54:$U54,"?*")&gt;0,", ","")&amp;"dificultad","")</f>
        <v/>
      </c>
      <c r="W54">
        <f>IF(AND(OR($A54="Ítems agrupados por caso clínico o problema",$A54="Emparejamiento Ampliado"),TRIM($I54)&lt;&gt;""),IF(COUNTIF($Q54:$V54,"?*")&gt;0,", ","")&amp;"respuesta debe ir vacia","")</f>
        <v/>
      </c>
      <c r="X54">
        <f>IF(AND(OR($A54="Ítems agrupados por caso clínico o problema",$A54="Emparejamiento Ampliado"),TRIM($J54)&lt;&gt;""),IF(COUNTIF($Q54:$W54,"?*")&gt;0,", ","")&amp;"dificultad debe ir vacia","")</f>
        <v/>
      </c>
      <c r="Y54">
        <f>IF(AND($A54="Verdadero o Falso Simple",OR(COUNTIF($D54:$E54,"?*")&lt;2,COUNTIF($F54:$H54,"?*")&gt;0)),IF(COUNTIF($Q54:$X54,"?*")&gt;0,", ","")&amp;"incisos A-B","")</f>
        <v/>
      </c>
      <c r="Z54">
        <f>IF(AND($A54="Verdadero o Falso Simple",TRIM($I54)&lt;&gt;"",NOT(OR(LEFT(TRIM($I54),1)="A",LEFT(TRIM($I54),1)="B"))),IF(COUNTIF($Q54:$Y54,"?*")&gt;0,", ","")&amp;"respuesta A-B","")</f>
        <v/>
      </c>
      <c r="AA54">
        <f>IF(AND($A54="Respuesta A/B/Ambas/Ninguna",COUNTIF($D54:$G54,"?*")&lt;4),IF(COUNTIF($Q54:$Z54,"?*")&gt;0,", ","")&amp;"opciones A-D","")</f>
        <v/>
      </c>
      <c r="AB54">
        <f>IF(AND($A54="Respuesta A/B/Ambas/Ninguna",COUNTIF($H54:$H54,"?*")&gt;0),IF(COUNTIF($Q54:$AA54,"?*")&gt;0,", ","")&amp;"opcion E deshabilitada","")</f>
        <v/>
      </c>
      <c r="AC54">
        <f>IF(AND($A54="Respuesta A/B/Ambas/Ninguna",TRIM($I54)&lt;&gt;"",NOT(OR(LEFT(TRIM($I54),1)="A",LEFT(TRIM($I54),1)="B",LEFT(TRIM($I54),1)="C",LEFT(TRIM($I54),1)="D"))),IF(COUNTIF($Q54:$AB54,"?*")&gt;0,", ","")&amp;"respuesta A-D","")</f>
        <v/>
      </c>
      <c r="AD54">
        <f>IF(AND($A54="Verdadero o Falso Complejas",OR(LEN(TRIM(SUBSTITUTE($D54,"1.","")))=0,LEN(TRIM(SUBSTITUTE($E54,"2.","")))=0,LEN(TRIM(SUBSTITUTE($F54,"3.","")))=0,LEN(TRIM(SUBSTITUTE($G54,"4.","")))=0)),IF(COUNTIF($Q54:$AC54,"?*")&gt;0,", ","")&amp;"incisos 1-4","")</f>
        <v/>
      </c>
      <c r="AE54">
        <f>IF(AND($A54="Verdadero o Falso Complejas",COUNTIF($H54:$H54,"?*")&gt;0),IF(COUNTIF($Q54:$AD54,"?*")&gt;0,", ","")&amp;"opcion E deshabilitada","")</f>
        <v/>
      </c>
      <c r="AF54">
        <f>IF(AND($A54="Verdadero o Falso Complejas",TRIM($I54)&lt;&gt;"",NOT(OR(LEFT(TRIM($I54),1)="A",LEFT(TRIM($I54),1)="B",LEFT(TRIM($I54),1)="C",LEFT(TRIM($I54),1)="D",LEFT(TRIM($I54),1)="E"))),IF(COUNTIF($Q54:$AE54,"?*")&gt;0,", ","")&amp;"respuesta A-E","")</f>
        <v/>
      </c>
      <c r="AG54">
        <f>IF(AND(OR($A54="Selección de la mejor respuesta",$A54="Subítem de caso o problema"),COUNTA($D54:$H54)&lt;5),IF(COUNTIF($Q54:$AF54,"?*")&gt;0,", ","")&amp;"incisos A-E","")</f>
        <v/>
      </c>
      <c r="AH54">
        <f>IF(AND(OR($A54="Selección de la mejor respuesta",$A54="Subítem de caso o problema"),TRIM($I54)&lt;&gt;"",NOT(OR(LEFT(TRIM($I54),1)="A",LEFT(TRIM($I54),1)="B",LEFT(TRIM($I54),1)="C",LEFT(TRIM($I54),1)="D",LEFT(TRIM($I54),1)="E"))),IF(COUNTIF($Q54:$AG54,"?*")&gt;0,", ","")&amp;"respuesta A-E","")</f>
        <v/>
      </c>
      <c r="AI54">
        <f>IF(AND(OR($A54="Ítems agrupados por caso clínico o problema",$A54="Opción de Emparejamiento Ampliado"),COUNTIF($D54:$H54,"?*")&gt;0),IF(COUNTIF($Q54:$AH54,"?*")&gt;0,", ","")&amp;"sin incisos","")</f>
        <v/>
      </c>
      <c r="AJ54">
        <f>IF(AND($A54="Emparejamiento Ampliado",COUNTIF($D54:$H54,"?*")&lt;2),IF(COUNTIF($Q54:$AI54,"?*")&gt;0,", ","")&amp;"minimo 2 claves","")</f>
        <v/>
      </c>
      <c r="AK54">
        <f>IF(AND($A54="Opción de Emparejamiento Ampliado",NOT(OR(LEFT(TRIM($I54),1)="A",LEFT(TRIM($I54),1)="B",LEFT(TRIM($I54),1)="C",LEFT(TRIM($I54),1)="D",LEFT(TRIM($I54),1)="E"))),IF(COUNTIF($Q54:$AJ54,"?*")&gt;0,", ","")&amp;"respuesta A-E","")</f>
        <v/>
      </c>
      <c r="AL54">
        <f>IF(TRIM($K54)="",IF(COUNTIF($M54:$M54,"?*")&gt;0,", ","")&amp;"parcial","")</f>
        <v/>
      </c>
      <c r="AM54">
        <f>IF(AND(TRIM($K54)&lt;&gt;"",TRIM($K54)&lt;&gt;VALIDACIONES!$G$1),IF(COUNTIF($M54:$N54,"?*")&gt;0,", ","")&amp;"parcial distinto a "&amp;VALIDACIONES!$G$1,"")</f>
        <v/>
      </c>
      <c r="AN54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</row>
    <row r="55" ht="24" customHeight="1">
      <c r="A55" s="346" t="n"/>
      <c r="B55" s="346" t="n"/>
      <c r="C55" s="346" t="n"/>
      <c r="D55" s="346">
        <f>IF($A55="Verdadero o Falso Simple","Verdadero",IF($A55="Respuesta A/B/Ambas/Ninguna","A. Si la primera es verdadera",IF($A55="Verdadero o Falso Complejas","1. ","")))</f>
        <v/>
      </c>
      <c r="E55" s="346">
        <f>IF($A55="Verdadero o Falso Simple","Falso",IF($A55="Respuesta A/B/Ambas/Ninguna","B. Si la segunda es verdadera",IF($A55="Verdadero o Falso Complejas","2. ","")))</f>
        <v/>
      </c>
      <c r="F55" s="346">
        <f>IF($A55="Respuesta A/B/Ambas/Ninguna","C. Si ambas son verdaderas",IF($A55="Verdadero o Falso Complejas","3. ",""))</f>
        <v/>
      </c>
      <c r="G55" s="346">
        <f>IF($A55="Respuesta A/B/Ambas/Ninguna","D. Si ninguna es verdadera",IF($A55="Verdadero o Falso Complejas","4. ",""))</f>
        <v/>
      </c>
      <c r="H55" s="346">
        <f>IF($A55="Verdadero o Falso Simple","",IF($A55="Respuesta A/B/Ambas/Ninguna","",IF($A55="Verdadero o Falso Complejas","","")))</f>
        <v/>
      </c>
      <c r="I55" s="346" t="n"/>
      <c r="J55" s="346" t="n">
        <v>3</v>
      </c>
      <c r="K55" s="346" t="inlineStr">
        <is>
          <t>2P</t>
        </is>
      </c>
      <c r="L55" s="347">
        <f>IF(TRIM($A55)="","",IF(OR($A55="Selección de la mejor respuesta",$A55="SELECCION_MEJOR_RESPUESTA",$A55="Subítem de caso o problema",$A55="SUBITEM_CASO"),IF(TRIM($C55)="","Completar enunciado",IF(SUMPRODUCT(--(LEN(TRIM($D55:$H55&amp;""))&gt;0))&lt;5,"Completar opciones A-E",IF(AND(TRIM($I55)&lt;&gt;"",OR(LEFT(TRIM($I55),1)="A",LEFT(TRIM($I55),1)="B",LEFT(TRIM($I55),1)="C",LEFT(TRIM($I55),1)="D",LEFT(TRIM($I55),1)="E")),"OK","Completar respuesta correcta A-E"))),IF(TRIM($A55)="","",IF(COUNTIF($Q55:$AJ55,"?*")=0,"OK","Falta revisar: "&amp;$Q55&amp;$R55&amp;$S55&amp;$T55&amp;$U55&amp;$V55&amp;$W55&amp;$X55&amp;$Y55&amp;$Z55&amp;$AA55&amp;$AB55&amp;$AC55&amp;$AD55&amp;$AE55&amp;$AF55&amp;$AG55&amp;$AH55&amp;$AI55&amp;$AJ55))))</f>
        <v/>
      </c>
      <c r="M55" s="341" t="n"/>
      <c r="Q55">
        <f>IF(TRIM($C55)="","enunciado","")</f>
        <v/>
      </c>
      <c r="R55">
        <f>IF(TRIM($K55)="",IF(COUNTIF($Q55:$Q55,"?*")&gt;0,", ","")&amp;"parcial","")</f>
        <v/>
      </c>
      <c r="S55">
        <f>IF(AND(TRIM($K55)&lt;&gt;"",TRIM($K55)&lt;&gt;VALIDACIONES!$G$1),IF(COUNTIF($Q55:$R55,"?*")&gt;0,", ","")&amp;"parcial distinto a "&amp;VALIDACIONES!$G$1,"")</f>
        <v/>
      </c>
      <c r="T55">
        <f>IF(AND(OR($A55="Ítems agrupados por caso clínico o problema",$A55="Subítem de caso o problema",$A55="Emparejamiento Ampliado",$A55="Opción de Emparejamiento Ampliado"),TRIM($B55)=""),IF(COUNTIF($Q55:$S55,"?*")&gt;0,", ","")&amp;"grupo","")</f>
        <v/>
      </c>
      <c r="U55">
        <f>IF(AND(OR($A55="Verdadero o Falso Simple",$A55="Respuesta A/B/Ambas/Ninguna",$A55="Verdadero o Falso Complejas",$A55="Selección de la mejor respuesta",$A55="Subítem de caso o problema",$A55="Opción de Emparejamiento Ampliado"),TRIM($I55)=""),IF(COUNTIF($Q55:$T55,"?*")&gt;0,", ","")&amp;"respuesta_correcta","")</f>
        <v/>
      </c>
      <c r="V55">
        <f>IF(AND(OR($A55="Verdadero o Falso Simple",$A55="Respuesta A/B/Ambas/Ninguna",$A55="Verdadero o Falso Complejas",$A55="Selección de la mejor respuesta",$A55="Subítem de caso o problema",$A55="Opción de Emparejamiento Ampliado"),TRIM($J55)=""),IF(COUNTIF($Q55:$U55,"?*")&gt;0,", ","")&amp;"dificultad","")</f>
        <v/>
      </c>
      <c r="W55">
        <f>IF(AND(OR($A55="Ítems agrupados por caso clínico o problema",$A55="Emparejamiento Ampliado"),TRIM($I55)&lt;&gt;""),IF(COUNTIF($Q55:$V55,"?*")&gt;0,", ","")&amp;"respuesta debe ir vacia","")</f>
        <v/>
      </c>
      <c r="X55">
        <f>IF(AND(OR($A55="Ítems agrupados por caso clínico o problema",$A55="Emparejamiento Ampliado"),TRIM($J55)&lt;&gt;""),IF(COUNTIF($Q55:$W55,"?*")&gt;0,", ","")&amp;"dificultad debe ir vacia","")</f>
        <v/>
      </c>
      <c r="Y55">
        <f>IF(AND($A55="Verdadero o Falso Simple",OR(COUNTIF($D55:$E55,"?*")&lt;2,COUNTIF($F55:$H55,"?*")&gt;0)),IF(COUNTIF($Q55:$X55,"?*")&gt;0,", ","")&amp;"incisos A-B","")</f>
        <v/>
      </c>
      <c r="Z55">
        <f>IF(AND($A55="Verdadero o Falso Simple",TRIM($I55)&lt;&gt;"",NOT(OR(LEFT(TRIM($I55),1)="A",LEFT(TRIM($I55),1)="B"))),IF(COUNTIF($Q55:$Y55,"?*")&gt;0,", ","")&amp;"respuesta A-B","")</f>
        <v/>
      </c>
      <c r="AA55">
        <f>IF(AND($A55="Respuesta A/B/Ambas/Ninguna",COUNTIF($D55:$G55,"?*")&lt;4),IF(COUNTIF($Q55:$Z55,"?*")&gt;0,", ","")&amp;"opciones A-D","")</f>
        <v/>
      </c>
      <c r="AB55">
        <f>IF(AND($A55="Respuesta A/B/Ambas/Ninguna",COUNTIF($H55:$H55,"?*")&gt;0),IF(COUNTIF($Q55:$AA55,"?*")&gt;0,", ","")&amp;"opcion E deshabilitada","")</f>
        <v/>
      </c>
      <c r="AC55">
        <f>IF(AND($A55="Respuesta A/B/Ambas/Ninguna",TRIM($I55)&lt;&gt;"",NOT(OR(LEFT(TRIM($I55),1)="A",LEFT(TRIM($I55),1)="B",LEFT(TRIM($I55),1)="C",LEFT(TRIM($I55),1)="D"))),IF(COUNTIF($Q55:$AB55,"?*")&gt;0,", ","")&amp;"respuesta A-D","")</f>
        <v/>
      </c>
      <c r="AD55">
        <f>IF(AND($A55="Verdadero o Falso Complejas",OR(LEN(TRIM(SUBSTITUTE($D55,"1.","")))=0,LEN(TRIM(SUBSTITUTE($E55,"2.","")))=0,LEN(TRIM(SUBSTITUTE($F55,"3.","")))=0,LEN(TRIM(SUBSTITUTE($G55,"4.","")))=0)),IF(COUNTIF($Q55:$AC55,"?*")&gt;0,", ","")&amp;"incisos 1-4","")</f>
        <v/>
      </c>
      <c r="AE55">
        <f>IF(AND($A55="Verdadero o Falso Complejas",COUNTIF($H55:$H55,"?*")&gt;0),IF(COUNTIF($Q55:$AD55,"?*")&gt;0,", ","")&amp;"opcion E deshabilitada","")</f>
        <v/>
      </c>
      <c r="AF55">
        <f>IF(AND($A55="Verdadero o Falso Complejas",TRIM($I55)&lt;&gt;"",NOT(OR(LEFT(TRIM($I55),1)="A",LEFT(TRIM($I55),1)="B",LEFT(TRIM($I55),1)="C",LEFT(TRIM($I55),1)="D",LEFT(TRIM($I55),1)="E"))),IF(COUNTIF($Q55:$AE55,"?*")&gt;0,", ","")&amp;"respuesta A-E","")</f>
        <v/>
      </c>
      <c r="AG55">
        <f>IF(AND(OR($A55="Selección de la mejor respuesta",$A55="Subítem de caso o problema"),COUNTA($D55:$H55)&lt;5),IF(COUNTIF($Q55:$AF55,"?*")&gt;0,", ","")&amp;"incisos A-E","")</f>
        <v/>
      </c>
      <c r="AH55">
        <f>IF(AND(OR($A55="Selección de la mejor respuesta",$A55="Subítem de caso o problema"),TRIM($I55)&lt;&gt;"",NOT(OR(LEFT(TRIM($I55),1)="A",LEFT(TRIM($I55),1)="B",LEFT(TRIM($I55),1)="C",LEFT(TRIM($I55),1)="D",LEFT(TRIM($I55),1)="E"))),IF(COUNTIF($Q55:$AG55,"?*")&gt;0,", ","")&amp;"respuesta A-E","")</f>
        <v/>
      </c>
      <c r="AI55">
        <f>IF(AND(OR($A55="Ítems agrupados por caso clínico o problema",$A55="Opción de Emparejamiento Ampliado"),COUNTIF($D55:$H55,"?*")&gt;0),IF(COUNTIF($Q55:$AH55,"?*")&gt;0,", ","")&amp;"sin incisos","")</f>
        <v/>
      </c>
      <c r="AJ55">
        <f>IF(AND($A55="Emparejamiento Ampliado",COUNTIF($D55:$H55,"?*")&lt;2),IF(COUNTIF($Q55:$AI55,"?*")&gt;0,", ","")&amp;"minimo 2 claves","")</f>
        <v/>
      </c>
      <c r="AK55">
        <f>IF(AND($A55="Opción de Emparejamiento Ampliado",NOT(OR(LEFT(TRIM($I55),1)="A",LEFT(TRIM($I55),1)="B",LEFT(TRIM($I55),1)="C",LEFT(TRIM($I55),1)="D",LEFT(TRIM($I55),1)="E"))),IF(COUNTIF($Q55:$AJ55,"?*")&gt;0,", ","")&amp;"respuesta A-E","")</f>
        <v/>
      </c>
      <c r="AL55">
        <f>IF(TRIM($K55)="",IF(COUNTIF($M55:$M55,"?*")&gt;0,", ","")&amp;"parcial","")</f>
        <v/>
      </c>
      <c r="AM55">
        <f>IF(AND(TRIM($K55)&lt;&gt;"",TRIM($K55)&lt;&gt;VALIDACIONES!$G$1),IF(COUNTIF($M55:$N55,"?*")&gt;0,", ","")&amp;"parcial distinto a "&amp;VALIDACIONES!$G$1,"")</f>
        <v/>
      </c>
      <c r="AN55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</row>
    <row r="56" ht="24" customHeight="1">
      <c r="A56" s="346" t="n"/>
      <c r="B56" s="346" t="n"/>
      <c r="C56" s="346" t="n"/>
      <c r="D56" s="346">
        <f>IF($A56="Verdadero o Falso Simple","Verdadero",IF($A56="Respuesta A/B/Ambas/Ninguna","A. Si la primera es verdadera",IF($A56="Verdadero o Falso Complejas","1. ","")))</f>
        <v/>
      </c>
      <c r="E56" s="346">
        <f>IF($A56="Verdadero o Falso Simple","Falso",IF($A56="Respuesta A/B/Ambas/Ninguna","B. Si la segunda es verdadera",IF($A56="Verdadero o Falso Complejas","2. ","")))</f>
        <v/>
      </c>
      <c r="F56" s="346">
        <f>IF($A56="Respuesta A/B/Ambas/Ninguna","C. Si ambas son verdaderas",IF($A56="Verdadero o Falso Complejas","3. ",""))</f>
        <v/>
      </c>
      <c r="G56" s="346">
        <f>IF($A56="Respuesta A/B/Ambas/Ninguna","D. Si ninguna es verdadera",IF($A56="Verdadero o Falso Complejas","4. ",""))</f>
        <v/>
      </c>
      <c r="H56" s="346">
        <f>IF($A56="Verdadero o Falso Simple","",IF($A56="Respuesta A/B/Ambas/Ninguna","",IF($A56="Verdadero o Falso Complejas","","")))</f>
        <v/>
      </c>
      <c r="I56" s="346" t="n"/>
      <c r="J56" s="346" t="n">
        <v>3</v>
      </c>
      <c r="K56" s="346" t="inlineStr">
        <is>
          <t>2P</t>
        </is>
      </c>
      <c r="L56" s="347">
        <f>IF(TRIM($A56)="","",IF(OR($A56="Selección de la mejor respuesta",$A56="SELECCION_MEJOR_RESPUESTA",$A56="Subítem de caso o problema",$A56="SUBITEM_CASO"),IF(TRIM($C56)="","Completar enunciado",IF(SUMPRODUCT(--(LEN(TRIM($D56:$H56&amp;""))&gt;0))&lt;5,"Completar opciones A-E",IF(AND(TRIM($I56)&lt;&gt;"",OR(LEFT(TRIM($I56),1)="A",LEFT(TRIM($I56),1)="B",LEFT(TRIM($I56),1)="C",LEFT(TRIM($I56),1)="D",LEFT(TRIM($I56),1)="E")),"OK","Completar respuesta correcta A-E"))),IF(TRIM($A56)="","",IF(COUNTIF($Q56:$AJ56,"?*")=0,"OK","Falta revisar: "&amp;$Q56&amp;$R56&amp;$S56&amp;$T56&amp;$U56&amp;$V56&amp;$W56&amp;$X56&amp;$Y56&amp;$Z56&amp;$AA56&amp;$AB56&amp;$AC56&amp;$AD56&amp;$AE56&amp;$AF56&amp;$AG56&amp;$AH56&amp;$AI56&amp;$AJ56))))</f>
        <v/>
      </c>
      <c r="M56" s="341" t="n"/>
      <c r="Q56">
        <f>IF(TRIM($C56)="","enunciado","")</f>
        <v/>
      </c>
      <c r="R56">
        <f>IF(TRIM($K56)="",IF(COUNTIF($Q56:$Q56,"?*")&gt;0,", ","")&amp;"parcial","")</f>
        <v/>
      </c>
      <c r="S56">
        <f>IF(AND(TRIM($K56)&lt;&gt;"",TRIM($K56)&lt;&gt;VALIDACIONES!$G$1),IF(COUNTIF($Q56:$R56,"?*")&gt;0,", ","")&amp;"parcial distinto a "&amp;VALIDACIONES!$G$1,"")</f>
        <v/>
      </c>
      <c r="T56">
        <f>IF(AND(OR($A56="Ítems agrupados por caso clínico o problema",$A56="Subítem de caso o problema",$A56="Emparejamiento Ampliado",$A56="Opción de Emparejamiento Ampliado"),TRIM($B56)=""),IF(COUNTIF($Q56:$S56,"?*")&gt;0,", ","")&amp;"grupo","")</f>
        <v/>
      </c>
      <c r="U56">
        <f>IF(AND(OR($A56="Verdadero o Falso Simple",$A56="Respuesta A/B/Ambas/Ninguna",$A56="Verdadero o Falso Complejas",$A56="Selección de la mejor respuesta",$A56="Subítem de caso o problema",$A56="Opción de Emparejamiento Ampliado"),TRIM($I56)=""),IF(COUNTIF($Q56:$T56,"?*")&gt;0,", ","")&amp;"respuesta_correcta","")</f>
        <v/>
      </c>
      <c r="V56">
        <f>IF(AND(OR($A56="Verdadero o Falso Simple",$A56="Respuesta A/B/Ambas/Ninguna",$A56="Verdadero o Falso Complejas",$A56="Selección de la mejor respuesta",$A56="Subítem de caso o problema",$A56="Opción de Emparejamiento Ampliado"),TRIM($J56)=""),IF(COUNTIF($Q56:$U56,"?*")&gt;0,", ","")&amp;"dificultad","")</f>
        <v/>
      </c>
      <c r="W56">
        <f>IF(AND(OR($A56="Ítems agrupados por caso clínico o problema",$A56="Emparejamiento Ampliado"),TRIM($I56)&lt;&gt;""),IF(COUNTIF($Q56:$V56,"?*")&gt;0,", ","")&amp;"respuesta debe ir vacia","")</f>
        <v/>
      </c>
      <c r="X56">
        <f>IF(AND(OR($A56="Ítems agrupados por caso clínico o problema",$A56="Emparejamiento Ampliado"),TRIM($J56)&lt;&gt;""),IF(COUNTIF($Q56:$W56,"?*")&gt;0,", ","")&amp;"dificultad debe ir vacia","")</f>
        <v/>
      </c>
      <c r="Y56">
        <f>IF(AND($A56="Verdadero o Falso Simple",OR(COUNTIF($D56:$E56,"?*")&lt;2,COUNTIF($F56:$H56,"?*")&gt;0)),IF(COUNTIF($Q56:$X56,"?*")&gt;0,", ","")&amp;"incisos A-B","")</f>
        <v/>
      </c>
      <c r="Z56">
        <f>IF(AND($A56="Verdadero o Falso Simple",TRIM($I56)&lt;&gt;"",NOT(OR(LEFT(TRIM($I56),1)="A",LEFT(TRIM($I56),1)="B"))),IF(COUNTIF($Q56:$Y56,"?*")&gt;0,", ","")&amp;"respuesta A-B","")</f>
        <v/>
      </c>
      <c r="AA56">
        <f>IF(AND($A56="Respuesta A/B/Ambas/Ninguna",COUNTIF($D56:$G56,"?*")&lt;4),IF(COUNTIF($Q56:$Z56,"?*")&gt;0,", ","")&amp;"opciones A-D","")</f>
        <v/>
      </c>
      <c r="AB56">
        <f>IF(AND($A56="Respuesta A/B/Ambas/Ninguna",COUNTIF($H56:$H56,"?*")&gt;0),IF(COUNTIF($Q56:$AA56,"?*")&gt;0,", ","")&amp;"opcion E deshabilitada","")</f>
        <v/>
      </c>
      <c r="AC56">
        <f>IF(AND($A56="Respuesta A/B/Ambas/Ninguna",TRIM($I56)&lt;&gt;"",NOT(OR(LEFT(TRIM($I56),1)="A",LEFT(TRIM($I56),1)="B",LEFT(TRIM($I56),1)="C",LEFT(TRIM($I56),1)="D"))),IF(COUNTIF($Q56:$AB56,"?*")&gt;0,", ","")&amp;"respuesta A-D","")</f>
        <v/>
      </c>
      <c r="AD56">
        <f>IF(AND($A56="Verdadero o Falso Complejas",OR(LEN(TRIM(SUBSTITUTE($D56,"1.","")))=0,LEN(TRIM(SUBSTITUTE($E56,"2.","")))=0,LEN(TRIM(SUBSTITUTE($F56,"3.","")))=0,LEN(TRIM(SUBSTITUTE($G56,"4.","")))=0)),IF(COUNTIF($Q56:$AC56,"?*")&gt;0,", ","")&amp;"incisos 1-4","")</f>
        <v/>
      </c>
      <c r="AE56">
        <f>IF(AND($A56="Verdadero o Falso Complejas",COUNTIF($H56:$H56,"?*")&gt;0),IF(COUNTIF($Q56:$AD56,"?*")&gt;0,", ","")&amp;"opcion E deshabilitada","")</f>
        <v/>
      </c>
      <c r="AF56">
        <f>IF(AND($A56="Verdadero o Falso Complejas",TRIM($I56)&lt;&gt;"",NOT(OR(LEFT(TRIM($I56),1)="A",LEFT(TRIM($I56),1)="B",LEFT(TRIM($I56),1)="C",LEFT(TRIM($I56),1)="D",LEFT(TRIM($I56),1)="E"))),IF(COUNTIF($Q56:$AE56,"?*")&gt;0,", ","")&amp;"respuesta A-E","")</f>
        <v/>
      </c>
      <c r="AG56">
        <f>IF(AND(OR($A56="Selección de la mejor respuesta",$A56="Subítem de caso o problema"),COUNTA($D56:$H56)&lt;5),IF(COUNTIF($Q56:$AF56,"?*")&gt;0,", ","")&amp;"incisos A-E","")</f>
        <v/>
      </c>
      <c r="AH56">
        <f>IF(AND(OR($A56="Selección de la mejor respuesta",$A56="Subítem de caso o problema"),TRIM($I56)&lt;&gt;"",NOT(OR(LEFT(TRIM($I56),1)="A",LEFT(TRIM($I56),1)="B",LEFT(TRIM($I56),1)="C",LEFT(TRIM($I56),1)="D",LEFT(TRIM($I56),1)="E"))),IF(COUNTIF($Q56:$AG56,"?*")&gt;0,", ","")&amp;"respuesta A-E","")</f>
        <v/>
      </c>
      <c r="AI56">
        <f>IF(AND(OR($A56="Ítems agrupados por caso clínico o problema",$A56="Opción de Emparejamiento Ampliado"),COUNTIF($D56:$H56,"?*")&gt;0),IF(COUNTIF($Q56:$AH56,"?*")&gt;0,", ","")&amp;"sin incisos","")</f>
        <v/>
      </c>
      <c r="AJ56">
        <f>IF(AND($A56="Emparejamiento Ampliado",COUNTIF($D56:$H56,"?*")&lt;2),IF(COUNTIF($Q56:$AI56,"?*")&gt;0,", ","")&amp;"minimo 2 claves","")</f>
        <v/>
      </c>
      <c r="AK56">
        <f>IF(AND($A56="Opción de Emparejamiento Ampliado",NOT(OR(LEFT(TRIM($I56),1)="A",LEFT(TRIM($I56),1)="B",LEFT(TRIM($I56),1)="C",LEFT(TRIM($I56),1)="D",LEFT(TRIM($I56),1)="E"))),IF(COUNTIF($Q56:$AJ56,"?*")&gt;0,", ","")&amp;"respuesta A-E","")</f>
        <v/>
      </c>
      <c r="AL56">
        <f>IF(TRIM($K56)="",IF(COUNTIF($M56:$M56,"?*")&gt;0,", ","")&amp;"parcial","")</f>
        <v/>
      </c>
      <c r="AM56">
        <f>IF(AND(TRIM($K56)&lt;&gt;"",TRIM($K56)&lt;&gt;VALIDACIONES!$G$1),IF(COUNTIF($M56:$N56,"?*")&gt;0,", ","")&amp;"parcial distinto a "&amp;VALIDACIONES!$G$1,"")</f>
        <v/>
      </c>
      <c r="AN56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</row>
    <row r="57" ht="24" customHeight="1">
      <c r="A57" s="346" t="n"/>
      <c r="B57" s="346" t="n"/>
      <c r="C57" s="346" t="n"/>
      <c r="D57" s="346">
        <f>IF($A57="Verdadero o Falso Simple","Verdadero",IF($A57="Respuesta A/B/Ambas/Ninguna","A. Si la primera es verdadera",IF($A57="Verdadero o Falso Complejas","1. ","")))</f>
        <v/>
      </c>
      <c r="E57" s="346">
        <f>IF($A57="Verdadero o Falso Simple","Falso",IF($A57="Respuesta A/B/Ambas/Ninguna","B. Si la segunda es verdadera",IF($A57="Verdadero o Falso Complejas","2. ","")))</f>
        <v/>
      </c>
      <c r="F57" s="346">
        <f>IF($A57="Respuesta A/B/Ambas/Ninguna","C. Si ambas son verdaderas",IF($A57="Verdadero o Falso Complejas","3. ",""))</f>
        <v/>
      </c>
      <c r="G57" s="346">
        <f>IF($A57="Respuesta A/B/Ambas/Ninguna","D. Si ninguna es verdadera",IF($A57="Verdadero o Falso Complejas","4. ",""))</f>
        <v/>
      </c>
      <c r="H57" s="346">
        <f>IF($A57="Verdadero o Falso Simple","",IF($A57="Respuesta A/B/Ambas/Ninguna","",IF($A57="Verdadero o Falso Complejas","","")))</f>
        <v/>
      </c>
      <c r="I57" s="346" t="n"/>
      <c r="J57" s="346" t="n">
        <v>3</v>
      </c>
      <c r="K57" s="346" t="inlineStr">
        <is>
          <t>2P</t>
        </is>
      </c>
      <c r="L57" s="347">
        <f>IF(TRIM($A57)="","",IF(OR($A57="Selección de la mejor respuesta",$A57="SELECCION_MEJOR_RESPUESTA",$A57="Subítem de caso o problema",$A57="SUBITEM_CASO"),IF(TRIM($C57)="","Completar enunciado",IF(SUMPRODUCT(--(LEN(TRIM($D57:$H57&amp;""))&gt;0))&lt;5,"Completar opciones A-E",IF(AND(TRIM($I57)&lt;&gt;"",OR(LEFT(TRIM($I57),1)="A",LEFT(TRIM($I57),1)="B",LEFT(TRIM($I57),1)="C",LEFT(TRIM($I57),1)="D",LEFT(TRIM($I57),1)="E")),"OK","Completar respuesta correcta A-E"))),IF(TRIM($A57)="","",IF(COUNTIF($Q57:$AJ57,"?*")=0,"OK","Falta revisar: "&amp;$Q57&amp;$R57&amp;$S57&amp;$T57&amp;$U57&amp;$V57&amp;$W57&amp;$X57&amp;$Y57&amp;$Z57&amp;$AA57&amp;$AB57&amp;$AC57&amp;$AD57&amp;$AE57&amp;$AF57&amp;$AG57&amp;$AH57&amp;$AI57&amp;$AJ57))))</f>
        <v/>
      </c>
      <c r="M57" s="341" t="n"/>
      <c r="Q57">
        <f>IF(TRIM($C57)="","enunciado","")</f>
        <v/>
      </c>
      <c r="R57">
        <f>IF(TRIM($K57)="",IF(COUNTIF($Q57:$Q57,"?*")&gt;0,", ","")&amp;"parcial","")</f>
        <v/>
      </c>
      <c r="S57">
        <f>IF(AND(TRIM($K57)&lt;&gt;"",TRIM($K57)&lt;&gt;VALIDACIONES!$G$1),IF(COUNTIF($Q57:$R57,"?*")&gt;0,", ","")&amp;"parcial distinto a "&amp;VALIDACIONES!$G$1,"")</f>
        <v/>
      </c>
      <c r="T57">
        <f>IF(AND(OR($A57="Ítems agrupados por caso clínico o problema",$A57="Subítem de caso o problema",$A57="Emparejamiento Ampliado",$A57="Opción de Emparejamiento Ampliado"),TRIM($B57)=""),IF(COUNTIF($Q57:$S57,"?*")&gt;0,", ","")&amp;"grupo","")</f>
        <v/>
      </c>
      <c r="U57">
        <f>IF(AND(OR($A57="Verdadero o Falso Simple",$A57="Respuesta A/B/Ambas/Ninguna",$A57="Verdadero o Falso Complejas",$A57="Selección de la mejor respuesta",$A57="Subítem de caso o problema",$A57="Opción de Emparejamiento Ampliado"),TRIM($I57)=""),IF(COUNTIF($Q57:$T57,"?*")&gt;0,", ","")&amp;"respuesta_correcta","")</f>
        <v/>
      </c>
      <c r="V57">
        <f>IF(AND(OR($A57="Verdadero o Falso Simple",$A57="Respuesta A/B/Ambas/Ninguna",$A57="Verdadero o Falso Complejas",$A57="Selección de la mejor respuesta",$A57="Subítem de caso o problema",$A57="Opción de Emparejamiento Ampliado"),TRIM($J57)=""),IF(COUNTIF($Q57:$U57,"?*")&gt;0,", ","")&amp;"dificultad","")</f>
        <v/>
      </c>
      <c r="W57">
        <f>IF(AND(OR($A57="Ítems agrupados por caso clínico o problema",$A57="Emparejamiento Ampliado"),TRIM($I57)&lt;&gt;""),IF(COUNTIF($Q57:$V57,"?*")&gt;0,", ","")&amp;"respuesta debe ir vacia","")</f>
        <v/>
      </c>
      <c r="X57">
        <f>IF(AND(OR($A57="Ítems agrupados por caso clínico o problema",$A57="Emparejamiento Ampliado"),TRIM($J57)&lt;&gt;""),IF(COUNTIF($Q57:$W57,"?*")&gt;0,", ","")&amp;"dificultad debe ir vacia","")</f>
        <v/>
      </c>
      <c r="Y57">
        <f>IF(AND($A57="Verdadero o Falso Simple",OR(COUNTIF($D57:$E57,"?*")&lt;2,COUNTIF($F57:$H57,"?*")&gt;0)),IF(COUNTIF($Q57:$X57,"?*")&gt;0,", ","")&amp;"incisos A-B","")</f>
        <v/>
      </c>
      <c r="Z57">
        <f>IF(AND($A57="Verdadero o Falso Simple",TRIM($I57)&lt;&gt;"",NOT(OR(LEFT(TRIM($I57),1)="A",LEFT(TRIM($I57),1)="B"))),IF(COUNTIF($Q57:$Y57,"?*")&gt;0,", ","")&amp;"respuesta A-B","")</f>
        <v/>
      </c>
      <c r="AA57">
        <f>IF(AND($A57="Respuesta A/B/Ambas/Ninguna",COUNTIF($D57:$G57,"?*")&lt;4),IF(COUNTIF($Q57:$Z57,"?*")&gt;0,", ","")&amp;"opciones A-D","")</f>
        <v/>
      </c>
      <c r="AB57">
        <f>IF(AND($A57="Respuesta A/B/Ambas/Ninguna",COUNTIF($H57:$H57,"?*")&gt;0),IF(COUNTIF($Q57:$AA57,"?*")&gt;0,", ","")&amp;"opcion E deshabilitada","")</f>
        <v/>
      </c>
      <c r="AC57">
        <f>IF(AND($A57="Respuesta A/B/Ambas/Ninguna",TRIM($I57)&lt;&gt;"",NOT(OR(LEFT(TRIM($I57),1)="A",LEFT(TRIM($I57),1)="B",LEFT(TRIM($I57),1)="C",LEFT(TRIM($I57),1)="D"))),IF(COUNTIF($Q57:$AB57,"?*")&gt;0,", ","")&amp;"respuesta A-D","")</f>
        <v/>
      </c>
      <c r="AD57">
        <f>IF(AND($A57="Verdadero o Falso Complejas",OR(LEN(TRIM(SUBSTITUTE($D57,"1.","")))=0,LEN(TRIM(SUBSTITUTE($E57,"2.","")))=0,LEN(TRIM(SUBSTITUTE($F57,"3.","")))=0,LEN(TRIM(SUBSTITUTE($G57,"4.","")))=0)),IF(COUNTIF($Q57:$AC57,"?*")&gt;0,", ","")&amp;"incisos 1-4","")</f>
        <v/>
      </c>
      <c r="AE57">
        <f>IF(AND($A57="Verdadero o Falso Complejas",COUNTIF($H57:$H57,"?*")&gt;0),IF(COUNTIF($Q57:$AD57,"?*")&gt;0,", ","")&amp;"opcion E deshabilitada","")</f>
        <v/>
      </c>
      <c r="AF57">
        <f>IF(AND($A57="Verdadero o Falso Complejas",TRIM($I57)&lt;&gt;"",NOT(OR(LEFT(TRIM($I57),1)="A",LEFT(TRIM($I57),1)="B",LEFT(TRIM($I57),1)="C",LEFT(TRIM($I57),1)="D",LEFT(TRIM($I57),1)="E"))),IF(COUNTIF($Q57:$AE57,"?*")&gt;0,", ","")&amp;"respuesta A-E","")</f>
        <v/>
      </c>
      <c r="AG57">
        <f>IF(AND(OR($A57="Selección de la mejor respuesta",$A57="Subítem de caso o problema"),COUNTA($D57:$H57)&lt;5),IF(COUNTIF($Q57:$AF57,"?*")&gt;0,", ","")&amp;"incisos A-E","")</f>
        <v/>
      </c>
      <c r="AH57">
        <f>IF(AND(OR($A57="Selección de la mejor respuesta",$A57="Subítem de caso o problema"),TRIM($I57)&lt;&gt;"",NOT(OR(LEFT(TRIM($I57),1)="A",LEFT(TRIM($I57),1)="B",LEFT(TRIM($I57),1)="C",LEFT(TRIM($I57),1)="D",LEFT(TRIM($I57),1)="E"))),IF(COUNTIF($Q57:$AG57,"?*")&gt;0,", ","")&amp;"respuesta A-E","")</f>
        <v/>
      </c>
      <c r="AI57">
        <f>IF(AND(OR($A57="Ítems agrupados por caso clínico o problema",$A57="Opción de Emparejamiento Ampliado"),COUNTIF($D57:$H57,"?*")&gt;0),IF(COUNTIF($Q57:$AH57,"?*")&gt;0,", ","")&amp;"sin incisos","")</f>
        <v/>
      </c>
      <c r="AJ57">
        <f>IF(AND($A57="Emparejamiento Ampliado",COUNTIF($D57:$H57,"?*")&lt;2),IF(COUNTIF($Q57:$AI57,"?*")&gt;0,", ","")&amp;"minimo 2 claves","")</f>
        <v/>
      </c>
      <c r="AK57">
        <f>IF(AND($A57="Opción de Emparejamiento Ampliado",NOT(OR(LEFT(TRIM($I57),1)="A",LEFT(TRIM($I57),1)="B",LEFT(TRIM($I57),1)="C",LEFT(TRIM($I57),1)="D",LEFT(TRIM($I57),1)="E"))),IF(COUNTIF($Q57:$AJ57,"?*")&gt;0,", ","")&amp;"respuesta A-E","")</f>
        <v/>
      </c>
      <c r="AL57">
        <f>IF(TRIM($K57)="",IF(COUNTIF($M57:$M57,"?*")&gt;0,", ","")&amp;"parcial","")</f>
        <v/>
      </c>
      <c r="AM57">
        <f>IF(AND(TRIM($K57)&lt;&gt;"",TRIM($K57)&lt;&gt;VALIDACIONES!$G$1),IF(COUNTIF($M57:$N57,"?*")&gt;0,", ","")&amp;"parcial distinto a "&amp;VALIDACIONES!$G$1,"")</f>
        <v/>
      </c>
      <c r="AN57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</row>
    <row r="58" ht="24" customHeight="1">
      <c r="A58" s="346" t="n"/>
      <c r="B58" s="346" t="n"/>
      <c r="C58" s="346" t="n"/>
      <c r="D58" s="346">
        <f>IF($A58="Verdadero o Falso Simple","Verdadero",IF($A58="Respuesta A/B/Ambas/Ninguna","A. Si la primera es verdadera",IF($A58="Verdadero o Falso Complejas","1. ","")))</f>
        <v/>
      </c>
      <c r="E58" s="346">
        <f>IF($A58="Verdadero o Falso Simple","Falso",IF($A58="Respuesta A/B/Ambas/Ninguna","B. Si la segunda es verdadera",IF($A58="Verdadero o Falso Complejas","2. ","")))</f>
        <v/>
      </c>
      <c r="F58" s="346">
        <f>IF($A58="Respuesta A/B/Ambas/Ninguna","C. Si ambas son verdaderas",IF($A58="Verdadero o Falso Complejas","3. ",""))</f>
        <v/>
      </c>
      <c r="G58" s="346">
        <f>IF($A58="Respuesta A/B/Ambas/Ninguna","D. Si ninguna es verdadera",IF($A58="Verdadero o Falso Complejas","4. ",""))</f>
        <v/>
      </c>
      <c r="H58" s="346">
        <f>IF($A58="Verdadero o Falso Simple","",IF($A58="Respuesta A/B/Ambas/Ninguna","",IF($A58="Verdadero o Falso Complejas","","")))</f>
        <v/>
      </c>
      <c r="I58" s="346" t="n"/>
      <c r="J58" s="346" t="n">
        <v>3</v>
      </c>
      <c r="K58" s="346" t="inlineStr">
        <is>
          <t>2P</t>
        </is>
      </c>
      <c r="L58" s="347">
        <f>IF(TRIM($A58)="","",IF(OR($A58="Selección de la mejor respuesta",$A58="SELECCION_MEJOR_RESPUESTA",$A58="Subítem de caso o problema",$A58="SUBITEM_CASO"),IF(TRIM($C58)="","Completar enunciado",IF(SUMPRODUCT(--(LEN(TRIM($D58:$H58&amp;""))&gt;0))&lt;5,"Completar opciones A-E",IF(AND(TRIM($I58)&lt;&gt;"",OR(LEFT(TRIM($I58),1)="A",LEFT(TRIM($I58),1)="B",LEFT(TRIM($I58),1)="C",LEFT(TRIM($I58),1)="D",LEFT(TRIM($I58),1)="E")),"OK","Completar respuesta correcta A-E"))),IF(TRIM($A58)="","",IF(COUNTIF($Q58:$AJ58,"?*")=0,"OK","Falta revisar: "&amp;$Q58&amp;$R58&amp;$S58&amp;$T58&amp;$U58&amp;$V58&amp;$W58&amp;$X58&amp;$Y58&amp;$Z58&amp;$AA58&amp;$AB58&amp;$AC58&amp;$AD58&amp;$AE58&amp;$AF58&amp;$AG58&amp;$AH58&amp;$AI58&amp;$AJ58))))</f>
        <v/>
      </c>
      <c r="M58" s="341" t="n"/>
      <c r="Q58">
        <f>IF(TRIM($C58)="","enunciado","")</f>
        <v/>
      </c>
      <c r="R58">
        <f>IF(TRIM($K58)="",IF(COUNTIF($Q58:$Q58,"?*")&gt;0,", ","")&amp;"parcial","")</f>
        <v/>
      </c>
      <c r="S58">
        <f>IF(AND(TRIM($K58)&lt;&gt;"",TRIM($K58)&lt;&gt;VALIDACIONES!$G$1),IF(COUNTIF($Q58:$R58,"?*")&gt;0,", ","")&amp;"parcial distinto a "&amp;VALIDACIONES!$G$1,"")</f>
        <v/>
      </c>
      <c r="T58">
        <f>IF(AND(OR($A58="Ítems agrupados por caso clínico o problema",$A58="Subítem de caso o problema",$A58="Emparejamiento Ampliado",$A58="Opción de Emparejamiento Ampliado"),TRIM($B58)=""),IF(COUNTIF($Q58:$S58,"?*")&gt;0,", ","")&amp;"grupo","")</f>
        <v/>
      </c>
      <c r="U58">
        <f>IF(AND(OR($A58="Verdadero o Falso Simple",$A58="Respuesta A/B/Ambas/Ninguna",$A58="Verdadero o Falso Complejas",$A58="Selección de la mejor respuesta",$A58="Subítem de caso o problema",$A58="Opción de Emparejamiento Ampliado"),TRIM($I58)=""),IF(COUNTIF($Q58:$T58,"?*")&gt;0,", ","")&amp;"respuesta_correcta","")</f>
        <v/>
      </c>
      <c r="V58">
        <f>IF(AND(OR($A58="Verdadero o Falso Simple",$A58="Respuesta A/B/Ambas/Ninguna",$A58="Verdadero o Falso Complejas",$A58="Selección de la mejor respuesta",$A58="Subítem de caso o problema",$A58="Opción de Emparejamiento Ampliado"),TRIM($J58)=""),IF(COUNTIF($Q58:$U58,"?*")&gt;0,", ","")&amp;"dificultad","")</f>
        <v/>
      </c>
      <c r="W58">
        <f>IF(AND(OR($A58="Ítems agrupados por caso clínico o problema",$A58="Emparejamiento Ampliado"),TRIM($I58)&lt;&gt;""),IF(COUNTIF($Q58:$V58,"?*")&gt;0,", ","")&amp;"respuesta debe ir vacia","")</f>
        <v/>
      </c>
      <c r="X58">
        <f>IF(AND(OR($A58="Ítems agrupados por caso clínico o problema",$A58="Emparejamiento Ampliado"),TRIM($J58)&lt;&gt;""),IF(COUNTIF($Q58:$W58,"?*")&gt;0,", ","")&amp;"dificultad debe ir vacia","")</f>
        <v/>
      </c>
      <c r="Y58">
        <f>IF(AND($A58="Verdadero o Falso Simple",OR(COUNTIF($D58:$E58,"?*")&lt;2,COUNTIF($F58:$H58,"?*")&gt;0)),IF(COUNTIF($Q58:$X58,"?*")&gt;0,", ","")&amp;"incisos A-B","")</f>
        <v/>
      </c>
      <c r="Z58">
        <f>IF(AND($A58="Verdadero o Falso Simple",TRIM($I58)&lt;&gt;"",NOT(OR(LEFT(TRIM($I58),1)="A",LEFT(TRIM($I58),1)="B"))),IF(COUNTIF($Q58:$Y58,"?*")&gt;0,", ","")&amp;"respuesta A-B","")</f>
        <v/>
      </c>
      <c r="AA58">
        <f>IF(AND($A58="Respuesta A/B/Ambas/Ninguna",COUNTIF($D58:$G58,"?*")&lt;4),IF(COUNTIF($Q58:$Z58,"?*")&gt;0,", ","")&amp;"opciones A-D","")</f>
        <v/>
      </c>
      <c r="AB58">
        <f>IF(AND($A58="Respuesta A/B/Ambas/Ninguna",COUNTIF($H58:$H58,"?*")&gt;0),IF(COUNTIF($Q58:$AA58,"?*")&gt;0,", ","")&amp;"opcion E deshabilitada","")</f>
        <v/>
      </c>
      <c r="AC58">
        <f>IF(AND($A58="Respuesta A/B/Ambas/Ninguna",TRIM($I58)&lt;&gt;"",NOT(OR(LEFT(TRIM($I58),1)="A",LEFT(TRIM($I58),1)="B",LEFT(TRIM($I58),1)="C",LEFT(TRIM($I58),1)="D"))),IF(COUNTIF($Q58:$AB58,"?*")&gt;0,", ","")&amp;"respuesta A-D","")</f>
        <v/>
      </c>
      <c r="AD58">
        <f>IF(AND($A58="Verdadero o Falso Complejas",OR(LEN(TRIM(SUBSTITUTE($D58,"1.","")))=0,LEN(TRIM(SUBSTITUTE($E58,"2.","")))=0,LEN(TRIM(SUBSTITUTE($F58,"3.","")))=0,LEN(TRIM(SUBSTITUTE($G58,"4.","")))=0)),IF(COUNTIF($Q58:$AC58,"?*")&gt;0,", ","")&amp;"incisos 1-4","")</f>
        <v/>
      </c>
      <c r="AE58">
        <f>IF(AND($A58="Verdadero o Falso Complejas",COUNTIF($H58:$H58,"?*")&gt;0),IF(COUNTIF($Q58:$AD58,"?*")&gt;0,", ","")&amp;"opcion E deshabilitada","")</f>
        <v/>
      </c>
      <c r="AF58">
        <f>IF(AND($A58="Verdadero o Falso Complejas",TRIM($I58)&lt;&gt;"",NOT(OR(LEFT(TRIM($I58),1)="A",LEFT(TRIM($I58),1)="B",LEFT(TRIM($I58),1)="C",LEFT(TRIM($I58),1)="D",LEFT(TRIM($I58),1)="E"))),IF(COUNTIF($Q58:$AE58,"?*")&gt;0,", ","")&amp;"respuesta A-E","")</f>
        <v/>
      </c>
      <c r="AG58">
        <f>IF(AND(OR($A58="Selección de la mejor respuesta",$A58="Subítem de caso o problema"),COUNTA($D58:$H58)&lt;5),IF(COUNTIF($Q58:$AF58,"?*")&gt;0,", ","")&amp;"incisos A-E","")</f>
        <v/>
      </c>
      <c r="AH58">
        <f>IF(AND(OR($A58="Selección de la mejor respuesta",$A58="Subítem de caso o problema"),TRIM($I58)&lt;&gt;"",NOT(OR(LEFT(TRIM($I58),1)="A",LEFT(TRIM($I58),1)="B",LEFT(TRIM($I58),1)="C",LEFT(TRIM($I58),1)="D",LEFT(TRIM($I58),1)="E"))),IF(COUNTIF($Q58:$AG58,"?*")&gt;0,", ","")&amp;"respuesta A-E","")</f>
        <v/>
      </c>
      <c r="AI58">
        <f>IF(AND(OR($A58="Ítems agrupados por caso clínico o problema",$A58="Opción de Emparejamiento Ampliado"),COUNTIF($D58:$H58,"?*")&gt;0),IF(COUNTIF($Q58:$AH58,"?*")&gt;0,", ","")&amp;"sin incisos","")</f>
        <v/>
      </c>
      <c r="AJ58">
        <f>IF(AND($A58="Emparejamiento Ampliado",COUNTIF($D58:$H58,"?*")&lt;2),IF(COUNTIF($Q58:$AI58,"?*")&gt;0,", ","")&amp;"minimo 2 claves","")</f>
        <v/>
      </c>
      <c r="AK58">
        <f>IF(AND($A58="Opción de Emparejamiento Ampliado",NOT(OR(LEFT(TRIM($I58),1)="A",LEFT(TRIM($I58),1)="B",LEFT(TRIM($I58),1)="C",LEFT(TRIM($I58),1)="D",LEFT(TRIM($I58),1)="E"))),IF(COUNTIF($Q58:$AJ58,"?*")&gt;0,", ","")&amp;"respuesta A-E","")</f>
        <v/>
      </c>
      <c r="AL58">
        <f>IF(TRIM($K58)="",IF(COUNTIF($M58:$M58,"?*")&gt;0,", ","")&amp;"parcial","")</f>
        <v/>
      </c>
      <c r="AM58">
        <f>IF(AND(TRIM($K58)&lt;&gt;"",TRIM($K58)&lt;&gt;VALIDACIONES!$G$1),IF(COUNTIF($M58:$N58,"?*")&gt;0,", ","")&amp;"parcial distinto a "&amp;VALIDACIONES!$G$1,"")</f>
        <v/>
      </c>
      <c r="AN58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</row>
    <row r="59" ht="24" customHeight="1">
      <c r="A59" s="346" t="n"/>
      <c r="B59" s="346" t="n"/>
      <c r="C59" s="346" t="n"/>
      <c r="D59" s="346">
        <f>IF($A59="Verdadero o Falso Simple","Verdadero",IF($A59="Respuesta A/B/Ambas/Ninguna","A. Si la primera es verdadera",IF($A59="Verdadero o Falso Complejas","1. ","")))</f>
        <v/>
      </c>
      <c r="E59" s="346">
        <f>IF($A59="Verdadero o Falso Simple","Falso",IF($A59="Respuesta A/B/Ambas/Ninguna","B. Si la segunda es verdadera",IF($A59="Verdadero o Falso Complejas","2. ","")))</f>
        <v/>
      </c>
      <c r="F59" s="346">
        <f>IF($A59="Respuesta A/B/Ambas/Ninguna","C. Si ambas son verdaderas",IF($A59="Verdadero o Falso Complejas","3. ",""))</f>
        <v/>
      </c>
      <c r="G59" s="346">
        <f>IF($A59="Respuesta A/B/Ambas/Ninguna","D. Si ninguna es verdadera",IF($A59="Verdadero o Falso Complejas","4. ",""))</f>
        <v/>
      </c>
      <c r="H59" s="346">
        <f>IF($A59="Verdadero o Falso Simple","",IF($A59="Respuesta A/B/Ambas/Ninguna","",IF($A59="Verdadero o Falso Complejas","","")))</f>
        <v/>
      </c>
      <c r="I59" s="346" t="n"/>
      <c r="J59" s="346" t="n">
        <v>3</v>
      </c>
      <c r="K59" s="346" t="inlineStr">
        <is>
          <t>2P</t>
        </is>
      </c>
      <c r="L59" s="347">
        <f>IF(TRIM($A59)="","",IF(OR($A59="Selección de la mejor respuesta",$A59="SELECCION_MEJOR_RESPUESTA",$A59="Subítem de caso o problema",$A59="SUBITEM_CASO"),IF(TRIM($C59)="","Completar enunciado",IF(SUMPRODUCT(--(LEN(TRIM($D59:$H59&amp;""))&gt;0))&lt;5,"Completar opciones A-E",IF(AND(TRIM($I59)&lt;&gt;"",OR(LEFT(TRIM($I59),1)="A",LEFT(TRIM($I59),1)="B",LEFT(TRIM($I59),1)="C",LEFT(TRIM($I59),1)="D",LEFT(TRIM($I59),1)="E")),"OK","Completar respuesta correcta A-E"))),IF(TRIM($A59)="","",IF(COUNTIF($Q59:$AJ59,"?*")=0,"OK","Falta revisar: "&amp;$Q59&amp;$R59&amp;$S59&amp;$T59&amp;$U59&amp;$V59&amp;$W59&amp;$X59&amp;$Y59&amp;$Z59&amp;$AA59&amp;$AB59&amp;$AC59&amp;$AD59&amp;$AE59&amp;$AF59&amp;$AG59&amp;$AH59&amp;$AI59&amp;$AJ59))))</f>
        <v/>
      </c>
      <c r="M59" s="341" t="n"/>
      <c r="Q59">
        <f>IF(TRIM($C59)="","enunciado","")</f>
        <v/>
      </c>
      <c r="R59">
        <f>IF(TRIM($K59)="",IF(COUNTIF($Q59:$Q59,"?*")&gt;0,", ","")&amp;"parcial","")</f>
        <v/>
      </c>
      <c r="S59">
        <f>IF(AND(TRIM($K59)&lt;&gt;"",TRIM($K59)&lt;&gt;VALIDACIONES!$G$1),IF(COUNTIF($Q59:$R59,"?*")&gt;0,", ","")&amp;"parcial distinto a "&amp;VALIDACIONES!$G$1,"")</f>
        <v/>
      </c>
      <c r="T59">
        <f>IF(AND(OR($A59="Ítems agrupados por caso clínico o problema",$A59="Subítem de caso o problema",$A59="Emparejamiento Ampliado",$A59="Opción de Emparejamiento Ampliado"),TRIM($B59)=""),IF(COUNTIF($Q59:$S59,"?*")&gt;0,", ","")&amp;"grupo","")</f>
        <v/>
      </c>
      <c r="U59">
        <f>IF(AND(OR($A59="Verdadero o Falso Simple",$A59="Respuesta A/B/Ambas/Ninguna",$A59="Verdadero o Falso Complejas",$A59="Selección de la mejor respuesta",$A59="Subítem de caso o problema",$A59="Opción de Emparejamiento Ampliado"),TRIM($I59)=""),IF(COUNTIF($Q59:$T59,"?*")&gt;0,", ","")&amp;"respuesta_correcta","")</f>
        <v/>
      </c>
      <c r="V59">
        <f>IF(AND(OR($A59="Verdadero o Falso Simple",$A59="Respuesta A/B/Ambas/Ninguna",$A59="Verdadero o Falso Complejas",$A59="Selección de la mejor respuesta",$A59="Subítem de caso o problema",$A59="Opción de Emparejamiento Ampliado"),TRIM($J59)=""),IF(COUNTIF($Q59:$U59,"?*")&gt;0,", ","")&amp;"dificultad","")</f>
        <v/>
      </c>
      <c r="W59">
        <f>IF(AND(OR($A59="Ítems agrupados por caso clínico o problema",$A59="Emparejamiento Ampliado"),TRIM($I59)&lt;&gt;""),IF(COUNTIF($Q59:$V59,"?*")&gt;0,", ","")&amp;"respuesta debe ir vacia","")</f>
        <v/>
      </c>
      <c r="X59">
        <f>IF(AND(OR($A59="Ítems agrupados por caso clínico o problema",$A59="Emparejamiento Ampliado"),TRIM($J59)&lt;&gt;""),IF(COUNTIF($Q59:$W59,"?*")&gt;0,", ","")&amp;"dificultad debe ir vacia","")</f>
        <v/>
      </c>
      <c r="Y59">
        <f>IF(AND($A59="Verdadero o Falso Simple",OR(COUNTIF($D59:$E59,"?*")&lt;2,COUNTIF($F59:$H59,"?*")&gt;0)),IF(COUNTIF($Q59:$X59,"?*")&gt;0,", ","")&amp;"incisos A-B","")</f>
        <v/>
      </c>
      <c r="Z59">
        <f>IF(AND($A59="Verdadero o Falso Simple",TRIM($I59)&lt;&gt;"",NOT(OR(LEFT(TRIM($I59),1)="A",LEFT(TRIM($I59),1)="B"))),IF(COUNTIF($Q59:$Y59,"?*")&gt;0,", ","")&amp;"respuesta A-B","")</f>
        <v/>
      </c>
      <c r="AA59">
        <f>IF(AND($A59="Respuesta A/B/Ambas/Ninguna",COUNTIF($D59:$G59,"?*")&lt;4),IF(COUNTIF($Q59:$Z59,"?*")&gt;0,", ","")&amp;"opciones A-D","")</f>
        <v/>
      </c>
      <c r="AB59">
        <f>IF(AND($A59="Respuesta A/B/Ambas/Ninguna",COUNTIF($H59:$H59,"?*")&gt;0),IF(COUNTIF($Q59:$AA59,"?*")&gt;0,", ","")&amp;"opcion E deshabilitada","")</f>
        <v/>
      </c>
      <c r="AC59">
        <f>IF(AND($A59="Respuesta A/B/Ambas/Ninguna",TRIM($I59)&lt;&gt;"",NOT(OR(LEFT(TRIM($I59),1)="A",LEFT(TRIM($I59),1)="B",LEFT(TRIM($I59),1)="C",LEFT(TRIM($I59),1)="D"))),IF(COUNTIF($Q59:$AB59,"?*")&gt;0,", ","")&amp;"respuesta A-D","")</f>
        <v/>
      </c>
      <c r="AD59">
        <f>IF(AND($A59="Verdadero o Falso Complejas",OR(LEN(TRIM(SUBSTITUTE($D59,"1.","")))=0,LEN(TRIM(SUBSTITUTE($E59,"2.","")))=0,LEN(TRIM(SUBSTITUTE($F59,"3.","")))=0,LEN(TRIM(SUBSTITUTE($G59,"4.","")))=0)),IF(COUNTIF($Q59:$AC59,"?*")&gt;0,", ","")&amp;"incisos 1-4","")</f>
        <v/>
      </c>
      <c r="AE59">
        <f>IF(AND($A59="Verdadero o Falso Complejas",COUNTIF($H59:$H59,"?*")&gt;0),IF(COUNTIF($Q59:$AD59,"?*")&gt;0,", ","")&amp;"opcion E deshabilitada","")</f>
        <v/>
      </c>
      <c r="AF59">
        <f>IF(AND($A59="Verdadero o Falso Complejas",TRIM($I59)&lt;&gt;"",NOT(OR(LEFT(TRIM($I59),1)="A",LEFT(TRIM($I59),1)="B",LEFT(TRIM($I59),1)="C",LEFT(TRIM($I59),1)="D",LEFT(TRIM($I59),1)="E"))),IF(COUNTIF($Q59:$AE59,"?*")&gt;0,", ","")&amp;"respuesta A-E","")</f>
        <v/>
      </c>
      <c r="AG59">
        <f>IF(AND(OR($A59="Selección de la mejor respuesta",$A59="Subítem de caso o problema"),COUNTA($D59:$H59)&lt;5),IF(COUNTIF($Q59:$AF59,"?*")&gt;0,", ","")&amp;"incisos A-E","")</f>
        <v/>
      </c>
      <c r="AH59">
        <f>IF(AND(OR($A59="Selección de la mejor respuesta",$A59="Subítem de caso o problema"),TRIM($I59)&lt;&gt;"",NOT(OR(LEFT(TRIM($I59),1)="A",LEFT(TRIM($I59),1)="B",LEFT(TRIM($I59),1)="C",LEFT(TRIM($I59),1)="D",LEFT(TRIM($I59),1)="E"))),IF(COUNTIF($Q59:$AG59,"?*")&gt;0,", ","")&amp;"respuesta A-E","")</f>
        <v/>
      </c>
      <c r="AI59">
        <f>IF(AND(OR($A59="Ítems agrupados por caso clínico o problema",$A59="Opción de Emparejamiento Ampliado"),COUNTIF($D59:$H59,"?*")&gt;0),IF(COUNTIF($Q59:$AH59,"?*")&gt;0,", ","")&amp;"sin incisos","")</f>
        <v/>
      </c>
      <c r="AJ59">
        <f>IF(AND($A59="Emparejamiento Ampliado",COUNTIF($D59:$H59,"?*")&lt;2),IF(COUNTIF($Q59:$AI59,"?*")&gt;0,", ","")&amp;"minimo 2 claves","")</f>
        <v/>
      </c>
      <c r="AK59">
        <f>IF(AND($A59="Opción de Emparejamiento Ampliado",NOT(OR(LEFT(TRIM($I59),1)="A",LEFT(TRIM($I59),1)="B",LEFT(TRIM($I59),1)="C",LEFT(TRIM($I59),1)="D",LEFT(TRIM($I59),1)="E"))),IF(COUNTIF($Q59:$AJ59,"?*")&gt;0,", ","")&amp;"respuesta A-E","")</f>
        <v/>
      </c>
      <c r="AL59">
        <f>IF(TRIM($K59)="",IF(COUNTIF($M59:$M59,"?*")&gt;0,", ","")&amp;"parcial","")</f>
        <v/>
      </c>
      <c r="AM59">
        <f>IF(AND(TRIM($K59)&lt;&gt;"",TRIM($K59)&lt;&gt;VALIDACIONES!$G$1),IF(COUNTIF($M59:$N59,"?*")&gt;0,", ","")&amp;"parcial distinto a "&amp;VALIDACIONES!$G$1,"")</f>
        <v/>
      </c>
      <c r="AN59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</row>
    <row r="60" ht="24" customHeight="1">
      <c r="A60" s="346" t="n"/>
      <c r="B60" s="346" t="n"/>
      <c r="C60" s="346" t="n"/>
      <c r="D60" s="346">
        <f>IF($A60="Verdadero o Falso Simple","Verdadero",IF($A60="Respuesta A/B/Ambas/Ninguna","A. Si la primera es verdadera",IF($A60="Verdadero o Falso Complejas","1. ","")))</f>
        <v/>
      </c>
      <c r="E60" s="346">
        <f>IF($A60="Verdadero o Falso Simple","Falso",IF($A60="Respuesta A/B/Ambas/Ninguna","B. Si la segunda es verdadera",IF($A60="Verdadero o Falso Complejas","2. ","")))</f>
        <v/>
      </c>
      <c r="F60" s="346">
        <f>IF($A60="Respuesta A/B/Ambas/Ninguna","C. Si ambas son verdaderas",IF($A60="Verdadero o Falso Complejas","3. ",""))</f>
        <v/>
      </c>
      <c r="G60" s="346">
        <f>IF($A60="Respuesta A/B/Ambas/Ninguna","D. Si ninguna es verdadera",IF($A60="Verdadero o Falso Complejas","4. ",""))</f>
        <v/>
      </c>
      <c r="H60" s="346">
        <f>IF($A60="Verdadero o Falso Simple","",IF($A60="Respuesta A/B/Ambas/Ninguna","",IF($A60="Verdadero o Falso Complejas","","")))</f>
        <v/>
      </c>
      <c r="I60" s="346" t="n"/>
      <c r="J60" s="346" t="n">
        <v>3</v>
      </c>
      <c r="K60" s="346" t="inlineStr">
        <is>
          <t>2P</t>
        </is>
      </c>
      <c r="L60" s="347">
        <f>IF(TRIM($A60)="","",IF(OR($A60="Selección de la mejor respuesta",$A60="SELECCION_MEJOR_RESPUESTA",$A60="Subítem de caso o problema",$A60="SUBITEM_CASO"),IF(TRIM($C60)="","Completar enunciado",IF(SUMPRODUCT(--(LEN(TRIM($D60:$H60&amp;""))&gt;0))&lt;5,"Completar opciones A-E",IF(AND(TRIM($I60)&lt;&gt;"",OR(LEFT(TRIM($I60),1)="A",LEFT(TRIM($I60),1)="B",LEFT(TRIM($I60),1)="C",LEFT(TRIM($I60),1)="D",LEFT(TRIM($I60),1)="E")),"OK","Completar respuesta correcta A-E"))),IF(TRIM($A60)="","",IF(COUNTIF($Q60:$AJ60,"?*")=0,"OK","Falta revisar: "&amp;$Q60&amp;$R60&amp;$S60&amp;$T60&amp;$U60&amp;$V60&amp;$W60&amp;$X60&amp;$Y60&amp;$Z60&amp;$AA60&amp;$AB60&amp;$AC60&amp;$AD60&amp;$AE60&amp;$AF60&amp;$AG60&amp;$AH60&amp;$AI60&amp;$AJ60))))</f>
        <v/>
      </c>
      <c r="M60" s="341" t="n"/>
      <c r="Q60">
        <f>IF(TRIM($C60)="","enunciado","")</f>
        <v/>
      </c>
      <c r="R60">
        <f>IF(TRIM($K60)="",IF(COUNTIF($Q60:$Q60,"?*")&gt;0,", ","")&amp;"parcial","")</f>
        <v/>
      </c>
      <c r="S60">
        <f>IF(AND(TRIM($K60)&lt;&gt;"",TRIM($K60)&lt;&gt;VALIDACIONES!$G$1),IF(COUNTIF($Q60:$R60,"?*")&gt;0,", ","")&amp;"parcial distinto a "&amp;VALIDACIONES!$G$1,"")</f>
        <v/>
      </c>
      <c r="T60">
        <f>IF(AND(OR($A60="Ítems agrupados por caso clínico o problema",$A60="Subítem de caso o problema",$A60="Emparejamiento Ampliado",$A60="Opción de Emparejamiento Ampliado"),TRIM($B60)=""),IF(COUNTIF($Q60:$S60,"?*")&gt;0,", ","")&amp;"grupo","")</f>
        <v/>
      </c>
      <c r="U60">
        <f>IF(AND(OR($A60="Verdadero o Falso Simple",$A60="Respuesta A/B/Ambas/Ninguna",$A60="Verdadero o Falso Complejas",$A60="Selección de la mejor respuesta",$A60="Subítem de caso o problema",$A60="Opción de Emparejamiento Ampliado"),TRIM($I60)=""),IF(COUNTIF($Q60:$T60,"?*")&gt;0,", ","")&amp;"respuesta_correcta","")</f>
        <v/>
      </c>
      <c r="V60">
        <f>IF(AND(OR($A60="Verdadero o Falso Simple",$A60="Respuesta A/B/Ambas/Ninguna",$A60="Verdadero o Falso Complejas",$A60="Selección de la mejor respuesta",$A60="Subítem de caso o problema",$A60="Opción de Emparejamiento Ampliado"),TRIM($J60)=""),IF(COUNTIF($Q60:$U60,"?*")&gt;0,", ","")&amp;"dificultad","")</f>
        <v/>
      </c>
      <c r="W60">
        <f>IF(AND(OR($A60="Ítems agrupados por caso clínico o problema",$A60="Emparejamiento Ampliado"),TRIM($I60)&lt;&gt;""),IF(COUNTIF($Q60:$V60,"?*")&gt;0,", ","")&amp;"respuesta debe ir vacia","")</f>
        <v/>
      </c>
      <c r="X60">
        <f>IF(AND(OR($A60="Ítems agrupados por caso clínico o problema",$A60="Emparejamiento Ampliado"),TRIM($J60)&lt;&gt;""),IF(COUNTIF($Q60:$W60,"?*")&gt;0,", ","")&amp;"dificultad debe ir vacia","")</f>
        <v/>
      </c>
      <c r="Y60">
        <f>IF(AND($A60="Verdadero o Falso Simple",OR(COUNTIF($D60:$E60,"?*")&lt;2,COUNTIF($F60:$H60,"?*")&gt;0)),IF(COUNTIF($Q60:$X60,"?*")&gt;0,", ","")&amp;"incisos A-B","")</f>
        <v/>
      </c>
      <c r="Z60">
        <f>IF(AND($A60="Verdadero o Falso Simple",TRIM($I60)&lt;&gt;"",NOT(OR(LEFT(TRIM($I60),1)="A",LEFT(TRIM($I60),1)="B"))),IF(COUNTIF($Q60:$Y60,"?*")&gt;0,", ","")&amp;"respuesta A-B","")</f>
        <v/>
      </c>
      <c r="AA60">
        <f>IF(AND($A60="Respuesta A/B/Ambas/Ninguna",COUNTIF($D60:$G60,"?*")&lt;4),IF(COUNTIF($Q60:$Z60,"?*")&gt;0,", ","")&amp;"opciones A-D","")</f>
        <v/>
      </c>
      <c r="AB60">
        <f>IF(AND($A60="Respuesta A/B/Ambas/Ninguna",COUNTIF($H60:$H60,"?*")&gt;0),IF(COUNTIF($Q60:$AA60,"?*")&gt;0,", ","")&amp;"opcion E deshabilitada","")</f>
        <v/>
      </c>
      <c r="AC60">
        <f>IF(AND($A60="Respuesta A/B/Ambas/Ninguna",TRIM($I60)&lt;&gt;"",NOT(OR(LEFT(TRIM($I60),1)="A",LEFT(TRIM($I60),1)="B",LEFT(TRIM($I60),1)="C",LEFT(TRIM($I60),1)="D"))),IF(COUNTIF($Q60:$AB60,"?*")&gt;0,", ","")&amp;"respuesta A-D","")</f>
        <v/>
      </c>
      <c r="AD60">
        <f>IF(AND($A60="Verdadero o Falso Complejas",OR(LEN(TRIM(SUBSTITUTE($D60,"1.","")))=0,LEN(TRIM(SUBSTITUTE($E60,"2.","")))=0,LEN(TRIM(SUBSTITUTE($F60,"3.","")))=0,LEN(TRIM(SUBSTITUTE($G60,"4.","")))=0)),IF(COUNTIF($Q60:$AC60,"?*")&gt;0,", ","")&amp;"incisos 1-4","")</f>
        <v/>
      </c>
      <c r="AE60">
        <f>IF(AND($A60="Verdadero o Falso Complejas",COUNTIF($H60:$H60,"?*")&gt;0),IF(COUNTIF($Q60:$AD60,"?*")&gt;0,", ","")&amp;"opcion E deshabilitada","")</f>
        <v/>
      </c>
      <c r="AF60">
        <f>IF(AND($A60="Verdadero o Falso Complejas",TRIM($I60)&lt;&gt;"",NOT(OR(LEFT(TRIM($I60),1)="A",LEFT(TRIM($I60),1)="B",LEFT(TRIM($I60),1)="C",LEFT(TRIM($I60),1)="D",LEFT(TRIM($I60),1)="E"))),IF(COUNTIF($Q60:$AE60,"?*")&gt;0,", ","")&amp;"respuesta A-E","")</f>
        <v/>
      </c>
      <c r="AG60">
        <f>IF(AND(OR($A60="Selección de la mejor respuesta",$A60="Subítem de caso o problema"),COUNTA($D60:$H60)&lt;5),IF(COUNTIF($Q60:$AF60,"?*")&gt;0,", ","")&amp;"incisos A-E","")</f>
        <v/>
      </c>
      <c r="AH60">
        <f>IF(AND(OR($A60="Selección de la mejor respuesta",$A60="Subítem de caso o problema"),TRIM($I60)&lt;&gt;"",NOT(OR(LEFT(TRIM($I60),1)="A",LEFT(TRIM($I60),1)="B",LEFT(TRIM($I60),1)="C",LEFT(TRIM($I60),1)="D",LEFT(TRIM($I60),1)="E"))),IF(COUNTIF($Q60:$AG60,"?*")&gt;0,", ","")&amp;"respuesta A-E","")</f>
        <v/>
      </c>
      <c r="AI60">
        <f>IF(AND(OR($A60="Ítems agrupados por caso clínico o problema",$A60="Opción de Emparejamiento Ampliado"),COUNTIF($D60:$H60,"?*")&gt;0),IF(COUNTIF($Q60:$AH60,"?*")&gt;0,", ","")&amp;"sin incisos","")</f>
        <v/>
      </c>
      <c r="AJ60">
        <f>IF(AND($A60="Emparejamiento Ampliado",COUNTIF($D60:$H60,"?*")&lt;2),IF(COUNTIF($Q60:$AI60,"?*")&gt;0,", ","")&amp;"minimo 2 claves","")</f>
        <v/>
      </c>
      <c r="AK60">
        <f>IF(AND($A60="Opción de Emparejamiento Ampliado",NOT(OR(LEFT(TRIM($I60),1)="A",LEFT(TRIM($I60),1)="B",LEFT(TRIM($I60),1)="C",LEFT(TRIM($I60),1)="D",LEFT(TRIM($I60),1)="E"))),IF(COUNTIF($Q60:$AJ60,"?*")&gt;0,", ","")&amp;"respuesta A-E","")</f>
        <v/>
      </c>
      <c r="AL60">
        <f>IF(TRIM($K60)="",IF(COUNTIF($M60:$M60,"?*")&gt;0,", ","")&amp;"parcial","")</f>
        <v/>
      </c>
      <c r="AM60">
        <f>IF(AND(TRIM($K60)&lt;&gt;"",TRIM($K60)&lt;&gt;VALIDACIONES!$G$1),IF(COUNTIF($M60:$N60,"?*")&gt;0,", ","")&amp;"parcial distinto a "&amp;VALIDACIONES!$G$1,"")</f>
        <v/>
      </c>
      <c r="AN60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</row>
    <row r="61" ht="24" customHeight="1">
      <c r="A61" s="346" t="n"/>
      <c r="B61" s="346" t="n"/>
      <c r="C61" s="346" t="n"/>
      <c r="D61" s="346">
        <f>IF($A61="Verdadero o Falso Simple","Verdadero",IF($A61="Respuesta A/B/Ambas/Ninguna","A. Si la primera es verdadera",IF($A61="Verdadero o Falso Complejas","1. ","")))</f>
        <v/>
      </c>
      <c r="E61" s="346">
        <f>IF($A61="Verdadero o Falso Simple","Falso",IF($A61="Respuesta A/B/Ambas/Ninguna","B. Si la segunda es verdadera",IF($A61="Verdadero o Falso Complejas","2. ","")))</f>
        <v/>
      </c>
      <c r="F61" s="346">
        <f>IF($A61="Respuesta A/B/Ambas/Ninguna","C. Si ambas son verdaderas",IF($A61="Verdadero o Falso Complejas","3. ",""))</f>
        <v/>
      </c>
      <c r="G61" s="346">
        <f>IF($A61="Respuesta A/B/Ambas/Ninguna","D. Si ninguna es verdadera",IF($A61="Verdadero o Falso Complejas","4. ",""))</f>
        <v/>
      </c>
      <c r="H61" s="346">
        <f>IF($A61="Verdadero o Falso Simple","",IF($A61="Respuesta A/B/Ambas/Ninguna","",IF($A61="Verdadero o Falso Complejas","","")))</f>
        <v/>
      </c>
      <c r="I61" s="346" t="n"/>
      <c r="J61" s="346" t="n">
        <v>3</v>
      </c>
      <c r="K61" s="346" t="inlineStr">
        <is>
          <t>2P</t>
        </is>
      </c>
      <c r="L61" s="347">
        <f>IF(TRIM($A61)="","",IF(OR($A61="Selección de la mejor respuesta",$A61="SELECCION_MEJOR_RESPUESTA",$A61="Subítem de caso o problema",$A61="SUBITEM_CASO"),IF(TRIM($C61)="","Completar enunciado",IF(SUMPRODUCT(--(LEN(TRIM($D61:$H61&amp;""))&gt;0))&lt;5,"Completar opciones A-E",IF(AND(TRIM($I61)&lt;&gt;"",OR(LEFT(TRIM($I61),1)="A",LEFT(TRIM($I61),1)="B",LEFT(TRIM($I61),1)="C",LEFT(TRIM($I61),1)="D",LEFT(TRIM($I61),1)="E")),"OK","Completar respuesta correcta A-E"))),IF(TRIM($A61)="","",IF(COUNTIF($Q61:$AJ61,"?*")=0,"OK","Falta revisar: "&amp;$Q61&amp;$R61&amp;$S61&amp;$T61&amp;$U61&amp;$V61&amp;$W61&amp;$X61&amp;$Y61&amp;$Z61&amp;$AA61&amp;$AB61&amp;$AC61&amp;$AD61&amp;$AE61&amp;$AF61&amp;$AG61&amp;$AH61&amp;$AI61&amp;$AJ61))))</f>
        <v/>
      </c>
      <c r="M61" s="341" t="n"/>
      <c r="Q61">
        <f>IF(TRIM($C61)="","enunciado","")</f>
        <v/>
      </c>
      <c r="R61">
        <f>IF(TRIM($K61)="",IF(COUNTIF($Q61:$Q61,"?*")&gt;0,", ","")&amp;"parcial","")</f>
        <v/>
      </c>
      <c r="S61">
        <f>IF(AND(TRIM($K61)&lt;&gt;"",TRIM($K61)&lt;&gt;VALIDACIONES!$G$1),IF(COUNTIF($Q61:$R61,"?*")&gt;0,", ","")&amp;"parcial distinto a "&amp;VALIDACIONES!$G$1,"")</f>
        <v/>
      </c>
      <c r="T61">
        <f>IF(AND(OR($A61="Ítems agrupados por caso clínico o problema",$A61="Subítem de caso o problema",$A61="Emparejamiento Ampliado",$A61="Opción de Emparejamiento Ampliado"),TRIM($B61)=""),IF(COUNTIF($Q61:$S61,"?*")&gt;0,", ","")&amp;"grupo","")</f>
        <v/>
      </c>
      <c r="U61">
        <f>IF(AND(OR($A61="Verdadero o Falso Simple",$A61="Respuesta A/B/Ambas/Ninguna",$A61="Verdadero o Falso Complejas",$A61="Selección de la mejor respuesta",$A61="Subítem de caso o problema",$A61="Opción de Emparejamiento Ampliado"),TRIM($I61)=""),IF(COUNTIF($Q61:$T61,"?*")&gt;0,", ","")&amp;"respuesta_correcta","")</f>
        <v/>
      </c>
      <c r="V61">
        <f>IF(AND(OR($A61="Verdadero o Falso Simple",$A61="Respuesta A/B/Ambas/Ninguna",$A61="Verdadero o Falso Complejas",$A61="Selección de la mejor respuesta",$A61="Subítem de caso o problema",$A61="Opción de Emparejamiento Ampliado"),TRIM($J61)=""),IF(COUNTIF($Q61:$U61,"?*")&gt;0,", ","")&amp;"dificultad","")</f>
        <v/>
      </c>
      <c r="W61">
        <f>IF(AND(OR($A61="Ítems agrupados por caso clínico o problema",$A61="Emparejamiento Ampliado"),TRIM($I61)&lt;&gt;""),IF(COUNTIF($Q61:$V61,"?*")&gt;0,", ","")&amp;"respuesta debe ir vacia","")</f>
        <v/>
      </c>
      <c r="X61">
        <f>IF(AND(OR($A61="Ítems agrupados por caso clínico o problema",$A61="Emparejamiento Ampliado"),TRIM($J61)&lt;&gt;""),IF(COUNTIF($Q61:$W61,"?*")&gt;0,", ","")&amp;"dificultad debe ir vacia","")</f>
        <v/>
      </c>
      <c r="Y61">
        <f>IF(AND($A61="Verdadero o Falso Simple",OR(COUNTIF($D61:$E61,"?*")&lt;2,COUNTIF($F61:$H61,"?*")&gt;0)),IF(COUNTIF($Q61:$X61,"?*")&gt;0,", ","")&amp;"incisos A-B","")</f>
        <v/>
      </c>
      <c r="Z61">
        <f>IF(AND($A61="Verdadero o Falso Simple",TRIM($I61)&lt;&gt;"",NOT(OR(LEFT(TRIM($I61),1)="A",LEFT(TRIM($I61),1)="B"))),IF(COUNTIF($Q61:$Y61,"?*")&gt;0,", ","")&amp;"respuesta A-B","")</f>
        <v/>
      </c>
      <c r="AA61">
        <f>IF(AND($A61="Respuesta A/B/Ambas/Ninguna",COUNTIF($D61:$G61,"?*")&lt;4),IF(COUNTIF($Q61:$Z61,"?*")&gt;0,", ","")&amp;"opciones A-D","")</f>
        <v/>
      </c>
      <c r="AB61">
        <f>IF(AND($A61="Respuesta A/B/Ambas/Ninguna",COUNTIF($H61:$H61,"?*")&gt;0),IF(COUNTIF($Q61:$AA61,"?*")&gt;0,", ","")&amp;"opcion E deshabilitada","")</f>
        <v/>
      </c>
      <c r="AC61">
        <f>IF(AND($A61="Respuesta A/B/Ambas/Ninguna",TRIM($I61)&lt;&gt;"",NOT(OR(LEFT(TRIM($I61),1)="A",LEFT(TRIM($I61),1)="B",LEFT(TRIM($I61),1)="C",LEFT(TRIM($I61),1)="D"))),IF(COUNTIF($Q61:$AB61,"?*")&gt;0,", ","")&amp;"respuesta A-D","")</f>
        <v/>
      </c>
      <c r="AD61">
        <f>IF(AND($A61="Verdadero o Falso Complejas",OR(LEN(TRIM(SUBSTITUTE($D61,"1.","")))=0,LEN(TRIM(SUBSTITUTE($E61,"2.","")))=0,LEN(TRIM(SUBSTITUTE($F61,"3.","")))=0,LEN(TRIM(SUBSTITUTE($G61,"4.","")))=0)),IF(COUNTIF($Q61:$AC61,"?*")&gt;0,", ","")&amp;"incisos 1-4","")</f>
        <v/>
      </c>
      <c r="AE61">
        <f>IF(AND($A61="Verdadero o Falso Complejas",COUNTIF($H61:$H61,"?*")&gt;0),IF(COUNTIF($Q61:$AD61,"?*")&gt;0,", ","")&amp;"opcion E deshabilitada","")</f>
        <v/>
      </c>
      <c r="AF61">
        <f>IF(AND($A61="Verdadero o Falso Complejas",TRIM($I61)&lt;&gt;"",NOT(OR(LEFT(TRIM($I61),1)="A",LEFT(TRIM($I61),1)="B",LEFT(TRIM($I61),1)="C",LEFT(TRIM($I61),1)="D",LEFT(TRIM($I61),1)="E"))),IF(COUNTIF($Q61:$AE61,"?*")&gt;0,", ","")&amp;"respuesta A-E","")</f>
        <v/>
      </c>
      <c r="AG61">
        <f>IF(AND(OR($A61="Selección de la mejor respuesta",$A61="Subítem de caso o problema"),COUNTA($D61:$H61)&lt;5),IF(COUNTIF($Q61:$AF61,"?*")&gt;0,", ","")&amp;"incisos A-E","")</f>
        <v/>
      </c>
      <c r="AH61">
        <f>IF(AND(OR($A61="Selección de la mejor respuesta",$A61="Subítem de caso o problema"),TRIM($I61)&lt;&gt;"",NOT(OR(LEFT(TRIM($I61),1)="A",LEFT(TRIM($I61),1)="B",LEFT(TRIM($I61),1)="C",LEFT(TRIM($I61),1)="D",LEFT(TRIM($I61),1)="E"))),IF(COUNTIF($Q61:$AG61,"?*")&gt;0,", ","")&amp;"respuesta A-E","")</f>
        <v/>
      </c>
      <c r="AI61">
        <f>IF(AND(OR($A61="Ítems agrupados por caso clínico o problema",$A61="Opción de Emparejamiento Ampliado"),COUNTIF($D61:$H61,"?*")&gt;0),IF(COUNTIF($Q61:$AH61,"?*")&gt;0,", ","")&amp;"sin incisos","")</f>
        <v/>
      </c>
      <c r="AJ61">
        <f>IF(AND($A61="Emparejamiento Ampliado",COUNTIF($D61:$H61,"?*")&lt;2),IF(COUNTIF($Q61:$AI61,"?*")&gt;0,", ","")&amp;"minimo 2 claves","")</f>
        <v/>
      </c>
      <c r="AK61">
        <f>IF(AND($A61="Opción de Emparejamiento Ampliado",NOT(OR(LEFT(TRIM($I61),1)="A",LEFT(TRIM($I61),1)="B",LEFT(TRIM($I61),1)="C",LEFT(TRIM($I61),1)="D",LEFT(TRIM($I61),1)="E"))),IF(COUNTIF($Q61:$AJ61,"?*")&gt;0,", ","")&amp;"respuesta A-E","")</f>
        <v/>
      </c>
      <c r="AL61">
        <f>IF(TRIM($K61)="",IF(COUNTIF($M61:$M61,"?*")&gt;0,", ","")&amp;"parcial","")</f>
        <v/>
      </c>
      <c r="AM61">
        <f>IF(AND(TRIM($K61)&lt;&gt;"",TRIM($K61)&lt;&gt;VALIDACIONES!$G$1),IF(COUNTIF($M61:$N61,"?*")&gt;0,", ","")&amp;"parcial distinto a "&amp;VALIDACIONES!$G$1,"")</f>
        <v/>
      </c>
      <c r="AN61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</row>
    <row r="62" ht="20" customHeight="1">
      <c r="A62" s="371" t="n"/>
      <c r="B62" s="371" t="n"/>
      <c r="C62" s="371" t="n"/>
      <c r="D62" s="371">
        <f>IF($A62="Verdadero o Falso Simple","Verdadero",IF($A62="Respuesta A/B/Ambas/Ninguna","A. Si la primera es verdadera",IF($A62="Verdadero o Falso Complejas","1. ","")))</f>
        <v/>
      </c>
      <c r="E62" s="371">
        <f>IF($A62="Verdadero o Falso Simple","Falso",IF($A62="Respuesta A/B/Ambas/Ninguna","B. Si la segunda es verdadera",IF($A62="Verdadero o Falso Complejas","2. ","")))</f>
        <v/>
      </c>
      <c r="F62" s="371">
        <f>IF($A62="Respuesta A/B/Ambas/Ninguna","C. Si ambas son verdaderas",IF($A62="Verdadero o Falso Complejas","3. ",""))</f>
        <v/>
      </c>
      <c r="G62" s="371">
        <f>IF($A62="Respuesta A/B/Ambas/Ninguna","D. Si ninguna es verdadera",IF($A62="Verdadero o Falso Complejas","4. ",""))</f>
        <v/>
      </c>
      <c r="H62" s="371">
        <f>IF($A62="Verdadero o Falso Simple","",IF($A62="Respuesta A/B/Ambas/Ninguna","",IF($A62="Verdadero o Falso Complejas","","")))</f>
        <v/>
      </c>
      <c r="I62" s="371" t="n"/>
      <c r="J62" s="372" t="n"/>
      <c r="K62" s="372">
        <f>IF(TRIM($A62)="","",VALIDACIONES!$G$1)</f>
        <v/>
      </c>
      <c r="L62" s="371">
        <f>IF(TRIM($A62)="","",IF(OR($A62="Selección de la mejor respuesta",$A62="SELECCION_MEJOR_RESPUESTA",$A62="Subítem de caso o problema",$A62="SUBITEM_CASO"),IF(TRIM($C62)="","Completar enunciado",IF(SUMPRODUCT(--(LEN(TRIM($D62:$H62&amp;""))&gt;0))&lt;5,"Completar opciones A-E",IF(AND(TRIM($I62)&lt;&gt;"",OR(LEFT(TRIM($I62),1)="A",LEFT(TRIM($I62),1)="B",LEFT(TRIM($I62),1)="C",LEFT(TRIM($I62),1)="D",LEFT(TRIM($I62),1)="E")),"OK","Completar respuesta correcta A-E"))),IF(TRIM($A62)="","",IF(COUNTIF($Q62:$AJ62,"?*")=0,"OK","Falta revisar: "&amp;$Q62&amp;$R62&amp;$S62&amp;$T62&amp;$U62&amp;$V62&amp;$W62&amp;$X62&amp;$Y62&amp;$Z62&amp;$AA62&amp;$AB62&amp;$AC62&amp;$AD62&amp;$AE62&amp;$AF62&amp;$AG62&amp;$AH62&amp;$AI62&amp;$AJ62))))</f>
        <v/>
      </c>
      <c r="M62" s="373" t="n"/>
      <c r="Q62">
        <f>IF(TRIM($C62)="","enunciado","")</f>
        <v/>
      </c>
      <c r="R62">
        <f>IF(TRIM($K62)="",IF(COUNTIF($Q62:$Q62,"?*")&gt;0,", ","")&amp;"parcial","")</f>
        <v/>
      </c>
      <c r="S62">
        <f>IF(AND(TRIM($K62)&lt;&gt;"",TRIM($K62)&lt;&gt;VALIDACIONES!$G$1),IF(COUNTIF($Q62:$R62,"?*")&gt;0,", ","")&amp;"parcial distinto a "&amp;VALIDACIONES!$G$1,"")</f>
        <v/>
      </c>
      <c r="T62">
        <f>IF(AND(OR($A62="Ítems agrupados por caso clínico o problema",$A62="Subítem de caso o problema",$A62="Emparejamiento Ampliado",$A62="Opción de Emparejamiento Ampliado"),TRIM($B62)=""),IF(COUNTIF($Q62:$S62,"?*")&gt;0,", ","")&amp;"grupo","")</f>
        <v/>
      </c>
      <c r="U62">
        <f>IF(AND(OR($A62="Verdadero o Falso Simple",$A62="Respuesta A/B/Ambas/Ninguna",$A62="Verdadero o Falso Complejas",$A62="Selección de la mejor respuesta",$A62="Subítem de caso o problema",$A62="Opción de Emparejamiento Ampliado"),TRIM($I62)=""),IF(COUNTIF($Q62:$T62,"?*")&gt;0,", ","")&amp;"respuesta_correcta","")</f>
        <v/>
      </c>
      <c r="V62">
        <f>IF(AND(OR($A62="Verdadero o Falso Simple",$A62="Respuesta A/B/Ambas/Ninguna",$A62="Verdadero o Falso Complejas",$A62="Selección de la mejor respuesta",$A62="Subítem de caso o problema",$A62="Opción de Emparejamiento Ampliado"),TRIM($J62)=""),IF(COUNTIF($Q62:$U62,"?*")&gt;0,", ","")&amp;"dificultad","")</f>
        <v/>
      </c>
      <c r="W62">
        <f>IF(AND(OR($A62="Ítems agrupados por caso clínico o problema",$A62="Emparejamiento Ampliado"),TRIM($I62)&lt;&gt;""),IF(COUNTIF($Q62:$V62,"?*")&gt;0,", ","")&amp;"respuesta debe ir vacia","")</f>
        <v/>
      </c>
      <c r="X62">
        <f>IF(AND(OR($A62="Ítems agrupados por caso clínico o problema",$A62="Emparejamiento Ampliado"),TRIM($J62)&lt;&gt;""),IF(COUNTIF($Q62:$W62,"?*")&gt;0,", ","")&amp;"dificultad debe ir vacia","")</f>
        <v/>
      </c>
      <c r="Y62">
        <f>IF(AND($A62="Verdadero o Falso Simple",OR(COUNTIF($D62:$E62,"?*")&lt;2,COUNTIF($F62:$H62,"?*")&gt;0)),IF(COUNTIF($Q62:$X62,"?*")&gt;0,", ","")&amp;"incisos A-B","")</f>
        <v/>
      </c>
      <c r="Z62">
        <f>IF(AND($A62="Verdadero o Falso Simple",TRIM($I62)&lt;&gt;"",NOT(OR(LEFT(TRIM($I62),1)="A",LEFT(TRIM($I62),1)="B"))),IF(COUNTIF($Q62:$Y62,"?*")&gt;0,", ","")&amp;"respuesta A-B","")</f>
        <v/>
      </c>
      <c r="AA62">
        <f>IF(AND($A62="Respuesta A/B/Ambas/Ninguna",COUNTIF($D62:$G62,"?*")&lt;4),IF(COUNTIF($Q62:$Z62,"?*")&gt;0,", ","")&amp;"opciones A-D","")</f>
        <v/>
      </c>
      <c r="AB62">
        <f>IF(AND($A62="Respuesta A/B/Ambas/Ninguna",COUNTIF($H62:$H62,"?*")&gt;0),IF(COUNTIF($Q62:$AA62,"?*")&gt;0,", ","")&amp;"opcion E deshabilitada","")</f>
        <v/>
      </c>
      <c r="AC62">
        <f>IF(AND($A62="Respuesta A/B/Ambas/Ninguna",TRIM($I62)&lt;&gt;"",NOT(OR(LEFT(TRIM($I62),1)="A",LEFT(TRIM($I62),1)="B",LEFT(TRIM($I62),1)="C",LEFT(TRIM($I62),1)="D"))),IF(COUNTIF($Q62:$AB62,"?*")&gt;0,", ","")&amp;"respuesta A-D","")</f>
        <v/>
      </c>
      <c r="AD62">
        <f>IF(AND($A62="Verdadero o Falso Complejas",OR(LEN(TRIM(SUBSTITUTE($D62,"1.","")))=0,LEN(TRIM(SUBSTITUTE($E62,"2.","")))=0,LEN(TRIM(SUBSTITUTE($F62,"3.","")))=0,LEN(TRIM(SUBSTITUTE($G62,"4.","")))=0)),IF(COUNTIF($Q62:$AC62,"?*")&gt;0,", ","")&amp;"incisos 1-4","")</f>
        <v/>
      </c>
      <c r="AE62">
        <f>IF(AND($A62="Verdadero o Falso Complejas",COUNTIF($H62:$H62,"?*")&gt;0),IF(COUNTIF($Q62:$AD62,"?*")&gt;0,", ","")&amp;"opcion E deshabilitada","")</f>
        <v/>
      </c>
      <c r="AF62">
        <f>IF(AND($A62="Verdadero o Falso Complejas",TRIM($I62)&lt;&gt;"",NOT(OR(LEFT(TRIM($I62),1)="A",LEFT(TRIM($I62),1)="B",LEFT(TRIM($I62),1)="C",LEFT(TRIM($I62),1)="D",LEFT(TRIM($I62),1)="E"))),IF(COUNTIF($Q62:$AE62,"?*")&gt;0,", ","")&amp;"respuesta A-E","")</f>
        <v/>
      </c>
      <c r="AG62">
        <f>IF(AND(OR($A62="Selección de la mejor respuesta",$A62="Subítem de caso o problema"),COUNTA($D62:$H62)&lt;5),IF(COUNTIF($Q62:$AF62,"?*")&gt;0,", ","")&amp;"incisos A-E","")</f>
        <v/>
      </c>
      <c r="AH62">
        <f>IF(AND(OR($A62="Selección de la mejor respuesta",$A62="Subítem de caso o problema"),TRIM($I62)&lt;&gt;"",NOT(OR(LEFT(TRIM($I62),1)="A",LEFT(TRIM($I62),1)="B",LEFT(TRIM($I62),1)="C",LEFT(TRIM($I62),1)="D",LEFT(TRIM($I62),1)="E"))),IF(COUNTIF($Q62:$AG62,"?*")&gt;0,", ","")&amp;"respuesta A-E","")</f>
        <v/>
      </c>
      <c r="AI62">
        <f>IF(AND(OR($A62="Ítems agrupados por caso clínico o problema",$A62="Opción de Emparejamiento Ampliado"),COUNTIF($D62:$H62,"?*")&gt;0),IF(COUNTIF($Q62:$AH62,"?*")&gt;0,", ","")&amp;"sin incisos","")</f>
        <v/>
      </c>
      <c r="AJ62">
        <f>IF(AND($A62="Emparejamiento Ampliado",COUNTIF($D62:$H62,"?*")&lt;2),IF(COUNTIF($Q62:$AI62,"?*")&gt;0,", ","")&amp;"minimo 2 claves","")</f>
        <v/>
      </c>
      <c r="AK62">
        <f>IF(AND($A62="Opción de Emparejamiento Ampliado",NOT(OR(LEFT(TRIM($I62),1)="A",LEFT(TRIM($I62),1)="B",LEFT(TRIM($I62),1)="C",LEFT(TRIM($I62),1)="D",LEFT(TRIM($I62),1)="E"))),IF(COUNTIF($Q62:$AJ62,"?*")&gt;0,", ","")&amp;"respuesta A-E","")</f>
        <v/>
      </c>
      <c r="AL62">
        <f>IF(TRIM($K62)="",IF(COUNTIF($M62:$M62,"?*")&gt;0,", ","")&amp;"parcial","")</f>
        <v/>
      </c>
      <c r="AM62">
        <f>IF(AND(TRIM($K62)&lt;&gt;"",TRIM($K62)&lt;&gt;VALIDACIONES!$G$1),IF(COUNTIF($M62:$N62,"?*")&gt;0,", ","")&amp;"parcial distinto a "&amp;VALIDACIONES!$G$1,"")</f>
        <v/>
      </c>
    </row>
    <row r="63" ht="20" customHeight="1">
      <c r="A63" s="371" t="n"/>
      <c r="B63" s="371" t="n"/>
      <c r="C63" s="371" t="n"/>
      <c r="D63" s="371">
        <f>IF($A63="Verdadero o Falso Simple","Verdadero",IF($A63="Respuesta A/B/Ambas/Ninguna","A. Si la primera es verdadera",IF($A63="Verdadero o Falso Complejas","1. ","")))</f>
        <v/>
      </c>
      <c r="E63" s="371">
        <f>IF($A63="Verdadero o Falso Simple","Falso",IF($A63="Respuesta A/B/Ambas/Ninguna","B. Si la segunda es verdadera",IF($A63="Verdadero o Falso Complejas","2. ","")))</f>
        <v/>
      </c>
      <c r="F63" s="371">
        <f>IF($A63="Respuesta A/B/Ambas/Ninguna","C. Si ambas son verdaderas",IF($A63="Verdadero o Falso Complejas","3. ",""))</f>
        <v/>
      </c>
      <c r="G63" s="371">
        <f>IF($A63="Respuesta A/B/Ambas/Ninguna","D. Si ninguna es verdadera",IF($A63="Verdadero o Falso Complejas","4. ",""))</f>
        <v/>
      </c>
      <c r="H63" s="371">
        <f>IF($A63="Verdadero o Falso Simple","",IF($A63="Respuesta A/B/Ambas/Ninguna","",IF($A63="Verdadero o Falso Complejas","","")))</f>
        <v/>
      </c>
      <c r="I63" s="371" t="n"/>
      <c r="J63" s="372" t="n"/>
      <c r="K63" s="372">
        <f>IF(TRIM($A63)="","",VALIDACIONES!$G$1)</f>
        <v/>
      </c>
      <c r="L63" s="371">
        <f>IF(TRIM($A63)="","",IF(OR($A63="Selección de la mejor respuesta",$A63="SELECCION_MEJOR_RESPUESTA",$A63="Subítem de caso o problema",$A63="SUBITEM_CASO"),IF(TRIM($C63)="","Completar enunciado",IF(SUMPRODUCT(--(LEN(TRIM($D63:$H63&amp;""))&gt;0))&lt;5,"Completar opciones A-E",IF(AND(TRIM($I63)&lt;&gt;"",OR(LEFT(TRIM($I63),1)="A",LEFT(TRIM($I63),1)="B",LEFT(TRIM($I63),1)="C",LEFT(TRIM($I63),1)="D",LEFT(TRIM($I63),1)="E")),"OK","Completar respuesta correcta A-E"))),IF(TRIM($A63)="","",IF(COUNTIF($Q63:$AJ63,"?*")=0,"OK","Falta revisar: "&amp;$Q63&amp;$R63&amp;$S63&amp;$T63&amp;$U63&amp;$V63&amp;$W63&amp;$X63&amp;$Y63&amp;$Z63&amp;$AA63&amp;$AB63&amp;$AC63&amp;$AD63&amp;$AE63&amp;$AF63&amp;$AG63&amp;$AH63&amp;$AI63&amp;$AJ63))))</f>
        <v/>
      </c>
      <c r="M63" s="373" t="n"/>
      <c r="Q63">
        <f>IF(TRIM($C63)="","enunciado","")</f>
        <v/>
      </c>
      <c r="R63">
        <f>IF(TRIM($K63)="",IF(COUNTIF($Q63:$Q63,"?*")&gt;0,", ","")&amp;"parcial","")</f>
        <v/>
      </c>
      <c r="S63">
        <f>IF(AND(TRIM($K63)&lt;&gt;"",TRIM($K63)&lt;&gt;VALIDACIONES!$G$1),IF(COUNTIF($Q63:$R63,"?*")&gt;0,", ","")&amp;"parcial distinto a "&amp;VALIDACIONES!$G$1,"")</f>
        <v/>
      </c>
      <c r="T63">
        <f>IF(AND(OR($A63="Ítems agrupados por caso clínico o problema",$A63="Subítem de caso o problema",$A63="Emparejamiento Ampliado",$A63="Opción de Emparejamiento Ampliado"),TRIM($B63)=""),IF(COUNTIF($Q63:$S63,"?*")&gt;0,", ","")&amp;"grupo","")</f>
        <v/>
      </c>
      <c r="U63">
        <f>IF(AND(OR($A63="Verdadero o Falso Simple",$A63="Respuesta A/B/Ambas/Ninguna",$A63="Verdadero o Falso Complejas",$A63="Selección de la mejor respuesta",$A63="Subítem de caso o problema",$A63="Opción de Emparejamiento Ampliado"),TRIM($I63)=""),IF(COUNTIF($Q63:$T63,"?*")&gt;0,", ","")&amp;"respuesta_correcta","")</f>
        <v/>
      </c>
      <c r="V63">
        <f>IF(AND(OR($A63="Verdadero o Falso Simple",$A63="Respuesta A/B/Ambas/Ninguna",$A63="Verdadero o Falso Complejas",$A63="Selección de la mejor respuesta",$A63="Subítem de caso o problema",$A63="Opción de Emparejamiento Ampliado"),TRIM($J63)=""),IF(COUNTIF($Q63:$U63,"?*")&gt;0,", ","")&amp;"dificultad","")</f>
        <v/>
      </c>
      <c r="W63">
        <f>IF(AND(OR($A63="Ítems agrupados por caso clínico o problema",$A63="Emparejamiento Ampliado"),TRIM($I63)&lt;&gt;""),IF(COUNTIF($Q63:$V63,"?*")&gt;0,", ","")&amp;"respuesta debe ir vacia","")</f>
        <v/>
      </c>
      <c r="X63">
        <f>IF(AND(OR($A63="Ítems agrupados por caso clínico o problema",$A63="Emparejamiento Ampliado"),TRIM($J63)&lt;&gt;""),IF(COUNTIF($Q63:$W63,"?*")&gt;0,", ","")&amp;"dificultad debe ir vacia","")</f>
        <v/>
      </c>
      <c r="Y63">
        <f>IF(AND($A63="Verdadero o Falso Simple",OR(COUNTIF($D63:$E63,"?*")&lt;2,COUNTIF($F63:$H63,"?*")&gt;0)),IF(COUNTIF($Q63:$X63,"?*")&gt;0,", ","")&amp;"incisos A-B","")</f>
        <v/>
      </c>
      <c r="Z63">
        <f>IF(AND($A63="Verdadero o Falso Simple",TRIM($I63)&lt;&gt;"",NOT(OR(LEFT(TRIM($I63),1)="A",LEFT(TRIM($I63),1)="B"))),IF(COUNTIF($Q63:$Y63,"?*")&gt;0,", ","")&amp;"respuesta A-B","")</f>
        <v/>
      </c>
      <c r="AA63">
        <f>IF(AND($A63="Respuesta A/B/Ambas/Ninguna",COUNTIF($D63:$G63,"?*")&lt;4),IF(COUNTIF($Q63:$Z63,"?*")&gt;0,", ","")&amp;"opciones A-D","")</f>
        <v/>
      </c>
      <c r="AB63">
        <f>IF(AND($A63="Respuesta A/B/Ambas/Ninguna",COUNTIF($H63:$H63,"?*")&gt;0),IF(COUNTIF($Q63:$AA63,"?*")&gt;0,", ","")&amp;"opcion E deshabilitada","")</f>
        <v/>
      </c>
      <c r="AC63">
        <f>IF(AND($A63="Respuesta A/B/Ambas/Ninguna",TRIM($I63)&lt;&gt;"",NOT(OR(LEFT(TRIM($I63),1)="A",LEFT(TRIM($I63),1)="B",LEFT(TRIM($I63),1)="C",LEFT(TRIM($I63),1)="D"))),IF(COUNTIF($Q63:$AB63,"?*")&gt;0,", ","")&amp;"respuesta A-D","")</f>
        <v/>
      </c>
      <c r="AD63">
        <f>IF(AND($A63="Verdadero o Falso Complejas",OR(LEN(TRIM(SUBSTITUTE($D63,"1.","")))=0,LEN(TRIM(SUBSTITUTE($E63,"2.","")))=0,LEN(TRIM(SUBSTITUTE($F63,"3.","")))=0,LEN(TRIM(SUBSTITUTE($G63,"4.","")))=0)),IF(COUNTIF($Q63:$AC63,"?*")&gt;0,", ","")&amp;"incisos 1-4","")</f>
        <v/>
      </c>
      <c r="AE63">
        <f>IF(AND($A63="Verdadero o Falso Complejas",COUNTIF($H63:$H63,"?*")&gt;0),IF(COUNTIF($Q63:$AD63,"?*")&gt;0,", ","")&amp;"opcion E deshabilitada","")</f>
        <v/>
      </c>
      <c r="AF63">
        <f>IF(AND($A63="Verdadero o Falso Complejas",TRIM($I63)&lt;&gt;"",NOT(OR(LEFT(TRIM($I63),1)="A",LEFT(TRIM($I63),1)="B",LEFT(TRIM($I63),1)="C",LEFT(TRIM($I63),1)="D",LEFT(TRIM($I63),1)="E"))),IF(COUNTIF($Q63:$AE63,"?*")&gt;0,", ","")&amp;"respuesta A-E","")</f>
        <v/>
      </c>
      <c r="AG63">
        <f>IF(AND(OR($A63="Selección de la mejor respuesta",$A63="Subítem de caso o problema"),COUNTA($D63:$H63)&lt;5),IF(COUNTIF($Q63:$AF63,"?*")&gt;0,", ","")&amp;"incisos A-E","")</f>
        <v/>
      </c>
      <c r="AH63">
        <f>IF(AND(OR($A63="Selección de la mejor respuesta",$A63="Subítem de caso o problema"),TRIM($I63)&lt;&gt;"",NOT(OR(LEFT(TRIM($I63),1)="A",LEFT(TRIM($I63),1)="B",LEFT(TRIM($I63),1)="C",LEFT(TRIM($I63),1)="D",LEFT(TRIM($I63),1)="E"))),IF(COUNTIF($Q63:$AG63,"?*")&gt;0,", ","")&amp;"respuesta A-E","")</f>
        <v/>
      </c>
      <c r="AI63">
        <f>IF(AND(OR($A63="Ítems agrupados por caso clínico o problema",$A63="Opción de Emparejamiento Ampliado"),COUNTIF($D63:$H63,"?*")&gt;0),IF(COUNTIF($Q63:$AH63,"?*")&gt;0,", ","")&amp;"sin incisos","")</f>
        <v/>
      </c>
      <c r="AJ63">
        <f>IF(AND($A63="Emparejamiento Ampliado",COUNTIF($D63:$H63,"?*")&lt;2),IF(COUNTIF($Q63:$AI63,"?*")&gt;0,", ","")&amp;"minimo 2 claves","")</f>
        <v/>
      </c>
      <c r="AK63">
        <f>IF(AND($A63="Opción de Emparejamiento Ampliado",NOT(OR(LEFT(TRIM($I63),1)="A",LEFT(TRIM($I63),1)="B",LEFT(TRIM($I63),1)="C",LEFT(TRIM($I63),1)="D",LEFT(TRIM($I63),1)="E"))),IF(COUNTIF($Q63:$AJ63,"?*")&gt;0,", ","")&amp;"respuesta A-E","")</f>
        <v/>
      </c>
      <c r="AL63">
        <f>IF(TRIM($K63)="",IF(COUNTIF($M63:$M63,"?*")&gt;0,", ","")&amp;"parcial","")</f>
        <v/>
      </c>
      <c r="AM63">
        <f>IF(AND(TRIM($K63)&lt;&gt;"",TRIM($K63)&lt;&gt;VALIDACIONES!$G$1),IF(COUNTIF($M63:$N63,"?*")&gt;0,", ","")&amp;"parcial distinto a "&amp;VALIDACIONES!$G$1,"")</f>
        <v/>
      </c>
    </row>
    <row r="64" ht="20" customHeight="1">
      <c r="A64" s="371" t="n"/>
      <c r="B64" s="371" t="n"/>
      <c r="C64" s="371" t="n"/>
      <c r="D64" s="371">
        <f>IF($A64="Verdadero o Falso Simple","Verdadero",IF($A64="Respuesta A/B/Ambas/Ninguna","A. Si la primera es verdadera",IF($A64="Verdadero o Falso Complejas","1. ","")))</f>
        <v/>
      </c>
      <c r="E64" s="371">
        <f>IF($A64="Verdadero o Falso Simple","Falso",IF($A64="Respuesta A/B/Ambas/Ninguna","B. Si la segunda es verdadera",IF($A64="Verdadero o Falso Complejas","2. ","")))</f>
        <v/>
      </c>
      <c r="F64" s="371">
        <f>IF($A64="Respuesta A/B/Ambas/Ninguna","C. Si ambas son verdaderas",IF($A64="Verdadero o Falso Complejas","3. ",""))</f>
        <v/>
      </c>
      <c r="G64" s="371">
        <f>IF($A64="Respuesta A/B/Ambas/Ninguna","D. Si ninguna es verdadera",IF($A64="Verdadero o Falso Complejas","4. ",""))</f>
        <v/>
      </c>
      <c r="H64" s="371">
        <f>IF($A64="Verdadero o Falso Simple","",IF($A64="Respuesta A/B/Ambas/Ninguna","",IF($A64="Verdadero o Falso Complejas","","")))</f>
        <v/>
      </c>
      <c r="I64" s="371" t="n"/>
      <c r="J64" s="372" t="n"/>
      <c r="K64" s="372">
        <f>IF(TRIM($A64)="","",VALIDACIONES!$G$1)</f>
        <v/>
      </c>
      <c r="L64" s="371">
        <f>IF(TRIM($A64)="","",IF(OR($A64="Selección de la mejor respuesta",$A64="SELECCION_MEJOR_RESPUESTA",$A64="Subítem de caso o problema",$A64="SUBITEM_CASO"),IF(TRIM($C64)="","Completar enunciado",IF(SUMPRODUCT(--(LEN(TRIM($D64:$H64&amp;""))&gt;0))&lt;5,"Completar opciones A-E",IF(AND(TRIM($I64)&lt;&gt;"",OR(LEFT(TRIM($I64),1)="A",LEFT(TRIM($I64),1)="B",LEFT(TRIM($I64),1)="C",LEFT(TRIM($I64),1)="D",LEFT(TRIM($I64),1)="E")),"OK","Completar respuesta correcta A-E"))),IF(TRIM($A64)="","",IF(COUNTIF($Q64:$AJ64,"?*")=0,"OK","Falta revisar: "&amp;$Q64&amp;$R64&amp;$S64&amp;$T64&amp;$U64&amp;$V64&amp;$W64&amp;$X64&amp;$Y64&amp;$Z64&amp;$AA64&amp;$AB64&amp;$AC64&amp;$AD64&amp;$AE64&amp;$AF64&amp;$AG64&amp;$AH64&amp;$AI64&amp;$AJ64))))</f>
        <v/>
      </c>
      <c r="M64" s="373" t="n"/>
      <c r="Q64">
        <f>IF(TRIM($C64)="","enunciado","")</f>
        <v/>
      </c>
      <c r="R64">
        <f>IF(TRIM($K64)="",IF(COUNTIF($Q64:$Q64,"?*")&gt;0,", ","")&amp;"parcial","")</f>
        <v/>
      </c>
      <c r="S64">
        <f>IF(AND(TRIM($K64)&lt;&gt;"",TRIM($K64)&lt;&gt;VALIDACIONES!$G$1),IF(COUNTIF($Q64:$R64,"?*")&gt;0,", ","")&amp;"parcial distinto a "&amp;VALIDACIONES!$G$1,"")</f>
        <v/>
      </c>
      <c r="T64">
        <f>IF(AND(OR($A64="Ítems agrupados por caso clínico o problema",$A64="Subítem de caso o problema",$A64="Emparejamiento Ampliado",$A64="Opción de Emparejamiento Ampliado"),TRIM($B64)=""),IF(COUNTIF($Q64:$S64,"?*")&gt;0,", ","")&amp;"grupo","")</f>
        <v/>
      </c>
      <c r="U64">
        <f>IF(AND(OR($A64="Verdadero o Falso Simple",$A64="Respuesta A/B/Ambas/Ninguna",$A64="Verdadero o Falso Complejas",$A64="Selección de la mejor respuesta",$A64="Subítem de caso o problema",$A64="Opción de Emparejamiento Ampliado"),TRIM($I64)=""),IF(COUNTIF($Q64:$T64,"?*")&gt;0,", ","")&amp;"respuesta_correcta","")</f>
        <v/>
      </c>
      <c r="V64">
        <f>IF(AND(OR($A64="Verdadero o Falso Simple",$A64="Respuesta A/B/Ambas/Ninguna",$A64="Verdadero o Falso Complejas",$A64="Selección de la mejor respuesta",$A64="Subítem de caso o problema",$A64="Opción de Emparejamiento Ampliado"),TRIM($J64)=""),IF(COUNTIF($Q64:$U64,"?*")&gt;0,", ","")&amp;"dificultad","")</f>
        <v/>
      </c>
      <c r="W64">
        <f>IF(AND(OR($A64="Ítems agrupados por caso clínico o problema",$A64="Emparejamiento Ampliado"),TRIM($I64)&lt;&gt;""),IF(COUNTIF($Q64:$V64,"?*")&gt;0,", ","")&amp;"respuesta debe ir vacia","")</f>
        <v/>
      </c>
      <c r="X64">
        <f>IF(AND(OR($A64="Ítems agrupados por caso clínico o problema",$A64="Emparejamiento Ampliado"),TRIM($J64)&lt;&gt;""),IF(COUNTIF($Q64:$W64,"?*")&gt;0,", ","")&amp;"dificultad debe ir vacia","")</f>
        <v/>
      </c>
      <c r="Y64">
        <f>IF(AND($A64="Verdadero o Falso Simple",OR(COUNTIF($D64:$E64,"?*")&lt;2,COUNTIF($F64:$H64,"?*")&gt;0)),IF(COUNTIF($Q64:$X64,"?*")&gt;0,", ","")&amp;"incisos A-B","")</f>
        <v/>
      </c>
      <c r="Z64">
        <f>IF(AND($A64="Verdadero o Falso Simple",TRIM($I64)&lt;&gt;"",NOT(OR(LEFT(TRIM($I64),1)="A",LEFT(TRIM($I64),1)="B"))),IF(COUNTIF($Q64:$Y64,"?*")&gt;0,", ","")&amp;"respuesta A-B","")</f>
        <v/>
      </c>
      <c r="AA64">
        <f>IF(AND($A64="Respuesta A/B/Ambas/Ninguna",COUNTIF($D64:$G64,"?*")&lt;4),IF(COUNTIF($Q64:$Z64,"?*")&gt;0,", ","")&amp;"opciones A-D","")</f>
        <v/>
      </c>
      <c r="AB64">
        <f>IF(AND($A64="Respuesta A/B/Ambas/Ninguna",COUNTIF($H64:$H64,"?*")&gt;0),IF(COUNTIF($Q64:$AA64,"?*")&gt;0,", ","")&amp;"opcion E deshabilitada","")</f>
        <v/>
      </c>
      <c r="AC64">
        <f>IF(AND($A64="Respuesta A/B/Ambas/Ninguna",TRIM($I64)&lt;&gt;"",NOT(OR(LEFT(TRIM($I64),1)="A",LEFT(TRIM($I64),1)="B",LEFT(TRIM($I64),1)="C",LEFT(TRIM($I64),1)="D"))),IF(COUNTIF($Q64:$AB64,"?*")&gt;0,", ","")&amp;"respuesta A-D","")</f>
        <v/>
      </c>
      <c r="AD64">
        <f>IF(AND($A64="Verdadero o Falso Complejas",OR(LEN(TRIM(SUBSTITUTE($D64,"1.","")))=0,LEN(TRIM(SUBSTITUTE($E64,"2.","")))=0,LEN(TRIM(SUBSTITUTE($F64,"3.","")))=0,LEN(TRIM(SUBSTITUTE($G64,"4.","")))=0)),IF(COUNTIF($Q64:$AC64,"?*")&gt;0,", ","")&amp;"incisos 1-4","")</f>
        <v/>
      </c>
      <c r="AE64">
        <f>IF(AND($A64="Verdadero o Falso Complejas",COUNTIF($H64:$H64,"?*")&gt;0),IF(COUNTIF($Q64:$AD64,"?*")&gt;0,", ","")&amp;"opcion E deshabilitada","")</f>
        <v/>
      </c>
      <c r="AF64">
        <f>IF(AND($A64="Verdadero o Falso Complejas",TRIM($I64)&lt;&gt;"",NOT(OR(LEFT(TRIM($I64),1)="A",LEFT(TRIM($I64),1)="B",LEFT(TRIM($I64),1)="C",LEFT(TRIM($I64),1)="D",LEFT(TRIM($I64),1)="E"))),IF(COUNTIF($Q64:$AE64,"?*")&gt;0,", ","")&amp;"respuesta A-E","")</f>
        <v/>
      </c>
      <c r="AG64">
        <f>IF(AND(OR($A64="Selección de la mejor respuesta",$A64="Subítem de caso o problema"),COUNTA($D64:$H64)&lt;5),IF(COUNTIF($Q64:$AF64,"?*")&gt;0,", ","")&amp;"incisos A-E","")</f>
        <v/>
      </c>
      <c r="AH64">
        <f>IF(AND(OR($A64="Selección de la mejor respuesta",$A64="Subítem de caso o problema"),TRIM($I64)&lt;&gt;"",NOT(OR(LEFT(TRIM($I64),1)="A",LEFT(TRIM($I64),1)="B",LEFT(TRIM($I64),1)="C",LEFT(TRIM($I64),1)="D",LEFT(TRIM($I64),1)="E"))),IF(COUNTIF($Q64:$AG64,"?*")&gt;0,", ","")&amp;"respuesta A-E","")</f>
        <v/>
      </c>
      <c r="AI64">
        <f>IF(AND(OR($A64="Ítems agrupados por caso clínico o problema",$A64="Opción de Emparejamiento Ampliado"),COUNTIF($D64:$H64,"?*")&gt;0),IF(COUNTIF($Q64:$AH64,"?*")&gt;0,", ","")&amp;"sin incisos","")</f>
        <v/>
      </c>
      <c r="AJ64">
        <f>IF(AND($A64="Emparejamiento Ampliado",COUNTIF($D64:$H64,"?*")&lt;2),IF(COUNTIF($Q64:$AI64,"?*")&gt;0,", ","")&amp;"minimo 2 claves","")</f>
        <v/>
      </c>
      <c r="AK64">
        <f>IF(AND($A64="Opción de Emparejamiento Ampliado",NOT(OR(LEFT(TRIM($I64),1)="A",LEFT(TRIM($I64),1)="B",LEFT(TRIM($I64),1)="C",LEFT(TRIM($I64),1)="D",LEFT(TRIM($I64),1)="E"))),IF(COUNTIF($Q64:$AJ64,"?*")&gt;0,", ","")&amp;"respuesta A-E","")</f>
        <v/>
      </c>
      <c r="AL64">
        <f>IF(TRIM($K64)="",IF(COUNTIF($M64:$M64,"?*")&gt;0,", ","")&amp;"parcial","")</f>
        <v/>
      </c>
      <c r="AM64">
        <f>IF(AND(TRIM($K64)&lt;&gt;"",TRIM($K64)&lt;&gt;VALIDACIONES!$G$1),IF(COUNTIF($M64:$N64,"?*")&gt;0,", ","")&amp;"parcial distinto a "&amp;VALIDACIONES!$G$1,"")</f>
        <v/>
      </c>
    </row>
    <row r="65" ht="20" customHeight="1">
      <c r="A65" s="371" t="n"/>
      <c r="B65" s="371" t="n"/>
      <c r="C65" s="371" t="n"/>
      <c r="D65" s="371">
        <f>IF($A65="Verdadero o Falso Simple","Verdadero",IF($A65="Respuesta A/B/Ambas/Ninguna","A. Si la primera es verdadera",IF($A65="Verdadero o Falso Complejas","1. ","")))</f>
        <v/>
      </c>
      <c r="E65" s="371">
        <f>IF($A65="Verdadero o Falso Simple","Falso",IF($A65="Respuesta A/B/Ambas/Ninguna","B. Si la segunda es verdadera",IF($A65="Verdadero o Falso Complejas","2. ","")))</f>
        <v/>
      </c>
      <c r="F65" s="371">
        <f>IF($A65="Respuesta A/B/Ambas/Ninguna","C. Si ambas son verdaderas",IF($A65="Verdadero o Falso Complejas","3. ",""))</f>
        <v/>
      </c>
      <c r="G65" s="371">
        <f>IF($A65="Respuesta A/B/Ambas/Ninguna","D. Si ninguna es verdadera",IF($A65="Verdadero o Falso Complejas","4. ",""))</f>
        <v/>
      </c>
      <c r="H65" s="371">
        <f>IF($A65="Verdadero o Falso Simple","",IF($A65="Respuesta A/B/Ambas/Ninguna","",IF($A65="Verdadero o Falso Complejas","","")))</f>
        <v/>
      </c>
      <c r="I65" s="371" t="n"/>
      <c r="J65" s="372" t="n"/>
      <c r="K65" s="372">
        <f>IF(TRIM($A65)="","",VALIDACIONES!$G$1)</f>
        <v/>
      </c>
      <c r="L65" s="371">
        <f>IF(TRIM($A65)="","",IF(OR($A65="Selección de la mejor respuesta",$A65="SELECCION_MEJOR_RESPUESTA",$A65="Subítem de caso o problema",$A65="SUBITEM_CASO"),IF(TRIM($C65)="","Completar enunciado",IF(SUMPRODUCT(--(LEN(TRIM($D65:$H65&amp;""))&gt;0))&lt;5,"Completar opciones A-E",IF(AND(TRIM($I65)&lt;&gt;"",OR(LEFT(TRIM($I65),1)="A",LEFT(TRIM($I65),1)="B",LEFT(TRIM($I65),1)="C",LEFT(TRIM($I65),1)="D",LEFT(TRIM($I65),1)="E")),"OK","Completar respuesta correcta A-E"))),IF(TRIM($A65)="","",IF(COUNTIF($Q65:$AJ65,"?*")=0,"OK","Falta revisar: "&amp;$Q65&amp;$R65&amp;$S65&amp;$T65&amp;$U65&amp;$V65&amp;$W65&amp;$X65&amp;$Y65&amp;$Z65&amp;$AA65&amp;$AB65&amp;$AC65&amp;$AD65&amp;$AE65&amp;$AF65&amp;$AG65&amp;$AH65&amp;$AI65&amp;$AJ65))))</f>
        <v/>
      </c>
      <c r="M65" s="373" t="n"/>
      <c r="Q65">
        <f>IF(TRIM($C65)="","enunciado","")</f>
        <v/>
      </c>
      <c r="R65">
        <f>IF(TRIM($K65)="",IF(COUNTIF($Q65:$Q65,"?*")&gt;0,", ","")&amp;"parcial","")</f>
        <v/>
      </c>
      <c r="S65">
        <f>IF(AND(TRIM($K65)&lt;&gt;"",TRIM($K65)&lt;&gt;VALIDACIONES!$G$1),IF(COUNTIF($Q65:$R65,"?*")&gt;0,", ","")&amp;"parcial distinto a "&amp;VALIDACIONES!$G$1,"")</f>
        <v/>
      </c>
      <c r="T65">
        <f>IF(AND(OR($A65="Ítems agrupados por caso clínico o problema",$A65="Subítem de caso o problema",$A65="Emparejamiento Ampliado",$A65="Opción de Emparejamiento Ampliado"),TRIM($B65)=""),IF(COUNTIF($Q65:$S65,"?*")&gt;0,", ","")&amp;"grupo","")</f>
        <v/>
      </c>
      <c r="U65">
        <f>IF(AND(OR($A65="Verdadero o Falso Simple",$A65="Respuesta A/B/Ambas/Ninguna",$A65="Verdadero o Falso Complejas",$A65="Selección de la mejor respuesta",$A65="Subítem de caso o problema",$A65="Opción de Emparejamiento Ampliado"),TRIM($I65)=""),IF(COUNTIF($Q65:$T65,"?*")&gt;0,", ","")&amp;"respuesta_correcta","")</f>
        <v/>
      </c>
      <c r="V65">
        <f>IF(AND(OR($A65="Verdadero o Falso Simple",$A65="Respuesta A/B/Ambas/Ninguna",$A65="Verdadero o Falso Complejas",$A65="Selección de la mejor respuesta",$A65="Subítem de caso o problema",$A65="Opción de Emparejamiento Ampliado"),TRIM($J65)=""),IF(COUNTIF($Q65:$U65,"?*")&gt;0,", ","")&amp;"dificultad","")</f>
        <v/>
      </c>
      <c r="W65">
        <f>IF(AND(OR($A65="Ítems agrupados por caso clínico o problema",$A65="Emparejamiento Ampliado"),TRIM($I65)&lt;&gt;""),IF(COUNTIF($Q65:$V65,"?*")&gt;0,", ","")&amp;"respuesta debe ir vacia","")</f>
        <v/>
      </c>
      <c r="X65">
        <f>IF(AND(OR($A65="Ítems agrupados por caso clínico o problema",$A65="Emparejamiento Ampliado"),TRIM($J65)&lt;&gt;""),IF(COUNTIF($Q65:$W65,"?*")&gt;0,", ","")&amp;"dificultad debe ir vacia","")</f>
        <v/>
      </c>
      <c r="Y65">
        <f>IF(AND($A65="Verdadero o Falso Simple",OR(COUNTIF($D65:$E65,"?*")&lt;2,COUNTIF($F65:$H65,"?*")&gt;0)),IF(COUNTIF($Q65:$X65,"?*")&gt;0,", ","")&amp;"incisos A-B","")</f>
        <v/>
      </c>
      <c r="Z65">
        <f>IF(AND($A65="Verdadero o Falso Simple",TRIM($I65)&lt;&gt;"",NOT(OR(LEFT(TRIM($I65),1)="A",LEFT(TRIM($I65),1)="B"))),IF(COUNTIF($Q65:$Y65,"?*")&gt;0,", ","")&amp;"respuesta A-B","")</f>
        <v/>
      </c>
      <c r="AA65">
        <f>IF(AND($A65="Respuesta A/B/Ambas/Ninguna",COUNTIF($D65:$G65,"?*")&lt;4),IF(COUNTIF($Q65:$Z65,"?*")&gt;0,", ","")&amp;"opciones A-D","")</f>
        <v/>
      </c>
      <c r="AB65">
        <f>IF(AND($A65="Respuesta A/B/Ambas/Ninguna",COUNTIF($H65:$H65,"?*")&gt;0),IF(COUNTIF($Q65:$AA65,"?*")&gt;0,", ","")&amp;"opcion E deshabilitada","")</f>
        <v/>
      </c>
      <c r="AC65">
        <f>IF(AND($A65="Respuesta A/B/Ambas/Ninguna",TRIM($I65)&lt;&gt;"",NOT(OR(LEFT(TRIM($I65),1)="A",LEFT(TRIM($I65),1)="B",LEFT(TRIM($I65),1)="C",LEFT(TRIM($I65),1)="D"))),IF(COUNTIF($Q65:$AB65,"?*")&gt;0,", ","")&amp;"respuesta A-D","")</f>
        <v/>
      </c>
      <c r="AD65">
        <f>IF(AND($A65="Verdadero o Falso Complejas",OR(LEN(TRIM(SUBSTITUTE($D65,"1.","")))=0,LEN(TRIM(SUBSTITUTE($E65,"2.","")))=0,LEN(TRIM(SUBSTITUTE($F65,"3.","")))=0,LEN(TRIM(SUBSTITUTE($G65,"4.","")))=0)),IF(COUNTIF($Q65:$AC65,"?*")&gt;0,", ","")&amp;"incisos 1-4","")</f>
        <v/>
      </c>
      <c r="AE65">
        <f>IF(AND($A65="Verdadero o Falso Complejas",COUNTIF($H65:$H65,"?*")&gt;0),IF(COUNTIF($Q65:$AD65,"?*")&gt;0,", ","")&amp;"opcion E deshabilitada","")</f>
        <v/>
      </c>
      <c r="AF65">
        <f>IF(AND($A65="Verdadero o Falso Complejas",TRIM($I65)&lt;&gt;"",NOT(OR(LEFT(TRIM($I65),1)="A",LEFT(TRIM($I65),1)="B",LEFT(TRIM($I65),1)="C",LEFT(TRIM($I65),1)="D",LEFT(TRIM($I65),1)="E"))),IF(COUNTIF($Q65:$AE65,"?*")&gt;0,", ","")&amp;"respuesta A-E","")</f>
        <v/>
      </c>
      <c r="AG65">
        <f>IF(AND(OR($A65="Selección de la mejor respuesta",$A65="Subítem de caso o problema"),COUNTA($D65:$H65)&lt;5),IF(COUNTIF($Q65:$AF65,"?*")&gt;0,", ","")&amp;"incisos A-E","")</f>
        <v/>
      </c>
      <c r="AH65">
        <f>IF(AND(OR($A65="Selección de la mejor respuesta",$A65="Subítem de caso o problema"),TRIM($I65)&lt;&gt;"",NOT(OR(LEFT(TRIM($I65),1)="A",LEFT(TRIM($I65),1)="B",LEFT(TRIM($I65),1)="C",LEFT(TRIM($I65),1)="D",LEFT(TRIM($I65),1)="E"))),IF(COUNTIF($Q65:$AG65,"?*")&gt;0,", ","")&amp;"respuesta A-E","")</f>
        <v/>
      </c>
      <c r="AI65">
        <f>IF(AND(OR($A65="Ítems agrupados por caso clínico o problema",$A65="Opción de Emparejamiento Ampliado"),COUNTIF($D65:$H65,"?*")&gt;0),IF(COUNTIF($Q65:$AH65,"?*")&gt;0,", ","")&amp;"sin incisos","")</f>
        <v/>
      </c>
      <c r="AJ65">
        <f>IF(AND($A65="Emparejamiento Ampliado",COUNTIF($D65:$H65,"?*")&lt;2),IF(COUNTIF($Q65:$AI65,"?*")&gt;0,", ","")&amp;"minimo 2 claves","")</f>
        <v/>
      </c>
      <c r="AK65">
        <f>IF(AND($A65="Opción de Emparejamiento Ampliado",NOT(OR(LEFT(TRIM($I65),1)="A",LEFT(TRIM($I65),1)="B",LEFT(TRIM($I65),1)="C",LEFT(TRIM($I65),1)="D",LEFT(TRIM($I65),1)="E"))),IF(COUNTIF($Q65:$AJ65,"?*")&gt;0,", ","")&amp;"respuesta A-E","")</f>
        <v/>
      </c>
      <c r="AL65">
        <f>IF(TRIM($K65)="",IF(COUNTIF($M65:$M65,"?*")&gt;0,", ","")&amp;"parcial","")</f>
        <v/>
      </c>
      <c r="AM65">
        <f>IF(AND(TRIM($K65)&lt;&gt;"",TRIM($K65)&lt;&gt;VALIDACIONES!$G$1),IF(COUNTIF($M65:$N65,"?*")&gt;0,", ","")&amp;"parcial distinto a "&amp;VALIDACIONES!$G$1,"")</f>
        <v/>
      </c>
    </row>
    <row r="66" ht="20" customHeight="1">
      <c r="A66" s="371" t="n"/>
      <c r="B66" s="371" t="n"/>
      <c r="C66" s="371" t="n"/>
      <c r="D66" s="371">
        <f>IF($A66="Verdadero o Falso Simple","Verdadero",IF($A66="Respuesta A/B/Ambas/Ninguna","A. Si la primera es verdadera",IF($A66="Verdadero o Falso Complejas","1. ","")))</f>
        <v/>
      </c>
      <c r="E66" s="371">
        <f>IF($A66="Verdadero o Falso Simple","Falso",IF($A66="Respuesta A/B/Ambas/Ninguna","B. Si la segunda es verdadera",IF($A66="Verdadero o Falso Complejas","2. ","")))</f>
        <v/>
      </c>
      <c r="F66" s="371">
        <f>IF($A66="Respuesta A/B/Ambas/Ninguna","C. Si ambas son verdaderas",IF($A66="Verdadero o Falso Complejas","3. ",""))</f>
        <v/>
      </c>
      <c r="G66" s="371">
        <f>IF($A66="Respuesta A/B/Ambas/Ninguna","D. Si ninguna es verdadera",IF($A66="Verdadero o Falso Complejas","4. ",""))</f>
        <v/>
      </c>
      <c r="H66" s="371">
        <f>IF($A66="Verdadero o Falso Simple","",IF($A66="Respuesta A/B/Ambas/Ninguna","",IF($A66="Verdadero o Falso Complejas","","")))</f>
        <v/>
      </c>
      <c r="I66" s="371" t="n"/>
      <c r="J66" s="372" t="n"/>
      <c r="K66" s="372">
        <f>IF(TRIM($A66)="","",VALIDACIONES!$G$1)</f>
        <v/>
      </c>
      <c r="L66" s="371">
        <f>IF(TRIM($A66)="","",IF(OR($A66="Selección de la mejor respuesta",$A66="SELECCION_MEJOR_RESPUESTA",$A66="Subítem de caso o problema",$A66="SUBITEM_CASO"),IF(TRIM($C66)="","Completar enunciado",IF(SUMPRODUCT(--(LEN(TRIM($D66:$H66&amp;""))&gt;0))&lt;5,"Completar opciones A-E",IF(AND(TRIM($I66)&lt;&gt;"",OR(LEFT(TRIM($I66),1)="A",LEFT(TRIM($I66),1)="B",LEFT(TRIM($I66),1)="C",LEFT(TRIM($I66),1)="D",LEFT(TRIM($I66),1)="E")),"OK","Completar respuesta correcta A-E"))),IF(TRIM($A66)="","",IF(COUNTIF($Q66:$AJ66,"?*")=0,"OK","Falta revisar: "&amp;$Q66&amp;$R66&amp;$S66&amp;$T66&amp;$U66&amp;$V66&amp;$W66&amp;$X66&amp;$Y66&amp;$Z66&amp;$AA66&amp;$AB66&amp;$AC66&amp;$AD66&amp;$AE66&amp;$AF66&amp;$AG66&amp;$AH66&amp;$AI66&amp;$AJ66))))</f>
        <v/>
      </c>
      <c r="M66" s="373" t="n"/>
      <c r="Q66">
        <f>IF(TRIM($C66)="","enunciado","")</f>
        <v/>
      </c>
      <c r="R66">
        <f>IF(TRIM($K66)="",IF(COUNTIF($Q66:$Q66,"?*")&gt;0,", ","")&amp;"parcial","")</f>
        <v/>
      </c>
      <c r="S66">
        <f>IF(AND(TRIM($K66)&lt;&gt;"",TRIM($K66)&lt;&gt;VALIDACIONES!$G$1),IF(COUNTIF($Q66:$R66,"?*")&gt;0,", ","")&amp;"parcial distinto a "&amp;VALIDACIONES!$G$1,"")</f>
        <v/>
      </c>
      <c r="T66">
        <f>IF(AND(OR($A66="Ítems agrupados por caso clínico o problema",$A66="Subítem de caso o problema",$A66="Emparejamiento Ampliado",$A66="Opción de Emparejamiento Ampliado"),TRIM($B66)=""),IF(COUNTIF($Q66:$S66,"?*")&gt;0,", ","")&amp;"grupo","")</f>
        <v/>
      </c>
      <c r="U66">
        <f>IF(AND(OR($A66="Verdadero o Falso Simple",$A66="Respuesta A/B/Ambas/Ninguna",$A66="Verdadero o Falso Complejas",$A66="Selección de la mejor respuesta",$A66="Subítem de caso o problema",$A66="Opción de Emparejamiento Ampliado"),TRIM($I66)=""),IF(COUNTIF($Q66:$T66,"?*")&gt;0,", ","")&amp;"respuesta_correcta","")</f>
        <v/>
      </c>
      <c r="V66">
        <f>IF(AND(OR($A66="Verdadero o Falso Simple",$A66="Respuesta A/B/Ambas/Ninguna",$A66="Verdadero o Falso Complejas",$A66="Selección de la mejor respuesta",$A66="Subítem de caso o problema",$A66="Opción de Emparejamiento Ampliado"),TRIM($J66)=""),IF(COUNTIF($Q66:$U66,"?*")&gt;0,", ","")&amp;"dificultad","")</f>
        <v/>
      </c>
      <c r="W66">
        <f>IF(AND(OR($A66="Ítems agrupados por caso clínico o problema",$A66="Emparejamiento Ampliado"),TRIM($I66)&lt;&gt;""),IF(COUNTIF($Q66:$V66,"?*")&gt;0,", ","")&amp;"respuesta debe ir vacia","")</f>
        <v/>
      </c>
      <c r="X66">
        <f>IF(AND(OR($A66="Ítems agrupados por caso clínico o problema",$A66="Emparejamiento Ampliado"),TRIM($J66)&lt;&gt;""),IF(COUNTIF($Q66:$W66,"?*")&gt;0,", ","")&amp;"dificultad debe ir vacia","")</f>
        <v/>
      </c>
      <c r="Y66">
        <f>IF(AND($A66="Verdadero o Falso Simple",OR(COUNTIF($D66:$E66,"?*")&lt;2,COUNTIF($F66:$H66,"?*")&gt;0)),IF(COUNTIF($Q66:$X66,"?*")&gt;0,", ","")&amp;"incisos A-B","")</f>
        <v/>
      </c>
      <c r="Z66">
        <f>IF(AND($A66="Verdadero o Falso Simple",TRIM($I66)&lt;&gt;"",NOT(OR(LEFT(TRIM($I66),1)="A",LEFT(TRIM($I66),1)="B"))),IF(COUNTIF($Q66:$Y66,"?*")&gt;0,", ","")&amp;"respuesta A-B","")</f>
        <v/>
      </c>
      <c r="AA66">
        <f>IF(AND($A66="Respuesta A/B/Ambas/Ninguna",COUNTIF($D66:$G66,"?*")&lt;4),IF(COUNTIF($Q66:$Z66,"?*")&gt;0,", ","")&amp;"opciones A-D","")</f>
        <v/>
      </c>
      <c r="AB66">
        <f>IF(AND($A66="Respuesta A/B/Ambas/Ninguna",COUNTIF($H66:$H66,"?*")&gt;0),IF(COUNTIF($Q66:$AA66,"?*")&gt;0,", ","")&amp;"opcion E deshabilitada","")</f>
        <v/>
      </c>
      <c r="AC66">
        <f>IF(AND($A66="Respuesta A/B/Ambas/Ninguna",TRIM($I66)&lt;&gt;"",NOT(OR(LEFT(TRIM($I66),1)="A",LEFT(TRIM($I66),1)="B",LEFT(TRIM($I66),1)="C",LEFT(TRIM($I66),1)="D"))),IF(COUNTIF($Q66:$AB66,"?*")&gt;0,", ","")&amp;"respuesta A-D","")</f>
        <v/>
      </c>
      <c r="AD66">
        <f>IF(AND($A66="Verdadero o Falso Complejas",OR(LEN(TRIM(SUBSTITUTE($D66,"1.","")))=0,LEN(TRIM(SUBSTITUTE($E66,"2.","")))=0,LEN(TRIM(SUBSTITUTE($F66,"3.","")))=0,LEN(TRIM(SUBSTITUTE($G66,"4.","")))=0)),IF(COUNTIF($Q66:$AC66,"?*")&gt;0,", ","")&amp;"incisos 1-4","")</f>
        <v/>
      </c>
      <c r="AE66">
        <f>IF(AND($A66="Verdadero o Falso Complejas",COUNTIF($H66:$H66,"?*")&gt;0),IF(COUNTIF($Q66:$AD66,"?*")&gt;0,", ","")&amp;"opcion E deshabilitada","")</f>
        <v/>
      </c>
      <c r="AF66">
        <f>IF(AND($A66="Verdadero o Falso Complejas",TRIM($I66)&lt;&gt;"",NOT(OR(LEFT(TRIM($I66),1)="A",LEFT(TRIM($I66),1)="B",LEFT(TRIM($I66),1)="C",LEFT(TRIM($I66),1)="D",LEFT(TRIM($I66),1)="E"))),IF(COUNTIF($Q66:$AE66,"?*")&gt;0,", ","")&amp;"respuesta A-E","")</f>
        <v/>
      </c>
      <c r="AG66">
        <f>IF(AND(OR($A66="Selección de la mejor respuesta",$A66="Subítem de caso o problema"),COUNTA($D66:$H66)&lt;5),IF(COUNTIF($Q66:$AF66,"?*")&gt;0,", ","")&amp;"incisos A-E","")</f>
        <v/>
      </c>
      <c r="AH66">
        <f>IF(AND(OR($A66="Selección de la mejor respuesta",$A66="Subítem de caso o problema"),TRIM($I66)&lt;&gt;"",NOT(OR(LEFT(TRIM($I66),1)="A",LEFT(TRIM($I66),1)="B",LEFT(TRIM($I66),1)="C",LEFT(TRIM($I66),1)="D",LEFT(TRIM($I66),1)="E"))),IF(COUNTIF($Q66:$AG66,"?*")&gt;0,", ","")&amp;"respuesta A-E","")</f>
        <v/>
      </c>
      <c r="AI66">
        <f>IF(AND(OR($A66="Ítems agrupados por caso clínico o problema",$A66="Opción de Emparejamiento Ampliado"),COUNTIF($D66:$H66,"?*")&gt;0),IF(COUNTIF($Q66:$AH66,"?*")&gt;0,", ","")&amp;"sin incisos","")</f>
        <v/>
      </c>
      <c r="AJ66">
        <f>IF(AND($A66="Emparejamiento Ampliado",COUNTIF($D66:$H66,"?*")&lt;2),IF(COUNTIF($Q66:$AI66,"?*")&gt;0,", ","")&amp;"minimo 2 claves","")</f>
        <v/>
      </c>
      <c r="AK66">
        <f>IF(AND($A66="Opción de Emparejamiento Ampliado",NOT(OR(LEFT(TRIM($I66),1)="A",LEFT(TRIM($I66),1)="B",LEFT(TRIM($I66),1)="C",LEFT(TRIM($I66),1)="D",LEFT(TRIM($I66),1)="E"))),IF(COUNTIF($Q66:$AJ66,"?*")&gt;0,", ","")&amp;"respuesta A-E","")</f>
        <v/>
      </c>
      <c r="AL66">
        <f>IF(TRIM($K66)="",IF(COUNTIF($M66:$M66,"?*")&gt;0,", ","")&amp;"parcial","")</f>
        <v/>
      </c>
      <c r="AM66">
        <f>IF(AND(TRIM($K66)&lt;&gt;"",TRIM($K66)&lt;&gt;VALIDACIONES!$G$1),IF(COUNTIF($M66:$N66,"?*")&gt;0,", ","")&amp;"parcial distinto a "&amp;VALIDACIONES!$G$1,"")</f>
        <v/>
      </c>
    </row>
    <row r="67" ht="20" customHeight="1">
      <c r="A67" s="371" t="n"/>
      <c r="B67" s="371" t="n"/>
      <c r="C67" s="371" t="n"/>
      <c r="D67" s="371">
        <f>IF($A67="Verdadero o Falso Simple","Verdadero",IF($A67="Respuesta A/B/Ambas/Ninguna","A. Si la primera es verdadera",IF($A67="Verdadero o Falso Complejas","1. ","")))</f>
        <v/>
      </c>
      <c r="E67" s="371">
        <f>IF($A67="Verdadero o Falso Simple","Falso",IF($A67="Respuesta A/B/Ambas/Ninguna","B. Si la segunda es verdadera",IF($A67="Verdadero o Falso Complejas","2. ","")))</f>
        <v/>
      </c>
      <c r="F67" s="371">
        <f>IF($A67="Respuesta A/B/Ambas/Ninguna","C. Si ambas son verdaderas",IF($A67="Verdadero o Falso Complejas","3. ",""))</f>
        <v/>
      </c>
      <c r="G67" s="371">
        <f>IF($A67="Respuesta A/B/Ambas/Ninguna","D. Si ninguna es verdadera",IF($A67="Verdadero o Falso Complejas","4. ",""))</f>
        <v/>
      </c>
      <c r="H67" s="371">
        <f>IF($A67="Verdadero o Falso Simple","",IF($A67="Respuesta A/B/Ambas/Ninguna","",IF($A67="Verdadero o Falso Complejas","","")))</f>
        <v/>
      </c>
      <c r="I67" s="371" t="n"/>
      <c r="J67" s="372" t="n"/>
      <c r="K67" s="372">
        <f>IF(TRIM($A67)="","",VALIDACIONES!$G$1)</f>
        <v/>
      </c>
      <c r="L67" s="371">
        <f>IF(TRIM($A67)="","",IF(OR($A67="Selección de la mejor respuesta",$A67="SELECCION_MEJOR_RESPUESTA",$A67="Subítem de caso o problema",$A67="SUBITEM_CASO"),IF(TRIM($C67)="","Completar enunciado",IF(SUMPRODUCT(--(LEN(TRIM($D67:$H67&amp;""))&gt;0))&lt;5,"Completar opciones A-E",IF(AND(TRIM($I67)&lt;&gt;"",OR(LEFT(TRIM($I67),1)="A",LEFT(TRIM($I67),1)="B",LEFT(TRIM($I67),1)="C",LEFT(TRIM($I67),1)="D",LEFT(TRIM($I67),1)="E")),"OK","Completar respuesta correcta A-E"))),IF(TRIM($A67)="","",IF(COUNTIF($Q67:$AJ67,"?*")=0,"OK","Falta revisar: "&amp;$Q67&amp;$R67&amp;$S67&amp;$T67&amp;$U67&amp;$V67&amp;$W67&amp;$X67&amp;$Y67&amp;$Z67&amp;$AA67&amp;$AB67&amp;$AC67&amp;$AD67&amp;$AE67&amp;$AF67&amp;$AG67&amp;$AH67&amp;$AI67&amp;$AJ67))))</f>
        <v/>
      </c>
      <c r="M67" s="373" t="n"/>
      <c r="Q67">
        <f>IF(TRIM($C67)="","enunciado","")</f>
        <v/>
      </c>
      <c r="R67">
        <f>IF(TRIM($K67)="",IF(COUNTIF($Q67:$Q67,"?*")&gt;0,", ","")&amp;"parcial","")</f>
        <v/>
      </c>
      <c r="S67">
        <f>IF(AND(TRIM($K67)&lt;&gt;"",TRIM($K67)&lt;&gt;VALIDACIONES!$G$1),IF(COUNTIF($Q67:$R67,"?*")&gt;0,", ","")&amp;"parcial distinto a "&amp;VALIDACIONES!$G$1,"")</f>
        <v/>
      </c>
      <c r="T67">
        <f>IF(AND(OR($A67="Ítems agrupados por caso clínico o problema",$A67="Subítem de caso o problema",$A67="Emparejamiento Ampliado",$A67="Opción de Emparejamiento Ampliado"),TRIM($B67)=""),IF(COUNTIF($Q67:$S67,"?*")&gt;0,", ","")&amp;"grupo","")</f>
        <v/>
      </c>
      <c r="U67">
        <f>IF(AND(OR($A67="Verdadero o Falso Simple",$A67="Respuesta A/B/Ambas/Ninguna",$A67="Verdadero o Falso Complejas",$A67="Selección de la mejor respuesta",$A67="Subítem de caso o problema",$A67="Opción de Emparejamiento Ampliado"),TRIM($I67)=""),IF(COUNTIF($Q67:$T67,"?*")&gt;0,", ","")&amp;"respuesta_correcta","")</f>
        <v/>
      </c>
      <c r="V67">
        <f>IF(AND(OR($A67="Verdadero o Falso Simple",$A67="Respuesta A/B/Ambas/Ninguna",$A67="Verdadero o Falso Complejas",$A67="Selección de la mejor respuesta",$A67="Subítem de caso o problema",$A67="Opción de Emparejamiento Ampliado"),TRIM($J67)=""),IF(COUNTIF($Q67:$U67,"?*")&gt;0,", ","")&amp;"dificultad","")</f>
        <v/>
      </c>
      <c r="W67">
        <f>IF(AND(OR($A67="Ítems agrupados por caso clínico o problema",$A67="Emparejamiento Ampliado"),TRIM($I67)&lt;&gt;""),IF(COUNTIF($Q67:$V67,"?*")&gt;0,", ","")&amp;"respuesta debe ir vacia","")</f>
        <v/>
      </c>
      <c r="X67">
        <f>IF(AND(OR($A67="Ítems agrupados por caso clínico o problema",$A67="Emparejamiento Ampliado"),TRIM($J67)&lt;&gt;""),IF(COUNTIF($Q67:$W67,"?*")&gt;0,", ","")&amp;"dificultad debe ir vacia","")</f>
        <v/>
      </c>
      <c r="Y67">
        <f>IF(AND($A67="Verdadero o Falso Simple",OR(COUNTIF($D67:$E67,"?*")&lt;2,COUNTIF($F67:$H67,"?*")&gt;0)),IF(COUNTIF($Q67:$X67,"?*")&gt;0,", ","")&amp;"incisos A-B","")</f>
        <v/>
      </c>
      <c r="Z67">
        <f>IF(AND($A67="Verdadero o Falso Simple",TRIM($I67)&lt;&gt;"",NOT(OR(LEFT(TRIM($I67),1)="A",LEFT(TRIM($I67),1)="B"))),IF(COUNTIF($Q67:$Y67,"?*")&gt;0,", ","")&amp;"respuesta A-B","")</f>
        <v/>
      </c>
      <c r="AA67">
        <f>IF(AND($A67="Respuesta A/B/Ambas/Ninguna",COUNTIF($D67:$G67,"?*")&lt;4),IF(COUNTIF($Q67:$Z67,"?*")&gt;0,", ","")&amp;"opciones A-D","")</f>
        <v/>
      </c>
      <c r="AB67">
        <f>IF(AND($A67="Respuesta A/B/Ambas/Ninguna",COUNTIF($H67:$H67,"?*")&gt;0),IF(COUNTIF($Q67:$AA67,"?*")&gt;0,", ","")&amp;"opcion E deshabilitada","")</f>
        <v/>
      </c>
      <c r="AC67">
        <f>IF(AND($A67="Respuesta A/B/Ambas/Ninguna",TRIM($I67)&lt;&gt;"",NOT(OR(LEFT(TRIM($I67),1)="A",LEFT(TRIM($I67),1)="B",LEFT(TRIM($I67),1)="C",LEFT(TRIM($I67),1)="D"))),IF(COUNTIF($Q67:$AB67,"?*")&gt;0,", ","")&amp;"respuesta A-D","")</f>
        <v/>
      </c>
      <c r="AD67">
        <f>IF(AND($A67="Verdadero o Falso Complejas",OR(LEN(TRIM(SUBSTITUTE($D67,"1.","")))=0,LEN(TRIM(SUBSTITUTE($E67,"2.","")))=0,LEN(TRIM(SUBSTITUTE($F67,"3.","")))=0,LEN(TRIM(SUBSTITUTE($G67,"4.","")))=0)),IF(COUNTIF($Q67:$AC67,"?*")&gt;0,", ","")&amp;"incisos 1-4","")</f>
        <v/>
      </c>
      <c r="AE67">
        <f>IF(AND($A67="Verdadero o Falso Complejas",COUNTIF($H67:$H67,"?*")&gt;0),IF(COUNTIF($Q67:$AD67,"?*")&gt;0,", ","")&amp;"opcion E deshabilitada","")</f>
        <v/>
      </c>
      <c r="AF67">
        <f>IF(AND($A67="Verdadero o Falso Complejas",TRIM($I67)&lt;&gt;"",NOT(OR(LEFT(TRIM($I67),1)="A",LEFT(TRIM($I67),1)="B",LEFT(TRIM($I67),1)="C",LEFT(TRIM($I67),1)="D",LEFT(TRIM($I67),1)="E"))),IF(COUNTIF($Q67:$AE67,"?*")&gt;0,", ","")&amp;"respuesta A-E","")</f>
        <v/>
      </c>
      <c r="AG67">
        <f>IF(AND(OR($A67="Selección de la mejor respuesta",$A67="Subítem de caso o problema"),COUNTA($D67:$H67)&lt;5),IF(COUNTIF($Q67:$AF67,"?*")&gt;0,", ","")&amp;"incisos A-E","")</f>
        <v/>
      </c>
      <c r="AH67">
        <f>IF(AND(OR($A67="Selección de la mejor respuesta",$A67="Subítem de caso o problema"),TRIM($I67)&lt;&gt;"",NOT(OR(LEFT(TRIM($I67),1)="A",LEFT(TRIM($I67),1)="B",LEFT(TRIM($I67),1)="C",LEFT(TRIM($I67),1)="D",LEFT(TRIM($I67),1)="E"))),IF(COUNTIF($Q67:$AG67,"?*")&gt;0,", ","")&amp;"respuesta A-E","")</f>
        <v/>
      </c>
      <c r="AI67">
        <f>IF(AND(OR($A67="Ítems agrupados por caso clínico o problema",$A67="Opción de Emparejamiento Ampliado"),COUNTIF($D67:$H67,"?*")&gt;0),IF(COUNTIF($Q67:$AH67,"?*")&gt;0,", ","")&amp;"sin incisos","")</f>
        <v/>
      </c>
      <c r="AJ67">
        <f>IF(AND($A67="Emparejamiento Ampliado",COUNTIF($D67:$H67,"?*")&lt;2),IF(COUNTIF($Q67:$AI67,"?*")&gt;0,", ","")&amp;"minimo 2 claves","")</f>
        <v/>
      </c>
      <c r="AK67">
        <f>IF(AND($A67="Opción de Emparejamiento Ampliado",NOT(OR(LEFT(TRIM($I67),1)="A",LEFT(TRIM($I67),1)="B",LEFT(TRIM($I67),1)="C",LEFT(TRIM($I67),1)="D",LEFT(TRIM($I67),1)="E"))),IF(COUNTIF($Q67:$AJ67,"?*")&gt;0,", ","")&amp;"respuesta A-E","")</f>
        <v/>
      </c>
      <c r="AL67">
        <f>IF(TRIM($K67)="",IF(COUNTIF($M67:$M67,"?*")&gt;0,", ","")&amp;"parcial","")</f>
        <v/>
      </c>
      <c r="AM67">
        <f>IF(AND(TRIM($K67)&lt;&gt;"",TRIM($K67)&lt;&gt;VALIDACIONES!$G$1),IF(COUNTIF($M67:$N67,"?*")&gt;0,", ","")&amp;"parcial distinto a "&amp;VALIDACIONES!$G$1,"")</f>
        <v/>
      </c>
    </row>
    <row r="68" ht="20" customHeight="1">
      <c r="A68" s="371" t="n"/>
      <c r="B68" s="371" t="n"/>
      <c r="C68" s="371" t="n"/>
      <c r="D68" s="371">
        <f>IF($A68="Verdadero o Falso Simple","Verdadero",IF($A68="Respuesta A/B/Ambas/Ninguna","A. Si la primera es verdadera",IF($A68="Verdadero o Falso Complejas","1. ","")))</f>
        <v/>
      </c>
      <c r="E68" s="371">
        <f>IF($A68="Verdadero o Falso Simple","Falso",IF($A68="Respuesta A/B/Ambas/Ninguna","B. Si la segunda es verdadera",IF($A68="Verdadero o Falso Complejas","2. ","")))</f>
        <v/>
      </c>
      <c r="F68" s="371">
        <f>IF($A68="Respuesta A/B/Ambas/Ninguna","C. Si ambas son verdaderas",IF($A68="Verdadero o Falso Complejas","3. ",""))</f>
        <v/>
      </c>
      <c r="G68" s="371">
        <f>IF($A68="Respuesta A/B/Ambas/Ninguna","D. Si ninguna es verdadera",IF($A68="Verdadero o Falso Complejas","4. ",""))</f>
        <v/>
      </c>
      <c r="H68" s="371">
        <f>IF($A68="Verdadero o Falso Simple","",IF($A68="Respuesta A/B/Ambas/Ninguna","",IF($A68="Verdadero o Falso Complejas","","")))</f>
        <v/>
      </c>
      <c r="I68" s="371" t="n"/>
      <c r="J68" s="372" t="n"/>
      <c r="K68" s="372">
        <f>IF(TRIM($A68)="","",VALIDACIONES!$G$1)</f>
        <v/>
      </c>
      <c r="L68" s="371">
        <f>IF(TRIM($A68)="","",IF(OR($A68="Selección de la mejor respuesta",$A68="SELECCION_MEJOR_RESPUESTA",$A68="Subítem de caso o problema",$A68="SUBITEM_CASO"),IF(TRIM($C68)="","Completar enunciado",IF(SUMPRODUCT(--(LEN(TRIM($D68:$H68&amp;""))&gt;0))&lt;5,"Completar opciones A-E",IF(AND(TRIM($I68)&lt;&gt;"",OR(LEFT(TRIM($I68),1)="A",LEFT(TRIM($I68),1)="B",LEFT(TRIM($I68),1)="C",LEFT(TRIM($I68),1)="D",LEFT(TRIM($I68),1)="E")),"OK","Completar respuesta correcta A-E"))),IF(TRIM($A68)="","",IF(COUNTIF($Q68:$AJ68,"?*")=0,"OK","Falta revisar: "&amp;$Q68&amp;$R68&amp;$S68&amp;$T68&amp;$U68&amp;$V68&amp;$W68&amp;$X68&amp;$Y68&amp;$Z68&amp;$AA68&amp;$AB68&amp;$AC68&amp;$AD68&amp;$AE68&amp;$AF68&amp;$AG68&amp;$AH68&amp;$AI68&amp;$AJ68))))</f>
        <v/>
      </c>
      <c r="M68" s="373" t="n"/>
      <c r="Q68">
        <f>IF(TRIM($C68)="","enunciado","")</f>
        <v/>
      </c>
      <c r="R68">
        <f>IF(TRIM($K68)="",IF(COUNTIF($Q68:$Q68,"?*")&gt;0,", ","")&amp;"parcial","")</f>
        <v/>
      </c>
      <c r="S68">
        <f>IF(AND(TRIM($K68)&lt;&gt;"",TRIM($K68)&lt;&gt;VALIDACIONES!$G$1),IF(COUNTIF($Q68:$R68,"?*")&gt;0,", ","")&amp;"parcial distinto a "&amp;VALIDACIONES!$G$1,"")</f>
        <v/>
      </c>
      <c r="T68">
        <f>IF(AND(OR($A68="Ítems agrupados por caso clínico o problema",$A68="Subítem de caso o problema",$A68="Emparejamiento Ampliado",$A68="Opción de Emparejamiento Ampliado"),TRIM($B68)=""),IF(COUNTIF($Q68:$S68,"?*")&gt;0,", ","")&amp;"grupo","")</f>
        <v/>
      </c>
      <c r="U68">
        <f>IF(AND(OR($A68="Verdadero o Falso Simple",$A68="Respuesta A/B/Ambas/Ninguna",$A68="Verdadero o Falso Complejas",$A68="Selección de la mejor respuesta",$A68="Subítem de caso o problema",$A68="Opción de Emparejamiento Ampliado"),TRIM($I68)=""),IF(COUNTIF($Q68:$T68,"?*")&gt;0,", ","")&amp;"respuesta_correcta","")</f>
        <v/>
      </c>
      <c r="V68">
        <f>IF(AND(OR($A68="Verdadero o Falso Simple",$A68="Respuesta A/B/Ambas/Ninguna",$A68="Verdadero o Falso Complejas",$A68="Selección de la mejor respuesta",$A68="Subítem de caso o problema",$A68="Opción de Emparejamiento Ampliado"),TRIM($J68)=""),IF(COUNTIF($Q68:$U68,"?*")&gt;0,", ","")&amp;"dificultad","")</f>
        <v/>
      </c>
      <c r="W68">
        <f>IF(AND(OR($A68="Ítems agrupados por caso clínico o problema",$A68="Emparejamiento Ampliado"),TRIM($I68)&lt;&gt;""),IF(COUNTIF($Q68:$V68,"?*")&gt;0,", ","")&amp;"respuesta debe ir vacia","")</f>
        <v/>
      </c>
      <c r="X68">
        <f>IF(AND(OR($A68="Ítems agrupados por caso clínico o problema",$A68="Emparejamiento Ampliado"),TRIM($J68)&lt;&gt;""),IF(COUNTIF($Q68:$W68,"?*")&gt;0,", ","")&amp;"dificultad debe ir vacia","")</f>
        <v/>
      </c>
      <c r="Y68">
        <f>IF(AND($A68="Verdadero o Falso Simple",OR(COUNTIF($D68:$E68,"?*")&lt;2,COUNTIF($F68:$H68,"?*")&gt;0)),IF(COUNTIF($Q68:$X68,"?*")&gt;0,", ","")&amp;"incisos A-B","")</f>
        <v/>
      </c>
      <c r="Z68">
        <f>IF(AND($A68="Verdadero o Falso Simple",TRIM($I68)&lt;&gt;"",NOT(OR(LEFT(TRIM($I68),1)="A",LEFT(TRIM($I68),1)="B"))),IF(COUNTIF($Q68:$Y68,"?*")&gt;0,", ","")&amp;"respuesta A-B","")</f>
        <v/>
      </c>
      <c r="AA68">
        <f>IF(AND($A68="Respuesta A/B/Ambas/Ninguna",COUNTIF($D68:$G68,"?*")&lt;4),IF(COUNTIF($Q68:$Z68,"?*")&gt;0,", ","")&amp;"opciones A-D","")</f>
        <v/>
      </c>
      <c r="AB68">
        <f>IF(AND($A68="Respuesta A/B/Ambas/Ninguna",COUNTIF($H68:$H68,"?*")&gt;0),IF(COUNTIF($Q68:$AA68,"?*")&gt;0,", ","")&amp;"opcion E deshabilitada","")</f>
        <v/>
      </c>
      <c r="AC68">
        <f>IF(AND($A68="Respuesta A/B/Ambas/Ninguna",TRIM($I68)&lt;&gt;"",NOT(OR(LEFT(TRIM($I68),1)="A",LEFT(TRIM($I68),1)="B",LEFT(TRIM($I68),1)="C",LEFT(TRIM($I68),1)="D"))),IF(COUNTIF($Q68:$AB68,"?*")&gt;0,", ","")&amp;"respuesta A-D","")</f>
        <v/>
      </c>
      <c r="AD68">
        <f>IF(AND($A68="Verdadero o Falso Complejas",OR(LEN(TRIM(SUBSTITUTE($D68,"1.","")))=0,LEN(TRIM(SUBSTITUTE($E68,"2.","")))=0,LEN(TRIM(SUBSTITUTE($F68,"3.","")))=0,LEN(TRIM(SUBSTITUTE($G68,"4.","")))=0)),IF(COUNTIF($Q68:$AC68,"?*")&gt;0,", ","")&amp;"incisos 1-4","")</f>
        <v/>
      </c>
      <c r="AE68">
        <f>IF(AND($A68="Verdadero o Falso Complejas",COUNTIF($H68:$H68,"?*")&gt;0),IF(COUNTIF($Q68:$AD68,"?*")&gt;0,", ","")&amp;"opcion E deshabilitada","")</f>
        <v/>
      </c>
      <c r="AF68">
        <f>IF(AND($A68="Verdadero o Falso Complejas",TRIM($I68)&lt;&gt;"",NOT(OR(LEFT(TRIM($I68),1)="A",LEFT(TRIM($I68),1)="B",LEFT(TRIM($I68),1)="C",LEFT(TRIM($I68),1)="D",LEFT(TRIM($I68),1)="E"))),IF(COUNTIF($Q68:$AE68,"?*")&gt;0,", ","")&amp;"respuesta A-E","")</f>
        <v/>
      </c>
      <c r="AG68">
        <f>IF(AND(OR($A68="Selección de la mejor respuesta",$A68="Subítem de caso o problema"),COUNTA($D68:$H68)&lt;5),IF(COUNTIF($Q68:$AF68,"?*")&gt;0,", ","")&amp;"incisos A-E","")</f>
        <v/>
      </c>
      <c r="AH68">
        <f>IF(AND(OR($A68="Selección de la mejor respuesta",$A68="Subítem de caso o problema"),TRIM($I68)&lt;&gt;"",NOT(OR(LEFT(TRIM($I68),1)="A",LEFT(TRIM($I68),1)="B",LEFT(TRIM($I68),1)="C",LEFT(TRIM($I68),1)="D",LEFT(TRIM($I68),1)="E"))),IF(COUNTIF($Q68:$AG68,"?*")&gt;0,", ","")&amp;"respuesta A-E","")</f>
        <v/>
      </c>
      <c r="AI68">
        <f>IF(AND(OR($A68="Ítems agrupados por caso clínico o problema",$A68="Opción de Emparejamiento Ampliado"),COUNTIF($D68:$H68,"?*")&gt;0),IF(COUNTIF($Q68:$AH68,"?*")&gt;0,", ","")&amp;"sin incisos","")</f>
        <v/>
      </c>
      <c r="AJ68">
        <f>IF(AND($A68="Emparejamiento Ampliado",COUNTIF($D68:$H68,"?*")&lt;2),IF(COUNTIF($Q68:$AI68,"?*")&gt;0,", ","")&amp;"minimo 2 claves","")</f>
        <v/>
      </c>
      <c r="AK68">
        <f>IF(AND($A68="Opción de Emparejamiento Ampliado",NOT(OR(LEFT(TRIM($I68),1)="A",LEFT(TRIM($I68),1)="B",LEFT(TRIM($I68),1)="C",LEFT(TRIM($I68),1)="D",LEFT(TRIM($I68),1)="E"))),IF(COUNTIF($Q68:$AJ68,"?*")&gt;0,", ","")&amp;"respuesta A-E","")</f>
        <v/>
      </c>
      <c r="AL68">
        <f>IF(TRIM($K68)="",IF(COUNTIF($M68:$M68,"?*")&gt;0,", ","")&amp;"parcial","")</f>
        <v/>
      </c>
      <c r="AM68">
        <f>IF(AND(TRIM($K68)&lt;&gt;"",TRIM($K68)&lt;&gt;VALIDACIONES!$G$1),IF(COUNTIF($M68:$N68,"?*")&gt;0,", ","")&amp;"parcial distinto a "&amp;VALIDACIONES!$G$1,"")</f>
        <v/>
      </c>
    </row>
    <row r="69" ht="20" customHeight="1">
      <c r="A69" s="371" t="n"/>
      <c r="B69" s="371" t="n"/>
      <c r="C69" s="371" t="n"/>
      <c r="D69" s="371">
        <f>IF($A69="Verdadero o Falso Simple","Verdadero",IF($A69="Respuesta A/B/Ambas/Ninguna","A. Si la primera es verdadera",IF($A69="Verdadero o Falso Complejas","1. ","")))</f>
        <v/>
      </c>
      <c r="E69" s="371">
        <f>IF($A69="Verdadero o Falso Simple","Falso",IF($A69="Respuesta A/B/Ambas/Ninguna","B. Si la segunda es verdadera",IF($A69="Verdadero o Falso Complejas","2. ","")))</f>
        <v/>
      </c>
      <c r="F69" s="371">
        <f>IF($A69="Respuesta A/B/Ambas/Ninguna","C. Si ambas son verdaderas",IF($A69="Verdadero o Falso Complejas","3. ",""))</f>
        <v/>
      </c>
      <c r="G69" s="371">
        <f>IF($A69="Respuesta A/B/Ambas/Ninguna","D. Si ninguna es verdadera",IF($A69="Verdadero o Falso Complejas","4. ",""))</f>
        <v/>
      </c>
      <c r="H69" s="371">
        <f>IF($A69="Verdadero o Falso Simple","",IF($A69="Respuesta A/B/Ambas/Ninguna","",IF($A69="Verdadero o Falso Complejas","","")))</f>
        <v/>
      </c>
      <c r="I69" s="371" t="n"/>
      <c r="J69" s="372" t="n"/>
      <c r="K69" s="372">
        <f>IF(TRIM($A69)="","",VALIDACIONES!$G$1)</f>
        <v/>
      </c>
      <c r="L69" s="371">
        <f>IF(TRIM($A69)="","",IF(OR($A69="Selección de la mejor respuesta",$A69="SELECCION_MEJOR_RESPUESTA",$A69="Subítem de caso o problema",$A69="SUBITEM_CASO"),IF(TRIM($C69)="","Completar enunciado",IF(SUMPRODUCT(--(LEN(TRIM($D69:$H69&amp;""))&gt;0))&lt;5,"Completar opciones A-E",IF(AND(TRIM($I69)&lt;&gt;"",OR(LEFT(TRIM($I69),1)="A",LEFT(TRIM($I69),1)="B",LEFT(TRIM($I69),1)="C",LEFT(TRIM($I69),1)="D",LEFT(TRIM($I69),1)="E")),"OK","Completar respuesta correcta A-E"))),IF(TRIM($A69)="","",IF(COUNTIF($Q69:$AJ69,"?*")=0,"OK","Falta revisar: "&amp;$Q69&amp;$R69&amp;$S69&amp;$T69&amp;$U69&amp;$V69&amp;$W69&amp;$X69&amp;$Y69&amp;$Z69&amp;$AA69&amp;$AB69&amp;$AC69&amp;$AD69&amp;$AE69&amp;$AF69&amp;$AG69&amp;$AH69&amp;$AI69&amp;$AJ69))))</f>
        <v/>
      </c>
      <c r="M69" s="373" t="n"/>
      <c r="Q69">
        <f>IF(TRIM($C69)="","enunciado","")</f>
        <v/>
      </c>
      <c r="R69">
        <f>IF(TRIM($K69)="",IF(COUNTIF($Q69:$Q69,"?*")&gt;0,", ","")&amp;"parcial","")</f>
        <v/>
      </c>
      <c r="S69">
        <f>IF(AND(TRIM($K69)&lt;&gt;"",TRIM($K69)&lt;&gt;VALIDACIONES!$G$1),IF(COUNTIF($Q69:$R69,"?*")&gt;0,", ","")&amp;"parcial distinto a "&amp;VALIDACIONES!$G$1,"")</f>
        <v/>
      </c>
      <c r="T69">
        <f>IF(AND(OR($A69="Ítems agrupados por caso clínico o problema",$A69="Subítem de caso o problema",$A69="Emparejamiento Ampliado",$A69="Opción de Emparejamiento Ampliado"),TRIM($B69)=""),IF(COUNTIF($Q69:$S69,"?*")&gt;0,", ","")&amp;"grupo","")</f>
        <v/>
      </c>
      <c r="U69">
        <f>IF(AND(OR($A69="Verdadero o Falso Simple",$A69="Respuesta A/B/Ambas/Ninguna",$A69="Verdadero o Falso Complejas",$A69="Selección de la mejor respuesta",$A69="Subítem de caso o problema",$A69="Opción de Emparejamiento Ampliado"),TRIM($I69)=""),IF(COUNTIF($Q69:$T69,"?*")&gt;0,", ","")&amp;"respuesta_correcta","")</f>
        <v/>
      </c>
      <c r="V69">
        <f>IF(AND(OR($A69="Verdadero o Falso Simple",$A69="Respuesta A/B/Ambas/Ninguna",$A69="Verdadero o Falso Complejas",$A69="Selección de la mejor respuesta",$A69="Subítem de caso o problema",$A69="Opción de Emparejamiento Ampliado"),TRIM($J69)=""),IF(COUNTIF($Q69:$U69,"?*")&gt;0,", ","")&amp;"dificultad","")</f>
        <v/>
      </c>
      <c r="W69">
        <f>IF(AND(OR($A69="Ítems agrupados por caso clínico o problema",$A69="Emparejamiento Ampliado"),TRIM($I69)&lt;&gt;""),IF(COUNTIF($Q69:$V69,"?*")&gt;0,", ","")&amp;"respuesta debe ir vacia","")</f>
        <v/>
      </c>
      <c r="X69">
        <f>IF(AND(OR($A69="Ítems agrupados por caso clínico o problema",$A69="Emparejamiento Ampliado"),TRIM($J69)&lt;&gt;""),IF(COUNTIF($Q69:$W69,"?*")&gt;0,", ","")&amp;"dificultad debe ir vacia","")</f>
        <v/>
      </c>
      <c r="Y69">
        <f>IF(AND($A69="Verdadero o Falso Simple",OR(COUNTIF($D69:$E69,"?*")&lt;2,COUNTIF($F69:$H69,"?*")&gt;0)),IF(COUNTIF($Q69:$X69,"?*")&gt;0,", ","")&amp;"incisos A-B","")</f>
        <v/>
      </c>
      <c r="Z69">
        <f>IF(AND($A69="Verdadero o Falso Simple",TRIM($I69)&lt;&gt;"",NOT(OR(LEFT(TRIM($I69),1)="A",LEFT(TRIM($I69),1)="B"))),IF(COUNTIF($Q69:$Y69,"?*")&gt;0,", ","")&amp;"respuesta A-B","")</f>
        <v/>
      </c>
      <c r="AA69">
        <f>IF(AND($A69="Respuesta A/B/Ambas/Ninguna",COUNTIF($D69:$G69,"?*")&lt;4),IF(COUNTIF($Q69:$Z69,"?*")&gt;0,", ","")&amp;"opciones A-D","")</f>
        <v/>
      </c>
      <c r="AB69">
        <f>IF(AND($A69="Respuesta A/B/Ambas/Ninguna",COUNTIF($H69:$H69,"?*")&gt;0),IF(COUNTIF($Q69:$AA69,"?*")&gt;0,", ","")&amp;"opcion E deshabilitada","")</f>
        <v/>
      </c>
      <c r="AC69">
        <f>IF(AND($A69="Respuesta A/B/Ambas/Ninguna",TRIM($I69)&lt;&gt;"",NOT(OR(LEFT(TRIM($I69),1)="A",LEFT(TRIM($I69),1)="B",LEFT(TRIM($I69),1)="C",LEFT(TRIM($I69),1)="D"))),IF(COUNTIF($Q69:$AB69,"?*")&gt;0,", ","")&amp;"respuesta A-D","")</f>
        <v/>
      </c>
      <c r="AD69">
        <f>IF(AND($A69="Verdadero o Falso Complejas",OR(LEN(TRIM(SUBSTITUTE($D69,"1.","")))=0,LEN(TRIM(SUBSTITUTE($E69,"2.","")))=0,LEN(TRIM(SUBSTITUTE($F69,"3.","")))=0,LEN(TRIM(SUBSTITUTE($G69,"4.","")))=0)),IF(COUNTIF($Q69:$AC69,"?*")&gt;0,", ","")&amp;"incisos 1-4","")</f>
        <v/>
      </c>
      <c r="AE69">
        <f>IF(AND($A69="Verdadero o Falso Complejas",COUNTIF($H69:$H69,"?*")&gt;0),IF(COUNTIF($Q69:$AD69,"?*")&gt;0,", ","")&amp;"opcion E deshabilitada","")</f>
        <v/>
      </c>
      <c r="AF69">
        <f>IF(AND($A69="Verdadero o Falso Complejas",TRIM($I69)&lt;&gt;"",NOT(OR(LEFT(TRIM($I69),1)="A",LEFT(TRIM($I69),1)="B",LEFT(TRIM($I69),1)="C",LEFT(TRIM($I69),1)="D",LEFT(TRIM($I69),1)="E"))),IF(COUNTIF($Q69:$AE69,"?*")&gt;0,", ","")&amp;"respuesta A-E","")</f>
        <v/>
      </c>
      <c r="AG69">
        <f>IF(AND(OR($A69="Selección de la mejor respuesta",$A69="Subítem de caso o problema"),COUNTA($D69:$H69)&lt;5),IF(COUNTIF($Q69:$AF69,"?*")&gt;0,", ","")&amp;"incisos A-E","")</f>
        <v/>
      </c>
      <c r="AH69">
        <f>IF(AND(OR($A69="Selección de la mejor respuesta",$A69="Subítem de caso o problema"),TRIM($I69)&lt;&gt;"",NOT(OR(LEFT(TRIM($I69),1)="A",LEFT(TRIM($I69),1)="B",LEFT(TRIM($I69),1)="C",LEFT(TRIM($I69),1)="D",LEFT(TRIM($I69),1)="E"))),IF(COUNTIF($Q69:$AG69,"?*")&gt;0,", ","")&amp;"respuesta A-E","")</f>
        <v/>
      </c>
      <c r="AI69">
        <f>IF(AND(OR($A69="Ítems agrupados por caso clínico o problema",$A69="Opción de Emparejamiento Ampliado"),COUNTIF($D69:$H69,"?*")&gt;0),IF(COUNTIF($Q69:$AH69,"?*")&gt;0,", ","")&amp;"sin incisos","")</f>
        <v/>
      </c>
      <c r="AJ69">
        <f>IF(AND($A69="Emparejamiento Ampliado",COUNTIF($D69:$H69,"?*")&lt;2),IF(COUNTIF($Q69:$AI69,"?*")&gt;0,", ","")&amp;"minimo 2 claves","")</f>
        <v/>
      </c>
      <c r="AK69">
        <f>IF(AND($A69="Opción de Emparejamiento Ampliado",NOT(OR(LEFT(TRIM($I69),1)="A",LEFT(TRIM($I69),1)="B",LEFT(TRIM($I69),1)="C",LEFT(TRIM($I69),1)="D",LEFT(TRIM($I69),1)="E"))),IF(COUNTIF($Q69:$AJ69,"?*")&gt;0,", ","")&amp;"respuesta A-E","")</f>
        <v/>
      </c>
      <c r="AL69">
        <f>IF(TRIM($K69)="",IF(COUNTIF($M69:$M69,"?*")&gt;0,", ","")&amp;"parcial","")</f>
        <v/>
      </c>
      <c r="AM69">
        <f>IF(AND(TRIM($K69)&lt;&gt;"",TRIM($K69)&lt;&gt;VALIDACIONES!$G$1),IF(COUNTIF($M69:$N69,"?*")&gt;0,", ","")&amp;"parcial distinto a "&amp;VALIDACIONES!$G$1,"")</f>
        <v/>
      </c>
    </row>
    <row r="70" ht="20" customHeight="1">
      <c r="A70" s="371" t="n"/>
      <c r="B70" s="371" t="n"/>
      <c r="C70" s="371" t="n"/>
      <c r="D70" s="371">
        <f>IF($A70="Verdadero o Falso Simple","Verdadero",IF($A70="Respuesta A/B/Ambas/Ninguna","A. Si la primera es verdadera",IF($A70="Verdadero o Falso Complejas","1. ","")))</f>
        <v/>
      </c>
      <c r="E70" s="371">
        <f>IF($A70="Verdadero o Falso Simple","Falso",IF($A70="Respuesta A/B/Ambas/Ninguna","B. Si la segunda es verdadera",IF($A70="Verdadero o Falso Complejas","2. ","")))</f>
        <v/>
      </c>
      <c r="F70" s="371">
        <f>IF($A70="Respuesta A/B/Ambas/Ninguna","C. Si ambas son verdaderas",IF($A70="Verdadero o Falso Complejas","3. ",""))</f>
        <v/>
      </c>
      <c r="G70" s="371">
        <f>IF($A70="Respuesta A/B/Ambas/Ninguna","D. Si ninguna es verdadera",IF($A70="Verdadero o Falso Complejas","4. ",""))</f>
        <v/>
      </c>
      <c r="H70" s="371">
        <f>IF($A70="Verdadero o Falso Simple","",IF($A70="Respuesta A/B/Ambas/Ninguna","",IF($A70="Verdadero o Falso Complejas","","")))</f>
        <v/>
      </c>
      <c r="I70" s="371" t="n"/>
      <c r="J70" s="372" t="n"/>
      <c r="K70" s="372">
        <f>IF(TRIM($A70)="","",VALIDACIONES!$G$1)</f>
        <v/>
      </c>
      <c r="L70" s="371">
        <f>IF(TRIM($A70)="","",IF(OR($A70="Selección de la mejor respuesta",$A70="SELECCION_MEJOR_RESPUESTA",$A70="Subítem de caso o problema",$A70="SUBITEM_CASO"),IF(TRIM($C70)="","Completar enunciado",IF(SUMPRODUCT(--(LEN(TRIM($D70:$H70&amp;""))&gt;0))&lt;5,"Completar opciones A-E",IF(AND(TRIM($I70)&lt;&gt;"",OR(LEFT(TRIM($I70),1)="A",LEFT(TRIM($I70),1)="B",LEFT(TRIM($I70),1)="C",LEFT(TRIM($I70),1)="D",LEFT(TRIM($I70),1)="E")),"OK","Completar respuesta correcta A-E"))),IF(TRIM($A70)="","",IF(COUNTIF($Q70:$AJ70,"?*")=0,"OK","Falta revisar: "&amp;$Q70&amp;$R70&amp;$S70&amp;$T70&amp;$U70&amp;$V70&amp;$W70&amp;$X70&amp;$Y70&amp;$Z70&amp;$AA70&amp;$AB70&amp;$AC70&amp;$AD70&amp;$AE70&amp;$AF70&amp;$AG70&amp;$AH70&amp;$AI70&amp;$AJ70))))</f>
        <v/>
      </c>
      <c r="M70" s="373" t="n"/>
      <c r="Q70">
        <f>IF(TRIM($C70)="","enunciado","")</f>
        <v/>
      </c>
      <c r="R70">
        <f>IF(TRIM($K70)="",IF(COUNTIF($Q70:$Q70,"?*")&gt;0,", ","")&amp;"parcial","")</f>
        <v/>
      </c>
      <c r="S70">
        <f>IF(AND(TRIM($K70)&lt;&gt;"",TRIM($K70)&lt;&gt;VALIDACIONES!$G$1),IF(COUNTIF($Q70:$R70,"?*")&gt;0,", ","")&amp;"parcial distinto a "&amp;VALIDACIONES!$G$1,"")</f>
        <v/>
      </c>
      <c r="T70">
        <f>IF(AND(OR($A70="Ítems agrupados por caso clínico o problema",$A70="Subítem de caso o problema",$A70="Emparejamiento Ampliado",$A70="Opción de Emparejamiento Ampliado"),TRIM($B70)=""),IF(COUNTIF($Q70:$S70,"?*")&gt;0,", ","")&amp;"grupo","")</f>
        <v/>
      </c>
      <c r="U70">
        <f>IF(AND(OR($A70="Verdadero o Falso Simple",$A70="Respuesta A/B/Ambas/Ninguna",$A70="Verdadero o Falso Complejas",$A70="Selección de la mejor respuesta",$A70="Subítem de caso o problema",$A70="Opción de Emparejamiento Ampliado"),TRIM($I70)=""),IF(COUNTIF($Q70:$T70,"?*")&gt;0,", ","")&amp;"respuesta_correcta","")</f>
        <v/>
      </c>
      <c r="V70">
        <f>IF(AND(OR($A70="Verdadero o Falso Simple",$A70="Respuesta A/B/Ambas/Ninguna",$A70="Verdadero o Falso Complejas",$A70="Selección de la mejor respuesta",$A70="Subítem de caso o problema",$A70="Opción de Emparejamiento Ampliado"),TRIM($J70)=""),IF(COUNTIF($Q70:$U70,"?*")&gt;0,", ","")&amp;"dificultad","")</f>
        <v/>
      </c>
      <c r="W70">
        <f>IF(AND(OR($A70="Ítems agrupados por caso clínico o problema",$A70="Emparejamiento Ampliado"),TRIM($I70)&lt;&gt;""),IF(COUNTIF($Q70:$V70,"?*")&gt;0,", ","")&amp;"respuesta debe ir vacia","")</f>
        <v/>
      </c>
      <c r="X70">
        <f>IF(AND(OR($A70="Ítems agrupados por caso clínico o problema",$A70="Emparejamiento Ampliado"),TRIM($J70)&lt;&gt;""),IF(COUNTIF($Q70:$W70,"?*")&gt;0,", ","")&amp;"dificultad debe ir vacia","")</f>
        <v/>
      </c>
      <c r="Y70">
        <f>IF(AND($A70="Verdadero o Falso Simple",OR(COUNTIF($D70:$E70,"?*")&lt;2,COUNTIF($F70:$H70,"?*")&gt;0)),IF(COUNTIF($Q70:$X70,"?*")&gt;0,", ","")&amp;"incisos A-B","")</f>
        <v/>
      </c>
      <c r="Z70">
        <f>IF(AND($A70="Verdadero o Falso Simple",TRIM($I70)&lt;&gt;"",NOT(OR(LEFT(TRIM($I70),1)="A",LEFT(TRIM($I70),1)="B"))),IF(COUNTIF($Q70:$Y70,"?*")&gt;0,", ","")&amp;"respuesta A-B","")</f>
        <v/>
      </c>
      <c r="AA70">
        <f>IF(AND($A70="Respuesta A/B/Ambas/Ninguna",COUNTIF($D70:$G70,"?*")&lt;4),IF(COUNTIF($Q70:$Z70,"?*")&gt;0,", ","")&amp;"opciones A-D","")</f>
        <v/>
      </c>
      <c r="AB70">
        <f>IF(AND($A70="Respuesta A/B/Ambas/Ninguna",COUNTIF($H70:$H70,"?*")&gt;0),IF(COUNTIF($Q70:$AA70,"?*")&gt;0,", ","")&amp;"opcion E deshabilitada","")</f>
        <v/>
      </c>
      <c r="AC70">
        <f>IF(AND($A70="Respuesta A/B/Ambas/Ninguna",TRIM($I70)&lt;&gt;"",NOT(OR(LEFT(TRIM($I70),1)="A",LEFT(TRIM($I70),1)="B",LEFT(TRIM($I70),1)="C",LEFT(TRIM($I70),1)="D"))),IF(COUNTIF($Q70:$AB70,"?*")&gt;0,", ","")&amp;"respuesta A-D","")</f>
        <v/>
      </c>
      <c r="AD70">
        <f>IF(AND($A70="Verdadero o Falso Complejas",OR(LEN(TRIM(SUBSTITUTE($D70,"1.","")))=0,LEN(TRIM(SUBSTITUTE($E70,"2.","")))=0,LEN(TRIM(SUBSTITUTE($F70,"3.","")))=0,LEN(TRIM(SUBSTITUTE($G70,"4.","")))=0)),IF(COUNTIF($Q70:$AC70,"?*")&gt;0,", ","")&amp;"incisos 1-4","")</f>
        <v/>
      </c>
      <c r="AE70">
        <f>IF(AND($A70="Verdadero o Falso Complejas",COUNTIF($H70:$H70,"?*")&gt;0),IF(COUNTIF($Q70:$AD70,"?*")&gt;0,", ","")&amp;"opcion E deshabilitada","")</f>
        <v/>
      </c>
      <c r="AF70">
        <f>IF(AND($A70="Verdadero o Falso Complejas",TRIM($I70)&lt;&gt;"",NOT(OR(LEFT(TRIM($I70),1)="A",LEFT(TRIM($I70),1)="B",LEFT(TRIM($I70),1)="C",LEFT(TRIM($I70),1)="D",LEFT(TRIM($I70),1)="E"))),IF(COUNTIF($Q70:$AE70,"?*")&gt;0,", ","")&amp;"respuesta A-E","")</f>
        <v/>
      </c>
      <c r="AG70">
        <f>IF(AND(OR($A70="Selección de la mejor respuesta",$A70="Subítem de caso o problema"),COUNTA($D70:$H70)&lt;5),IF(COUNTIF($Q70:$AF70,"?*")&gt;0,", ","")&amp;"incisos A-E","")</f>
        <v/>
      </c>
      <c r="AH70">
        <f>IF(AND(OR($A70="Selección de la mejor respuesta",$A70="Subítem de caso o problema"),TRIM($I70)&lt;&gt;"",NOT(OR(LEFT(TRIM($I70),1)="A",LEFT(TRIM($I70),1)="B",LEFT(TRIM($I70),1)="C",LEFT(TRIM($I70),1)="D",LEFT(TRIM($I70),1)="E"))),IF(COUNTIF($Q70:$AG70,"?*")&gt;0,", ","")&amp;"respuesta A-E","")</f>
        <v/>
      </c>
      <c r="AI70">
        <f>IF(AND(OR($A70="Ítems agrupados por caso clínico o problema",$A70="Opción de Emparejamiento Ampliado"),COUNTIF($D70:$H70,"?*")&gt;0),IF(COUNTIF($Q70:$AH70,"?*")&gt;0,", ","")&amp;"sin incisos","")</f>
        <v/>
      </c>
      <c r="AJ70">
        <f>IF(AND($A70="Emparejamiento Ampliado",COUNTIF($D70:$H70,"?*")&lt;2),IF(COUNTIF($Q70:$AI70,"?*")&gt;0,", ","")&amp;"minimo 2 claves","")</f>
        <v/>
      </c>
      <c r="AK70">
        <f>IF(AND($A70="Opción de Emparejamiento Ampliado",NOT(OR(LEFT(TRIM($I70),1)="A",LEFT(TRIM($I70),1)="B",LEFT(TRIM($I70),1)="C",LEFT(TRIM($I70),1)="D",LEFT(TRIM($I70),1)="E"))),IF(COUNTIF($Q70:$AJ70,"?*")&gt;0,", ","")&amp;"respuesta A-E","")</f>
        <v/>
      </c>
      <c r="AL70">
        <f>IF(TRIM($K70)="",IF(COUNTIF($M70:$M70,"?*")&gt;0,", ","")&amp;"parcial","")</f>
        <v/>
      </c>
      <c r="AM70">
        <f>IF(AND(TRIM($K70)&lt;&gt;"",TRIM($K70)&lt;&gt;VALIDACIONES!$G$1),IF(COUNTIF($M70:$N70,"?*")&gt;0,", ","")&amp;"parcial distinto a "&amp;VALIDACIONES!$G$1,"")</f>
        <v/>
      </c>
    </row>
    <row r="71" ht="20" customHeight="1">
      <c r="A71" s="371" t="n"/>
      <c r="B71" s="371" t="n"/>
      <c r="C71" s="371" t="n"/>
      <c r="D71" s="371">
        <f>IF($A71="Verdadero o Falso Simple","Verdadero",IF($A71="Respuesta A/B/Ambas/Ninguna","A. Si la primera es verdadera",IF($A71="Verdadero o Falso Complejas","1. ","")))</f>
        <v/>
      </c>
      <c r="E71" s="371">
        <f>IF($A71="Verdadero o Falso Simple","Falso",IF($A71="Respuesta A/B/Ambas/Ninguna","B. Si la segunda es verdadera",IF($A71="Verdadero o Falso Complejas","2. ","")))</f>
        <v/>
      </c>
      <c r="F71" s="371">
        <f>IF($A71="Respuesta A/B/Ambas/Ninguna","C. Si ambas son verdaderas",IF($A71="Verdadero o Falso Complejas","3. ",""))</f>
        <v/>
      </c>
      <c r="G71" s="371">
        <f>IF($A71="Respuesta A/B/Ambas/Ninguna","D. Si ninguna es verdadera",IF($A71="Verdadero o Falso Complejas","4. ",""))</f>
        <v/>
      </c>
      <c r="H71" s="371">
        <f>IF($A71="Verdadero o Falso Simple","",IF($A71="Respuesta A/B/Ambas/Ninguna","",IF($A71="Verdadero o Falso Complejas","","")))</f>
        <v/>
      </c>
      <c r="I71" s="371" t="n"/>
      <c r="J71" s="372" t="n"/>
      <c r="K71" s="372">
        <f>IF(TRIM($A71)="","",VALIDACIONES!$G$1)</f>
        <v/>
      </c>
      <c r="L71" s="371">
        <f>IF(TRIM($A71)="","",IF(OR($A71="Selección de la mejor respuesta",$A71="SELECCION_MEJOR_RESPUESTA",$A71="Subítem de caso o problema",$A71="SUBITEM_CASO"),IF(TRIM($C71)="","Completar enunciado",IF(SUMPRODUCT(--(LEN(TRIM($D71:$H71&amp;""))&gt;0))&lt;5,"Completar opciones A-E",IF(AND(TRIM($I71)&lt;&gt;"",OR(LEFT(TRIM($I71),1)="A",LEFT(TRIM($I71),1)="B",LEFT(TRIM($I71),1)="C",LEFT(TRIM($I71),1)="D",LEFT(TRIM($I71),1)="E")),"OK","Completar respuesta correcta A-E"))),IF(TRIM($A71)="","",IF(COUNTIF($Q71:$AJ71,"?*")=0,"OK","Falta revisar: "&amp;$Q71&amp;$R71&amp;$S71&amp;$T71&amp;$U71&amp;$V71&amp;$W71&amp;$X71&amp;$Y71&amp;$Z71&amp;$AA71&amp;$AB71&amp;$AC71&amp;$AD71&amp;$AE71&amp;$AF71&amp;$AG71&amp;$AH71&amp;$AI71&amp;$AJ71))))</f>
        <v/>
      </c>
      <c r="M71" s="373" t="n"/>
      <c r="Q71">
        <f>IF(TRIM($C71)="","enunciado","")</f>
        <v/>
      </c>
      <c r="R71">
        <f>IF(TRIM($K71)="",IF(COUNTIF($Q71:$Q71,"?*")&gt;0,", ","")&amp;"parcial","")</f>
        <v/>
      </c>
      <c r="S71">
        <f>IF(AND(TRIM($K71)&lt;&gt;"",TRIM($K71)&lt;&gt;VALIDACIONES!$G$1),IF(COUNTIF($Q71:$R71,"?*")&gt;0,", ","")&amp;"parcial distinto a "&amp;VALIDACIONES!$G$1,"")</f>
        <v/>
      </c>
      <c r="T71">
        <f>IF(AND(OR($A71="Ítems agrupados por caso clínico o problema",$A71="Subítem de caso o problema",$A71="Emparejamiento Ampliado",$A71="Opción de Emparejamiento Ampliado"),TRIM($B71)=""),IF(COUNTIF($Q71:$S71,"?*")&gt;0,", ","")&amp;"grupo","")</f>
        <v/>
      </c>
      <c r="U71">
        <f>IF(AND(OR($A71="Verdadero o Falso Simple",$A71="Respuesta A/B/Ambas/Ninguna",$A71="Verdadero o Falso Complejas",$A71="Selección de la mejor respuesta",$A71="Subítem de caso o problema",$A71="Opción de Emparejamiento Ampliado"),TRIM($I71)=""),IF(COUNTIF($Q71:$T71,"?*")&gt;0,", ","")&amp;"respuesta_correcta","")</f>
        <v/>
      </c>
      <c r="V71">
        <f>IF(AND(OR($A71="Verdadero o Falso Simple",$A71="Respuesta A/B/Ambas/Ninguna",$A71="Verdadero o Falso Complejas",$A71="Selección de la mejor respuesta",$A71="Subítem de caso o problema",$A71="Opción de Emparejamiento Ampliado"),TRIM($J71)=""),IF(COUNTIF($Q71:$U71,"?*")&gt;0,", ","")&amp;"dificultad","")</f>
        <v/>
      </c>
      <c r="W71">
        <f>IF(AND(OR($A71="Ítems agrupados por caso clínico o problema",$A71="Emparejamiento Ampliado"),TRIM($I71)&lt;&gt;""),IF(COUNTIF($Q71:$V71,"?*")&gt;0,", ","")&amp;"respuesta debe ir vacia","")</f>
        <v/>
      </c>
      <c r="X71">
        <f>IF(AND(OR($A71="Ítems agrupados por caso clínico o problema",$A71="Emparejamiento Ampliado"),TRIM($J71)&lt;&gt;""),IF(COUNTIF($Q71:$W71,"?*")&gt;0,", ","")&amp;"dificultad debe ir vacia","")</f>
        <v/>
      </c>
      <c r="Y71">
        <f>IF(AND($A71="Verdadero o Falso Simple",OR(COUNTIF($D71:$E71,"?*")&lt;2,COUNTIF($F71:$H71,"?*")&gt;0)),IF(COUNTIF($Q71:$X71,"?*")&gt;0,", ","")&amp;"incisos A-B","")</f>
        <v/>
      </c>
      <c r="Z71">
        <f>IF(AND($A71="Verdadero o Falso Simple",TRIM($I71)&lt;&gt;"",NOT(OR(LEFT(TRIM($I71),1)="A",LEFT(TRIM($I71),1)="B"))),IF(COUNTIF($Q71:$Y71,"?*")&gt;0,", ","")&amp;"respuesta A-B","")</f>
        <v/>
      </c>
      <c r="AA71">
        <f>IF(AND($A71="Respuesta A/B/Ambas/Ninguna",COUNTIF($D71:$G71,"?*")&lt;4),IF(COUNTIF($Q71:$Z71,"?*")&gt;0,", ","")&amp;"opciones A-D","")</f>
        <v/>
      </c>
      <c r="AB71">
        <f>IF(AND($A71="Respuesta A/B/Ambas/Ninguna",COUNTIF($H71:$H71,"?*")&gt;0),IF(COUNTIF($Q71:$AA71,"?*")&gt;0,", ","")&amp;"opcion E deshabilitada","")</f>
        <v/>
      </c>
      <c r="AC71">
        <f>IF(AND($A71="Respuesta A/B/Ambas/Ninguna",TRIM($I71)&lt;&gt;"",NOT(OR(LEFT(TRIM($I71),1)="A",LEFT(TRIM($I71),1)="B",LEFT(TRIM($I71),1)="C",LEFT(TRIM($I71),1)="D"))),IF(COUNTIF($Q71:$AB71,"?*")&gt;0,", ","")&amp;"respuesta A-D","")</f>
        <v/>
      </c>
      <c r="AD71">
        <f>IF(AND($A71="Verdadero o Falso Complejas",OR(LEN(TRIM(SUBSTITUTE($D71,"1.","")))=0,LEN(TRIM(SUBSTITUTE($E71,"2.","")))=0,LEN(TRIM(SUBSTITUTE($F71,"3.","")))=0,LEN(TRIM(SUBSTITUTE($G71,"4.","")))=0)),IF(COUNTIF($Q71:$AC71,"?*")&gt;0,", ","")&amp;"incisos 1-4","")</f>
        <v/>
      </c>
      <c r="AE71">
        <f>IF(AND($A71="Verdadero o Falso Complejas",COUNTIF($H71:$H71,"?*")&gt;0),IF(COUNTIF($Q71:$AD71,"?*")&gt;0,", ","")&amp;"opcion E deshabilitada","")</f>
        <v/>
      </c>
      <c r="AF71">
        <f>IF(AND($A71="Verdadero o Falso Complejas",TRIM($I71)&lt;&gt;"",NOT(OR(LEFT(TRIM($I71),1)="A",LEFT(TRIM($I71),1)="B",LEFT(TRIM($I71),1)="C",LEFT(TRIM($I71),1)="D",LEFT(TRIM($I71),1)="E"))),IF(COUNTIF($Q71:$AE71,"?*")&gt;0,", ","")&amp;"respuesta A-E","")</f>
        <v/>
      </c>
      <c r="AG71">
        <f>IF(AND(OR($A71="Selección de la mejor respuesta",$A71="Subítem de caso o problema"),COUNTA($D71:$H71)&lt;5),IF(COUNTIF($Q71:$AF71,"?*")&gt;0,", ","")&amp;"incisos A-E","")</f>
        <v/>
      </c>
      <c r="AH71">
        <f>IF(AND(OR($A71="Selección de la mejor respuesta",$A71="Subítem de caso o problema"),TRIM($I71)&lt;&gt;"",NOT(OR(LEFT(TRIM($I71),1)="A",LEFT(TRIM($I71),1)="B",LEFT(TRIM($I71),1)="C",LEFT(TRIM($I71),1)="D",LEFT(TRIM($I71),1)="E"))),IF(COUNTIF($Q71:$AG71,"?*")&gt;0,", ","")&amp;"respuesta A-E","")</f>
        <v/>
      </c>
      <c r="AI71">
        <f>IF(AND(OR($A71="Ítems agrupados por caso clínico o problema",$A71="Opción de Emparejamiento Ampliado"),COUNTIF($D71:$H71,"?*")&gt;0),IF(COUNTIF($Q71:$AH71,"?*")&gt;0,", ","")&amp;"sin incisos","")</f>
        <v/>
      </c>
      <c r="AJ71">
        <f>IF(AND($A71="Emparejamiento Ampliado",COUNTIF($D71:$H71,"?*")&lt;2),IF(COUNTIF($Q71:$AI71,"?*")&gt;0,", ","")&amp;"minimo 2 claves","")</f>
        <v/>
      </c>
      <c r="AK71">
        <f>IF(AND($A71="Opción de Emparejamiento Ampliado",NOT(OR(LEFT(TRIM($I71),1)="A",LEFT(TRIM($I71),1)="B",LEFT(TRIM($I71),1)="C",LEFT(TRIM($I71),1)="D",LEFT(TRIM($I71),1)="E"))),IF(COUNTIF($Q71:$AJ71,"?*")&gt;0,", ","")&amp;"respuesta A-E","")</f>
        <v/>
      </c>
      <c r="AL71">
        <f>IF(TRIM($K71)="",IF(COUNTIF($M71:$M71,"?*")&gt;0,", ","")&amp;"parcial","")</f>
        <v/>
      </c>
      <c r="AM71">
        <f>IF(AND(TRIM($K71)&lt;&gt;"",TRIM($K71)&lt;&gt;VALIDACIONES!$G$1),IF(COUNTIF($M71:$N71,"?*")&gt;0,", ","")&amp;"parcial distinto a "&amp;VALIDACIONES!$G$1,"")</f>
        <v/>
      </c>
    </row>
    <row r="72" ht="20" customHeight="1">
      <c r="A72" s="371" t="n"/>
      <c r="B72" s="371" t="n"/>
      <c r="C72" s="371" t="n"/>
      <c r="D72" s="371">
        <f>IF($A72="Verdadero o Falso Simple","Verdadero",IF($A72="Respuesta A/B/Ambas/Ninguna","A. Si la primera es verdadera",IF($A72="Verdadero o Falso Complejas","1. ","")))</f>
        <v/>
      </c>
      <c r="E72" s="371">
        <f>IF($A72="Verdadero o Falso Simple","Falso",IF($A72="Respuesta A/B/Ambas/Ninguna","B. Si la segunda es verdadera",IF($A72="Verdadero o Falso Complejas","2. ","")))</f>
        <v/>
      </c>
      <c r="F72" s="371">
        <f>IF($A72="Respuesta A/B/Ambas/Ninguna","C. Si ambas son verdaderas",IF($A72="Verdadero o Falso Complejas","3. ",""))</f>
        <v/>
      </c>
      <c r="G72" s="371">
        <f>IF($A72="Respuesta A/B/Ambas/Ninguna","D. Si ninguna es verdadera",IF($A72="Verdadero o Falso Complejas","4. ",""))</f>
        <v/>
      </c>
      <c r="H72" s="371">
        <f>IF($A72="Verdadero o Falso Simple","",IF($A72="Respuesta A/B/Ambas/Ninguna","",IF($A72="Verdadero o Falso Complejas","","")))</f>
        <v/>
      </c>
      <c r="I72" s="371" t="n"/>
      <c r="J72" s="372" t="n"/>
      <c r="K72" s="372">
        <f>IF(TRIM($A72)="","",VALIDACIONES!$G$1)</f>
        <v/>
      </c>
      <c r="L72" s="371">
        <f>IF(TRIM($A72)="","",IF(OR($A72="Selección de la mejor respuesta",$A72="SELECCION_MEJOR_RESPUESTA",$A72="Subítem de caso o problema",$A72="SUBITEM_CASO"),IF(TRIM($C72)="","Completar enunciado",IF(SUMPRODUCT(--(LEN(TRIM($D72:$H72&amp;""))&gt;0))&lt;5,"Completar opciones A-E",IF(AND(TRIM($I72)&lt;&gt;"",OR(LEFT(TRIM($I72),1)="A",LEFT(TRIM($I72),1)="B",LEFT(TRIM($I72),1)="C",LEFT(TRIM($I72),1)="D",LEFT(TRIM($I72),1)="E")),"OK","Completar respuesta correcta A-E"))),IF(TRIM($A72)="","",IF(COUNTIF($Q72:$AJ72,"?*")=0,"OK","Falta revisar: "&amp;$Q72&amp;$R72&amp;$S72&amp;$T72&amp;$U72&amp;$V72&amp;$W72&amp;$X72&amp;$Y72&amp;$Z72&amp;$AA72&amp;$AB72&amp;$AC72&amp;$AD72&amp;$AE72&amp;$AF72&amp;$AG72&amp;$AH72&amp;$AI72&amp;$AJ72))))</f>
        <v/>
      </c>
      <c r="M72" s="373" t="n"/>
      <c r="Q72">
        <f>IF(TRIM($C72)="","enunciado","")</f>
        <v/>
      </c>
      <c r="R72">
        <f>IF(TRIM($K72)="",IF(COUNTIF($Q72:$Q72,"?*")&gt;0,", ","")&amp;"parcial","")</f>
        <v/>
      </c>
      <c r="S72">
        <f>IF(AND(TRIM($K72)&lt;&gt;"",TRIM($K72)&lt;&gt;VALIDACIONES!$G$1),IF(COUNTIF($Q72:$R72,"?*")&gt;0,", ","")&amp;"parcial distinto a "&amp;VALIDACIONES!$G$1,"")</f>
        <v/>
      </c>
      <c r="T72">
        <f>IF(AND(OR($A72="Ítems agrupados por caso clínico o problema",$A72="Subítem de caso o problema",$A72="Emparejamiento Ampliado",$A72="Opción de Emparejamiento Ampliado"),TRIM($B72)=""),IF(COUNTIF($Q72:$S72,"?*")&gt;0,", ","")&amp;"grupo","")</f>
        <v/>
      </c>
      <c r="U72">
        <f>IF(AND(OR($A72="Verdadero o Falso Simple",$A72="Respuesta A/B/Ambas/Ninguna",$A72="Verdadero o Falso Complejas",$A72="Selección de la mejor respuesta",$A72="Subítem de caso o problema",$A72="Opción de Emparejamiento Ampliado"),TRIM($I72)=""),IF(COUNTIF($Q72:$T72,"?*")&gt;0,", ","")&amp;"respuesta_correcta","")</f>
        <v/>
      </c>
      <c r="V72">
        <f>IF(AND(OR($A72="Verdadero o Falso Simple",$A72="Respuesta A/B/Ambas/Ninguna",$A72="Verdadero o Falso Complejas",$A72="Selección de la mejor respuesta",$A72="Subítem de caso o problema",$A72="Opción de Emparejamiento Ampliado"),TRIM($J72)=""),IF(COUNTIF($Q72:$U72,"?*")&gt;0,", ","")&amp;"dificultad","")</f>
        <v/>
      </c>
      <c r="W72">
        <f>IF(AND(OR($A72="Ítems agrupados por caso clínico o problema",$A72="Emparejamiento Ampliado"),TRIM($I72)&lt;&gt;""),IF(COUNTIF($Q72:$V72,"?*")&gt;0,", ","")&amp;"respuesta debe ir vacia","")</f>
        <v/>
      </c>
      <c r="X72">
        <f>IF(AND(OR($A72="Ítems agrupados por caso clínico o problema",$A72="Emparejamiento Ampliado"),TRIM($J72)&lt;&gt;""),IF(COUNTIF($Q72:$W72,"?*")&gt;0,", ","")&amp;"dificultad debe ir vacia","")</f>
        <v/>
      </c>
      <c r="Y72">
        <f>IF(AND($A72="Verdadero o Falso Simple",OR(COUNTIF($D72:$E72,"?*")&lt;2,COUNTIF($F72:$H72,"?*")&gt;0)),IF(COUNTIF($Q72:$X72,"?*")&gt;0,", ","")&amp;"incisos A-B","")</f>
        <v/>
      </c>
      <c r="Z72">
        <f>IF(AND($A72="Verdadero o Falso Simple",TRIM($I72)&lt;&gt;"",NOT(OR(LEFT(TRIM($I72),1)="A",LEFT(TRIM($I72),1)="B"))),IF(COUNTIF($Q72:$Y72,"?*")&gt;0,", ","")&amp;"respuesta A-B","")</f>
        <v/>
      </c>
      <c r="AA72">
        <f>IF(AND($A72="Respuesta A/B/Ambas/Ninguna",COUNTIF($D72:$G72,"?*")&lt;4),IF(COUNTIF($Q72:$Z72,"?*")&gt;0,", ","")&amp;"opciones A-D","")</f>
        <v/>
      </c>
      <c r="AB72">
        <f>IF(AND($A72="Respuesta A/B/Ambas/Ninguna",COUNTIF($H72:$H72,"?*")&gt;0),IF(COUNTIF($Q72:$AA72,"?*")&gt;0,", ","")&amp;"opcion E deshabilitada","")</f>
        <v/>
      </c>
      <c r="AC72">
        <f>IF(AND($A72="Respuesta A/B/Ambas/Ninguna",TRIM($I72)&lt;&gt;"",NOT(OR(LEFT(TRIM($I72),1)="A",LEFT(TRIM($I72),1)="B",LEFT(TRIM($I72),1)="C",LEFT(TRIM($I72),1)="D"))),IF(COUNTIF($Q72:$AB72,"?*")&gt;0,", ","")&amp;"respuesta A-D","")</f>
        <v/>
      </c>
      <c r="AD72">
        <f>IF(AND($A72="Verdadero o Falso Complejas",OR(LEN(TRIM(SUBSTITUTE($D72,"1.","")))=0,LEN(TRIM(SUBSTITUTE($E72,"2.","")))=0,LEN(TRIM(SUBSTITUTE($F72,"3.","")))=0,LEN(TRIM(SUBSTITUTE($G72,"4.","")))=0)),IF(COUNTIF($Q72:$AC72,"?*")&gt;0,", ","")&amp;"incisos 1-4","")</f>
        <v/>
      </c>
      <c r="AE72">
        <f>IF(AND($A72="Verdadero o Falso Complejas",COUNTIF($H72:$H72,"?*")&gt;0),IF(COUNTIF($Q72:$AD72,"?*")&gt;0,", ","")&amp;"opcion E deshabilitada","")</f>
        <v/>
      </c>
      <c r="AF72">
        <f>IF(AND($A72="Verdadero o Falso Complejas",TRIM($I72)&lt;&gt;"",NOT(OR(LEFT(TRIM($I72),1)="A",LEFT(TRIM($I72),1)="B",LEFT(TRIM($I72),1)="C",LEFT(TRIM($I72),1)="D",LEFT(TRIM($I72),1)="E"))),IF(COUNTIF($Q72:$AE72,"?*")&gt;0,", ","")&amp;"respuesta A-E","")</f>
        <v/>
      </c>
      <c r="AG72">
        <f>IF(AND(OR($A72="Selección de la mejor respuesta",$A72="Subítem de caso o problema"),COUNTA($D72:$H72)&lt;5),IF(COUNTIF($Q72:$AF72,"?*")&gt;0,", ","")&amp;"incisos A-E","")</f>
        <v/>
      </c>
      <c r="AH72">
        <f>IF(AND(OR($A72="Selección de la mejor respuesta",$A72="Subítem de caso o problema"),TRIM($I72)&lt;&gt;"",NOT(OR(LEFT(TRIM($I72),1)="A",LEFT(TRIM($I72),1)="B",LEFT(TRIM($I72),1)="C",LEFT(TRIM($I72),1)="D",LEFT(TRIM($I72),1)="E"))),IF(COUNTIF($Q72:$AG72,"?*")&gt;0,", ","")&amp;"respuesta A-E","")</f>
        <v/>
      </c>
      <c r="AI72">
        <f>IF(AND(OR($A72="Ítems agrupados por caso clínico o problema",$A72="Opción de Emparejamiento Ampliado"),COUNTIF($D72:$H72,"?*")&gt;0),IF(COUNTIF($Q72:$AH72,"?*")&gt;0,", ","")&amp;"sin incisos","")</f>
        <v/>
      </c>
      <c r="AJ72">
        <f>IF(AND($A72="Emparejamiento Ampliado",COUNTIF($D72:$H72,"?*")&lt;2),IF(COUNTIF($Q72:$AI72,"?*")&gt;0,", ","")&amp;"minimo 2 claves","")</f>
        <v/>
      </c>
      <c r="AK72">
        <f>IF(AND($A72="Opción de Emparejamiento Ampliado",NOT(OR(LEFT(TRIM($I72),1)="A",LEFT(TRIM($I72),1)="B",LEFT(TRIM($I72),1)="C",LEFT(TRIM($I72),1)="D",LEFT(TRIM($I72),1)="E"))),IF(COUNTIF($Q72:$AJ72,"?*")&gt;0,", ","")&amp;"respuesta A-E","")</f>
        <v/>
      </c>
      <c r="AL72">
        <f>IF(TRIM($K72)="",IF(COUNTIF($M72:$M72,"?*")&gt;0,", ","")&amp;"parcial","")</f>
        <v/>
      </c>
      <c r="AM72">
        <f>IF(AND(TRIM($K72)&lt;&gt;"",TRIM($K72)&lt;&gt;VALIDACIONES!$G$1),IF(COUNTIF($M72:$N72,"?*")&gt;0,", ","")&amp;"parcial distinto a "&amp;VALIDACIONES!$G$1,"")</f>
        <v/>
      </c>
    </row>
    <row r="73" ht="20" customHeight="1">
      <c r="A73" s="371" t="n"/>
      <c r="B73" s="371" t="n"/>
      <c r="C73" s="371" t="n"/>
      <c r="D73" s="371">
        <f>IF($A73="Verdadero o Falso Simple","Verdadero",IF($A73="Respuesta A/B/Ambas/Ninguna","A. Si la primera es verdadera",IF($A73="Verdadero o Falso Complejas","1. ","")))</f>
        <v/>
      </c>
      <c r="E73" s="371">
        <f>IF($A73="Verdadero o Falso Simple","Falso",IF($A73="Respuesta A/B/Ambas/Ninguna","B. Si la segunda es verdadera",IF($A73="Verdadero o Falso Complejas","2. ","")))</f>
        <v/>
      </c>
      <c r="F73" s="371">
        <f>IF($A73="Respuesta A/B/Ambas/Ninguna","C. Si ambas son verdaderas",IF($A73="Verdadero o Falso Complejas","3. ",""))</f>
        <v/>
      </c>
      <c r="G73" s="371">
        <f>IF($A73="Respuesta A/B/Ambas/Ninguna","D. Si ninguna es verdadera",IF($A73="Verdadero o Falso Complejas","4. ",""))</f>
        <v/>
      </c>
      <c r="H73" s="371">
        <f>IF($A73="Verdadero o Falso Simple","",IF($A73="Respuesta A/B/Ambas/Ninguna","",IF($A73="Verdadero o Falso Complejas","","")))</f>
        <v/>
      </c>
      <c r="I73" s="371" t="n"/>
      <c r="J73" s="372" t="n"/>
      <c r="K73" s="372">
        <f>IF(TRIM($A73)="","",VALIDACIONES!$G$1)</f>
        <v/>
      </c>
      <c r="L73" s="371">
        <f>IF(TRIM($A73)="","",IF(OR($A73="Selección de la mejor respuesta",$A73="SELECCION_MEJOR_RESPUESTA",$A73="Subítem de caso o problema",$A73="SUBITEM_CASO"),IF(TRIM($C73)="","Completar enunciado",IF(SUMPRODUCT(--(LEN(TRIM($D73:$H73&amp;""))&gt;0))&lt;5,"Completar opciones A-E",IF(AND(TRIM($I73)&lt;&gt;"",OR(LEFT(TRIM($I73),1)="A",LEFT(TRIM($I73),1)="B",LEFT(TRIM($I73),1)="C",LEFT(TRIM($I73),1)="D",LEFT(TRIM($I73),1)="E")),"OK","Completar respuesta correcta A-E"))),IF(TRIM($A73)="","",IF(COUNTIF($Q73:$AJ73,"?*")=0,"OK","Falta revisar: "&amp;$Q73&amp;$R73&amp;$S73&amp;$T73&amp;$U73&amp;$V73&amp;$W73&amp;$X73&amp;$Y73&amp;$Z73&amp;$AA73&amp;$AB73&amp;$AC73&amp;$AD73&amp;$AE73&amp;$AF73&amp;$AG73&amp;$AH73&amp;$AI73&amp;$AJ73))))</f>
        <v/>
      </c>
      <c r="M73" s="373" t="n"/>
      <c r="Q73">
        <f>IF(TRIM($C73)="","enunciado","")</f>
        <v/>
      </c>
      <c r="R73">
        <f>IF(TRIM($K73)="",IF(COUNTIF($Q73:$Q73,"?*")&gt;0,", ","")&amp;"parcial","")</f>
        <v/>
      </c>
      <c r="S73">
        <f>IF(AND(TRIM($K73)&lt;&gt;"",TRIM($K73)&lt;&gt;VALIDACIONES!$G$1),IF(COUNTIF($Q73:$R73,"?*")&gt;0,", ","")&amp;"parcial distinto a "&amp;VALIDACIONES!$G$1,"")</f>
        <v/>
      </c>
      <c r="T73">
        <f>IF(AND(OR($A73="Ítems agrupados por caso clínico o problema",$A73="Subítem de caso o problema",$A73="Emparejamiento Ampliado",$A73="Opción de Emparejamiento Ampliado"),TRIM($B73)=""),IF(COUNTIF($Q73:$S73,"?*")&gt;0,", ","")&amp;"grupo","")</f>
        <v/>
      </c>
      <c r="U73">
        <f>IF(AND(OR($A73="Verdadero o Falso Simple",$A73="Respuesta A/B/Ambas/Ninguna",$A73="Verdadero o Falso Complejas",$A73="Selección de la mejor respuesta",$A73="Subítem de caso o problema",$A73="Opción de Emparejamiento Ampliado"),TRIM($I73)=""),IF(COUNTIF($Q73:$T73,"?*")&gt;0,", ","")&amp;"respuesta_correcta","")</f>
        <v/>
      </c>
      <c r="V73">
        <f>IF(AND(OR($A73="Verdadero o Falso Simple",$A73="Respuesta A/B/Ambas/Ninguna",$A73="Verdadero o Falso Complejas",$A73="Selección de la mejor respuesta",$A73="Subítem de caso o problema",$A73="Opción de Emparejamiento Ampliado"),TRIM($J73)=""),IF(COUNTIF($Q73:$U73,"?*")&gt;0,", ","")&amp;"dificultad","")</f>
        <v/>
      </c>
      <c r="W73">
        <f>IF(AND(OR($A73="Ítems agrupados por caso clínico o problema",$A73="Emparejamiento Ampliado"),TRIM($I73)&lt;&gt;""),IF(COUNTIF($Q73:$V73,"?*")&gt;0,", ","")&amp;"respuesta debe ir vacia","")</f>
        <v/>
      </c>
      <c r="X73">
        <f>IF(AND(OR($A73="Ítems agrupados por caso clínico o problema",$A73="Emparejamiento Ampliado"),TRIM($J73)&lt;&gt;""),IF(COUNTIF($Q73:$W73,"?*")&gt;0,", ","")&amp;"dificultad debe ir vacia","")</f>
        <v/>
      </c>
      <c r="Y73">
        <f>IF(AND($A73="Verdadero o Falso Simple",OR(COUNTIF($D73:$E73,"?*")&lt;2,COUNTIF($F73:$H73,"?*")&gt;0)),IF(COUNTIF($Q73:$X73,"?*")&gt;0,", ","")&amp;"incisos A-B","")</f>
        <v/>
      </c>
      <c r="Z73">
        <f>IF(AND($A73="Verdadero o Falso Simple",TRIM($I73)&lt;&gt;"",NOT(OR(LEFT(TRIM($I73),1)="A",LEFT(TRIM($I73),1)="B"))),IF(COUNTIF($Q73:$Y73,"?*")&gt;0,", ","")&amp;"respuesta A-B","")</f>
        <v/>
      </c>
      <c r="AA73">
        <f>IF(AND($A73="Respuesta A/B/Ambas/Ninguna",COUNTIF($D73:$G73,"?*")&lt;4),IF(COUNTIF($Q73:$Z73,"?*")&gt;0,", ","")&amp;"opciones A-D","")</f>
        <v/>
      </c>
      <c r="AB73">
        <f>IF(AND($A73="Respuesta A/B/Ambas/Ninguna",COUNTIF($H73:$H73,"?*")&gt;0),IF(COUNTIF($Q73:$AA73,"?*")&gt;0,", ","")&amp;"opcion E deshabilitada","")</f>
        <v/>
      </c>
      <c r="AC73">
        <f>IF(AND($A73="Respuesta A/B/Ambas/Ninguna",TRIM($I73)&lt;&gt;"",NOT(OR(LEFT(TRIM($I73),1)="A",LEFT(TRIM($I73),1)="B",LEFT(TRIM($I73),1)="C",LEFT(TRIM($I73),1)="D"))),IF(COUNTIF($Q73:$AB73,"?*")&gt;0,", ","")&amp;"respuesta A-D","")</f>
        <v/>
      </c>
      <c r="AD73">
        <f>IF(AND($A73="Verdadero o Falso Complejas",OR(LEN(TRIM(SUBSTITUTE($D73,"1.","")))=0,LEN(TRIM(SUBSTITUTE($E73,"2.","")))=0,LEN(TRIM(SUBSTITUTE($F73,"3.","")))=0,LEN(TRIM(SUBSTITUTE($G73,"4.","")))=0)),IF(COUNTIF($Q73:$AC73,"?*")&gt;0,", ","")&amp;"incisos 1-4","")</f>
        <v/>
      </c>
      <c r="AE73">
        <f>IF(AND($A73="Verdadero o Falso Complejas",COUNTIF($H73:$H73,"?*")&gt;0),IF(COUNTIF($Q73:$AD73,"?*")&gt;0,", ","")&amp;"opcion E deshabilitada","")</f>
        <v/>
      </c>
      <c r="AF73">
        <f>IF(AND($A73="Verdadero o Falso Complejas",TRIM($I73)&lt;&gt;"",NOT(OR(LEFT(TRIM($I73),1)="A",LEFT(TRIM($I73),1)="B",LEFT(TRIM($I73),1)="C",LEFT(TRIM($I73),1)="D",LEFT(TRIM($I73),1)="E"))),IF(COUNTIF($Q73:$AE73,"?*")&gt;0,", ","")&amp;"respuesta A-E","")</f>
        <v/>
      </c>
      <c r="AG73">
        <f>IF(AND(OR($A73="Selección de la mejor respuesta",$A73="Subítem de caso o problema"),COUNTA($D73:$H73)&lt;5),IF(COUNTIF($Q73:$AF73,"?*")&gt;0,", ","")&amp;"incisos A-E","")</f>
        <v/>
      </c>
      <c r="AH73">
        <f>IF(AND(OR($A73="Selección de la mejor respuesta",$A73="Subítem de caso o problema"),TRIM($I73)&lt;&gt;"",NOT(OR(LEFT(TRIM($I73),1)="A",LEFT(TRIM($I73),1)="B",LEFT(TRIM($I73),1)="C",LEFT(TRIM($I73),1)="D",LEFT(TRIM($I73),1)="E"))),IF(COUNTIF($Q73:$AG73,"?*")&gt;0,", ","")&amp;"respuesta A-E","")</f>
        <v/>
      </c>
      <c r="AI73">
        <f>IF(AND(OR($A73="Ítems agrupados por caso clínico o problema",$A73="Opción de Emparejamiento Ampliado"),COUNTIF($D73:$H73,"?*")&gt;0),IF(COUNTIF($Q73:$AH73,"?*")&gt;0,", ","")&amp;"sin incisos","")</f>
        <v/>
      </c>
      <c r="AJ73">
        <f>IF(AND($A73="Emparejamiento Ampliado",COUNTIF($D73:$H73,"?*")&lt;2),IF(COUNTIF($Q73:$AI73,"?*")&gt;0,", ","")&amp;"minimo 2 claves","")</f>
        <v/>
      </c>
      <c r="AK73">
        <f>IF(AND($A73="Opción de Emparejamiento Ampliado",NOT(OR(LEFT(TRIM($I73),1)="A",LEFT(TRIM($I73),1)="B",LEFT(TRIM($I73),1)="C",LEFT(TRIM($I73),1)="D",LEFT(TRIM($I73),1)="E"))),IF(COUNTIF($Q73:$AJ73,"?*")&gt;0,", ","")&amp;"respuesta A-E","")</f>
        <v/>
      </c>
      <c r="AL73">
        <f>IF(TRIM($K73)="",IF(COUNTIF($M73:$M73,"?*")&gt;0,", ","")&amp;"parcial","")</f>
        <v/>
      </c>
      <c r="AM73">
        <f>IF(AND(TRIM($K73)&lt;&gt;"",TRIM($K73)&lt;&gt;VALIDACIONES!$G$1),IF(COUNTIF($M73:$N73,"?*")&gt;0,", ","")&amp;"parcial distinto a "&amp;VALIDACIONES!$G$1,"")</f>
        <v/>
      </c>
    </row>
    <row r="74" ht="20" customHeight="1">
      <c r="A74" s="371" t="n"/>
      <c r="B74" s="371" t="n"/>
      <c r="C74" s="371" t="n"/>
      <c r="D74" s="371">
        <f>IF($A74="Verdadero o Falso Simple","Verdadero",IF($A74="Respuesta A/B/Ambas/Ninguna","A. Si la primera es verdadera",IF($A74="Verdadero o Falso Complejas","1. ","")))</f>
        <v/>
      </c>
      <c r="E74" s="371">
        <f>IF($A74="Verdadero o Falso Simple","Falso",IF($A74="Respuesta A/B/Ambas/Ninguna","B. Si la segunda es verdadera",IF($A74="Verdadero o Falso Complejas","2. ","")))</f>
        <v/>
      </c>
      <c r="F74" s="371">
        <f>IF($A74="Respuesta A/B/Ambas/Ninguna","C. Si ambas son verdaderas",IF($A74="Verdadero o Falso Complejas","3. ",""))</f>
        <v/>
      </c>
      <c r="G74" s="371">
        <f>IF($A74="Respuesta A/B/Ambas/Ninguna","D. Si ninguna es verdadera",IF($A74="Verdadero o Falso Complejas","4. ",""))</f>
        <v/>
      </c>
      <c r="H74" s="371">
        <f>IF($A74="Verdadero o Falso Simple","",IF($A74="Respuesta A/B/Ambas/Ninguna","",IF($A74="Verdadero o Falso Complejas","","")))</f>
        <v/>
      </c>
      <c r="I74" s="371" t="n"/>
      <c r="J74" s="372" t="n"/>
      <c r="K74" s="372">
        <f>IF(TRIM($A74)="","",VALIDACIONES!$G$1)</f>
        <v/>
      </c>
      <c r="L74" s="371">
        <f>IF(TRIM($A74)="","",IF(OR($A74="Selección de la mejor respuesta",$A74="SELECCION_MEJOR_RESPUESTA",$A74="Subítem de caso o problema",$A74="SUBITEM_CASO"),IF(TRIM($C74)="","Completar enunciado",IF(SUMPRODUCT(--(LEN(TRIM($D74:$H74&amp;""))&gt;0))&lt;5,"Completar opciones A-E",IF(AND(TRIM($I74)&lt;&gt;"",OR(LEFT(TRIM($I74),1)="A",LEFT(TRIM($I74),1)="B",LEFT(TRIM($I74),1)="C",LEFT(TRIM($I74),1)="D",LEFT(TRIM($I74),1)="E")),"OK","Completar respuesta correcta A-E"))),IF(TRIM($A74)="","",IF(COUNTIF($Q74:$AJ74,"?*")=0,"OK","Falta revisar: "&amp;$Q74&amp;$R74&amp;$S74&amp;$T74&amp;$U74&amp;$V74&amp;$W74&amp;$X74&amp;$Y74&amp;$Z74&amp;$AA74&amp;$AB74&amp;$AC74&amp;$AD74&amp;$AE74&amp;$AF74&amp;$AG74&amp;$AH74&amp;$AI74&amp;$AJ74))))</f>
        <v/>
      </c>
      <c r="M74" s="373" t="n"/>
      <c r="Q74">
        <f>IF(TRIM($C74)="","enunciado","")</f>
        <v/>
      </c>
      <c r="R74">
        <f>IF(TRIM($K74)="",IF(COUNTIF($Q74:$Q74,"?*")&gt;0,", ","")&amp;"parcial","")</f>
        <v/>
      </c>
      <c r="S74">
        <f>IF(AND(TRIM($K74)&lt;&gt;"",TRIM($K74)&lt;&gt;VALIDACIONES!$G$1),IF(COUNTIF($Q74:$R74,"?*")&gt;0,", ","")&amp;"parcial distinto a "&amp;VALIDACIONES!$G$1,"")</f>
        <v/>
      </c>
      <c r="T74">
        <f>IF(AND(OR($A74="Ítems agrupados por caso clínico o problema",$A74="Subítem de caso o problema",$A74="Emparejamiento Ampliado",$A74="Opción de Emparejamiento Ampliado"),TRIM($B74)=""),IF(COUNTIF($Q74:$S74,"?*")&gt;0,", ","")&amp;"grupo","")</f>
        <v/>
      </c>
      <c r="U74">
        <f>IF(AND(OR($A74="Verdadero o Falso Simple",$A74="Respuesta A/B/Ambas/Ninguna",$A74="Verdadero o Falso Complejas",$A74="Selección de la mejor respuesta",$A74="Subítem de caso o problema",$A74="Opción de Emparejamiento Ampliado"),TRIM($I74)=""),IF(COUNTIF($Q74:$T74,"?*")&gt;0,", ","")&amp;"respuesta_correcta","")</f>
        <v/>
      </c>
      <c r="V74">
        <f>IF(AND(OR($A74="Verdadero o Falso Simple",$A74="Respuesta A/B/Ambas/Ninguna",$A74="Verdadero o Falso Complejas",$A74="Selección de la mejor respuesta",$A74="Subítem de caso o problema",$A74="Opción de Emparejamiento Ampliado"),TRIM($J74)=""),IF(COUNTIF($Q74:$U74,"?*")&gt;0,", ","")&amp;"dificultad","")</f>
        <v/>
      </c>
      <c r="W74">
        <f>IF(AND(OR($A74="Ítems agrupados por caso clínico o problema",$A74="Emparejamiento Ampliado"),TRIM($I74)&lt;&gt;""),IF(COUNTIF($Q74:$V74,"?*")&gt;0,", ","")&amp;"respuesta debe ir vacia","")</f>
        <v/>
      </c>
      <c r="X74">
        <f>IF(AND(OR($A74="Ítems agrupados por caso clínico o problema",$A74="Emparejamiento Ampliado"),TRIM($J74)&lt;&gt;""),IF(COUNTIF($Q74:$W74,"?*")&gt;0,", ","")&amp;"dificultad debe ir vacia","")</f>
        <v/>
      </c>
      <c r="Y74">
        <f>IF(AND($A74="Verdadero o Falso Simple",OR(COUNTIF($D74:$E74,"?*")&lt;2,COUNTIF($F74:$H74,"?*")&gt;0)),IF(COUNTIF($Q74:$X74,"?*")&gt;0,", ","")&amp;"incisos A-B","")</f>
        <v/>
      </c>
      <c r="Z74">
        <f>IF(AND($A74="Verdadero o Falso Simple",TRIM($I74)&lt;&gt;"",NOT(OR(LEFT(TRIM($I74),1)="A",LEFT(TRIM($I74),1)="B"))),IF(COUNTIF($Q74:$Y74,"?*")&gt;0,", ","")&amp;"respuesta A-B","")</f>
        <v/>
      </c>
      <c r="AA74">
        <f>IF(AND($A74="Respuesta A/B/Ambas/Ninguna",COUNTIF($D74:$G74,"?*")&lt;4),IF(COUNTIF($Q74:$Z74,"?*")&gt;0,", ","")&amp;"opciones A-D","")</f>
        <v/>
      </c>
      <c r="AB74">
        <f>IF(AND($A74="Respuesta A/B/Ambas/Ninguna",COUNTIF($H74:$H74,"?*")&gt;0),IF(COUNTIF($Q74:$AA74,"?*")&gt;0,", ","")&amp;"opcion E deshabilitada","")</f>
        <v/>
      </c>
      <c r="AC74">
        <f>IF(AND($A74="Respuesta A/B/Ambas/Ninguna",TRIM($I74)&lt;&gt;"",NOT(OR(LEFT(TRIM($I74),1)="A",LEFT(TRIM($I74),1)="B",LEFT(TRIM($I74),1)="C",LEFT(TRIM($I74),1)="D"))),IF(COUNTIF($Q74:$AB74,"?*")&gt;0,", ","")&amp;"respuesta A-D","")</f>
        <v/>
      </c>
      <c r="AD74">
        <f>IF(AND($A74="Verdadero o Falso Complejas",OR(LEN(TRIM(SUBSTITUTE($D74,"1.","")))=0,LEN(TRIM(SUBSTITUTE($E74,"2.","")))=0,LEN(TRIM(SUBSTITUTE($F74,"3.","")))=0,LEN(TRIM(SUBSTITUTE($G74,"4.","")))=0)),IF(COUNTIF($Q74:$AC74,"?*")&gt;0,", ","")&amp;"incisos 1-4","")</f>
        <v/>
      </c>
      <c r="AE74">
        <f>IF(AND($A74="Verdadero o Falso Complejas",COUNTIF($H74:$H74,"?*")&gt;0),IF(COUNTIF($Q74:$AD74,"?*")&gt;0,", ","")&amp;"opcion E deshabilitada","")</f>
        <v/>
      </c>
      <c r="AF74">
        <f>IF(AND($A74="Verdadero o Falso Complejas",TRIM($I74)&lt;&gt;"",NOT(OR(LEFT(TRIM($I74),1)="A",LEFT(TRIM($I74),1)="B",LEFT(TRIM($I74),1)="C",LEFT(TRIM($I74),1)="D",LEFT(TRIM($I74),1)="E"))),IF(COUNTIF($Q74:$AE74,"?*")&gt;0,", ","")&amp;"respuesta A-E","")</f>
        <v/>
      </c>
      <c r="AG74">
        <f>IF(AND(OR($A74="Selección de la mejor respuesta",$A74="Subítem de caso o problema"),COUNTA($D74:$H74)&lt;5),IF(COUNTIF($Q74:$AF74,"?*")&gt;0,", ","")&amp;"incisos A-E","")</f>
        <v/>
      </c>
      <c r="AH74">
        <f>IF(AND(OR($A74="Selección de la mejor respuesta",$A74="Subítem de caso o problema"),TRIM($I74)&lt;&gt;"",NOT(OR(LEFT(TRIM($I74),1)="A",LEFT(TRIM($I74),1)="B",LEFT(TRIM($I74),1)="C",LEFT(TRIM($I74),1)="D",LEFT(TRIM($I74),1)="E"))),IF(COUNTIF($Q74:$AG74,"?*")&gt;0,", ","")&amp;"respuesta A-E","")</f>
        <v/>
      </c>
      <c r="AI74">
        <f>IF(AND(OR($A74="Ítems agrupados por caso clínico o problema",$A74="Opción de Emparejamiento Ampliado"),COUNTIF($D74:$H74,"?*")&gt;0),IF(COUNTIF($Q74:$AH74,"?*")&gt;0,", ","")&amp;"sin incisos","")</f>
        <v/>
      </c>
      <c r="AJ74">
        <f>IF(AND($A74="Emparejamiento Ampliado",COUNTIF($D74:$H74,"?*")&lt;2),IF(COUNTIF($Q74:$AI74,"?*")&gt;0,", ","")&amp;"minimo 2 claves","")</f>
        <v/>
      </c>
      <c r="AK74">
        <f>IF(AND($A74="Opción de Emparejamiento Ampliado",NOT(OR(LEFT(TRIM($I74),1)="A",LEFT(TRIM($I74),1)="B",LEFT(TRIM($I74),1)="C",LEFT(TRIM($I74),1)="D",LEFT(TRIM($I74),1)="E"))),IF(COUNTIF($Q74:$AJ74,"?*")&gt;0,", ","")&amp;"respuesta A-E","")</f>
        <v/>
      </c>
      <c r="AL74">
        <f>IF(TRIM($K74)="",IF(COUNTIF($M74:$M74,"?*")&gt;0,", ","")&amp;"parcial","")</f>
        <v/>
      </c>
      <c r="AM74">
        <f>IF(AND(TRIM($K74)&lt;&gt;"",TRIM($K74)&lt;&gt;VALIDACIONES!$G$1),IF(COUNTIF($M74:$N74,"?*")&gt;0,", ","")&amp;"parcial distinto a "&amp;VALIDACIONES!$G$1,"")</f>
        <v/>
      </c>
    </row>
    <row r="75" ht="20" customHeight="1">
      <c r="A75" s="371" t="n"/>
      <c r="B75" s="371" t="n"/>
      <c r="C75" s="371" t="n"/>
      <c r="D75" s="371">
        <f>IF($A75="Verdadero o Falso Simple","Verdadero",IF($A75="Respuesta A/B/Ambas/Ninguna","A. Si la primera es verdadera",IF($A75="Verdadero o Falso Complejas","1. ","")))</f>
        <v/>
      </c>
      <c r="E75" s="371">
        <f>IF($A75="Verdadero o Falso Simple","Falso",IF($A75="Respuesta A/B/Ambas/Ninguna","B. Si la segunda es verdadera",IF($A75="Verdadero o Falso Complejas","2. ","")))</f>
        <v/>
      </c>
      <c r="F75" s="371">
        <f>IF($A75="Respuesta A/B/Ambas/Ninguna","C. Si ambas son verdaderas",IF($A75="Verdadero o Falso Complejas","3. ",""))</f>
        <v/>
      </c>
      <c r="G75" s="371">
        <f>IF($A75="Respuesta A/B/Ambas/Ninguna","D. Si ninguna es verdadera",IF($A75="Verdadero o Falso Complejas","4. ",""))</f>
        <v/>
      </c>
      <c r="H75" s="371">
        <f>IF($A75="Verdadero o Falso Simple","",IF($A75="Respuesta A/B/Ambas/Ninguna","",IF($A75="Verdadero o Falso Complejas","","")))</f>
        <v/>
      </c>
      <c r="I75" s="371" t="n"/>
      <c r="J75" s="372" t="n"/>
      <c r="K75" s="372">
        <f>IF(TRIM($A75)="","",VALIDACIONES!$G$1)</f>
        <v/>
      </c>
      <c r="L75" s="371">
        <f>IF(TRIM($A75)="","",IF(OR($A75="Selección de la mejor respuesta",$A75="SELECCION_MEJOR_RESPUESTA",$A75="Subítem de caso o problema",$A75="SUBITEM_CASO"),IF(TRIM($C75)="","Completar enunciado",IF(SUMPRODUCT(--(LEN(TRIM($D75:$H75&amp;""))&gt;0))&lt;5,"Completar opciones A-E",IF(AND(TRIM($I75)&lt;&gt;"",OR(LEFT(TRIM($I75),1)="A",LEFT(TRIM($I75),1)="B",LEFT(TRIM($I75),1)="C",LEFT(TRIM($I75),1)="D",LEFT(TRIM($I75),1)="E")),"OK","Completar respuesta correcta A-E"))),IF(TRIM($A75)="","",IF(COUNTIF($Q75:$AJ75,"?*")=0,"OK","Falta revisar: "&amp;$Q75&amp;$R75&amp;$S75&amp;$T75&amp;$U75&amp;$V75&amp;$W75&amp;$X75&amp;$Y75&amp;$Z75&amp;$AA75&amp;$AB75&amp;$AC75&amp;$AD75&amp;$AE75&amp;$AF75&amp;$AG75&amp;$AH75&amp;$AI75&amp;$AJ75))))</f>
        <v/>
      </c>
      <c r="M75" s="373" t="n"/>
      <c r="Q75">
        <f>IF(TRIM($C75)="","enunciado","")</f>
        <v/>
      </c>
      <c r="R75">
        <f>IF(TRIM($K75)="",IF(COUNTIF($Q75:$Q75,"?*")&gt;0,", ","")&amp;"parcial","")</f>
        <v/>
      </c>
      <c r="S75">
        <f>IF(AND(TRIM($K75)&lt;&gt;"",TRIM($K75)&lt;&gt;VALIDACIONES!$G$1),IF(COUNTIF($Q75:$R75,"?*")&gt;0,", ","")&amp;"parcial distinto a "&amp;VALIDACIONES!$G$1,"")</f>
        <v/>
      </c>
      <c r="T75">
        <f>IF(AND(OR($A75="Ítems agrupados por caso clínico o problema",$A75="Subítem de caso o problema",$A75="Emparejamiento Ampliado",$A75="Opción de Emparejamiento Ampliado"),TRIM($B75)=""),IF(COUNTIF($Q75:$S75,"?*")&gt;0,", ","")&amp;"grupo","")</f>
        <v/>
      </c>
      <c r="U75">
        <f>IF(AND(OR($A75="Verdadero o Falso Simple",$A75="Respuesta A/B/Ambas/Ninguna",$A75="Verdadero o Falso Complejas",$A75="Selección de la mejor respuesta",$A75="Subítem de caso o problema",$A75="Opción de Emparejamiento Ampliado"),TRIM($I75)=""),IF(COUNTIF($Q75:$T75,"?*")&gt;0,", ","")&amp;"respuesta_correcta","")</f>
        <v/>
      </c>
      <c r="V75">
        <f>IF(AND(OR($A75="Verdadero o Falso Simple",$A75="Respuesta A/B/Ambas/Ninguna",$A75="Verdadero o Falso Complejas",$A75="Selección de la mejor respuesta",$A75="Subítem de caso o problema",$A75="Opción de Emparejamiento Ampliado"),TRIM($J75)=""),IF(COUNTIF($Q75:$U75,"?*")&gt;0,", ","")&amp;"dificultad","")</f>
        <v/>
      </c>
      <c r="W75">
        <f>IF(AND(OR($A75="Ítems agrupados por caso clínico o problema",$A75="Emparejamiento Ampliado"),TRIM($I75)&lt;&gt;""),IF(COUNTIF($Q75:$V75,"?*")&gt;0,", ","")&amp;"respuesta debe ir vacia","")</f>
        <v/>
      </c>
      <c r="X75">
        <f>IF(AND(OR($A75="Ítems agrupados por caso clínico o problema",$A75="Emparejamiento Ampliado"),TRIM($J75)&lt;&gt;""),IF(COUNTIF($Q75:$W75,"?*")&gt;0,", ","")&amp;"dificultad debe ir vacia","")</f>
        <v/>
      </c>
      <c r="Y75">
        <f>IF(AND($A75="Verdadero o Falso Simple",OR(COUNTIF($D75:$E75,"?*")&lt;2,COUNTIF($F75:$H75,"?*")&gt;0)),IF(COUNTIF($Q75:$X75,"?*")&gt;0,", ","")&amp;"incisos A-B","")</f>
        <v/>
      </c>
      <c r="Z75">
        <f>IF(AND($A75="Verdadero o Falso Simple",TRIM($I75)&lt;&gt;"",NOT(OR(LEFT(TRIM($I75),1)="A",LEFT(TRIM($I75),1)="B"))),IF(COUNTIF($Q75:$Y75,"?*")&gt;0,", ","")&amp;"respuesta A-B","")</f>
        <v/>
      </c>
      <c r="AA75">
        <f>IF(AND($A75="Respuesta A/B/Ambas/Ninguna",COUNTIF($D75:$G75,"?*")&lt;4),IF(COUNTIF($Q75:$Z75,"?*")&gt;0,", ","")&amp;"opciones A-D","")</f>
        <v/>
      </c>
      <c r="AB75">
        <f>IF(AND($A75="Respuesta A/B/Ambas/Ninguna",COUNTIF($H75:$H75,"?*")&gt;0),IF(COUNTIF($Q75:$AA75,"?*")&gt;0,", ","")&amp;"opcion E deshabilitada","")</f>
        <v/>
      </c>
      <c r="AC75">
        <f>IF(AND($A75="Respuesta A/B/Ambas/Ninguna",TRIM($I75)&lt;&gt;"",NOT(OR(LEFT(TRIM($I75),1)="A",LEFT(TRIM($I75),1)="B",LEFT(TRIM($I75),1)="C",LEFT(TRIM($I75),1)="D"))),IF(COUNTIF($Q75:$AB75,"?*")&gt;0,", ","")&amp;"respuesta A-D","")</f>
        <v/>
      </c>
      <c r="AD75">
        <f>IF(AND($A75="Verdadero o Falso Complejas",OR(LEN(TRIM(SUBSTITUTE($D75,"1.","")))=0,LEN(TRIM(SUBSTITUTE($E75,"2.","")))=0,LEN(TRIM(SUBSTITUTE($F75,"3.","")))=0,LEN(TRIM(SUBSTITUTE($G75,"4.","")))=0)),IF(COUNTIF($Q75:$AC75,"?*")&gt;0,", ","")&amp;"incisos 1-4","")</f>
        <v/>
      </c>
      <c r="AE75">
        <f>IF(AND($A75="Verdadero o Falso Complejas",COUNTIF($H75:$H75,"?*")&gt;0),IF(COUNTIF($Q75:$AD75,"?*")&gt;0,", ","")&amp;"opcion E deshabilitada","")</f>
        <v/>
      </c>
      <c r="AF75">
        <f>IF(AND($A75="Verdadero o Falso Complejas",TRIM($I75)&lt;&gt;"",NOT(OR(LEFT(TRIM($I75),1)="A",LEFT(TRIM($I75),1)="B",LEFT(TRIM($I75),1)="C",LEFT(TRIM($I75),1)="D",LEFT(TRIM($I75),1)="E"))),IF(COUNTIF($Q75:$AE75,"?*")&gt;0,", ","")&amp;"respuesta A-E","")</f>
        <v/>
      </c>
      <c r="AG75">
        <f>IF(AND(OR($A75="Selección de la mejor respuesta",$A75="Subítem de caso o problema"),COUNTA($D75:$H75)&lt;5),IF(COUNTIF($Q75:$AF75,"?*")&gt;0,", ","")&amp;"incisos A-E","")</f>
        <v/>
      </c>
      <c r="AH75">
        <f>IF(AND(OR($A75="Selección de la mejor respuesta",$A75="Subítem de caso o problema"),TRIM($I75)&lt;&gt;"",NOT(OR(LEFT(TRIM($I75),1)="A",LEFT(TRIM($I75),1)="B",LEFT(TRIM($I75),1)="C",LEFT(TRIM($I75),1)="D",LEFT(TRIM($I75),1)="E"))),IF(COUNTIF($Q75:$AG75,"?*")&gt;0,", ","")&amp;"respuesta A-E","")</f>
        <v/>
      </c>
      <c r="AI75">
        <f>IF(AND(OR($A75="Ítems agrupados por caso clínico o problema",$A75="Opción de Emparejamiento Ampliado"),COUNTIF($D75:$H75,"?*")&gt;0),IF(COUNTIF($Q75:$AH75,"?*")&gt;0,", ","")&amp;"sin incisos","")</f>
        <v/>
      </c>
      <c r="AJ75">
        <f>IF(AND($A75="Emparejamiento Ampliado",COUNTIF($D75:$H75,"?*")&lt;2),IF(COUNTIF($Q75:$AI75,"?*")&gt;0,", ","")&amp;"minimo 2 claves","")</f>
        <v/>
      </c>
      <c r="AK75">
        <f>IF(AND($A75="Opción de Emparejamiento Ampliado",NOT(OR(LEFT(TRIM($I75),1)="A",LEFT(TRIM($I75),1)="B",LEFT(TRIM($I75),1)="C",LEFT(TRIM($I75),1)="D",LEFT(TRIM($I75),1)="E"))),IF(COUNTIF($Q75:$AJ75,"?*")&gt;0,", ","")&amp;"respuesta A-E","")</f>
        <v/>
      </c>
      <c r="AL75">
        <f>IF(TRIM($K75)="",IF(COUNTIF($M75:$M75,"?*")&gt;0,", ","")&amp;"parcial","")</f>
        <v/>
      </c>
      <c r="AM75">
        <f>IF(AND(TRIM($K75)&lt;&gt;"",TRIM($K75)&lt;&gt;VALIDACIONES!$G$1),IF(COUNTIF($M75:$N75,"?*")&gt;0,", ","")&amp;"parcial distinto a "&amp;VALIDACIONES!$G$1,"")</f>
        <v/>
      </c>
    </row>
    <row r="76" ht="20" customHeight="1">
      <c r="A76" s="371" t="n"/>
      <c r="B76" s="371" t="n"/>
      <c r="C76" s="371" t="n"/>
      <c r="D76" s="371">
        <f>IF($A76="Verdadero o Falso Simple","Verdadero",IF($A76="Respuesta A/B/Ambas/Ninguna","A. Si la primera es verdadera",IF($A76="Verdadero o Falso Complejas","1. ","")))</f>
        <v/>
      </c>
      <c r="E76" s="371">
        <f>IF($A76="Verdadero o Falso Simple","Falso",IF($A76="Respuesta A/B/Ambas/Ninguna","B. Si la segunda es verdadera",IF($A76="Verdadero o Falso Complejas","2. ","")))</f>
        <v/>
      </c>
      <c r="F76" s="371">
        <f>IF($A76="Respuesta A/B/Ambas/Ninguna","C. Si ambas son verdaderas",IF($A76="Verdadero o Falso Complejas","3. ",""))</f>
        <v/>
      </c>
      <c r="G76" s="371">
        <f>IF($A76="Respuesta A/B/Ambas/Ninguna","D. Si ninguna es verdadera",IF($A76="Verdadero o Falso Complejas","4. ",""))</f>
        <v/>
      </c>
      <c r="H76" s="371">
        <f>IF($A76="Verdadero o Falso Simple","",IF($A76="Respuesta A/B/Ambas/Ninguna","",IF($A76="Verdadero o Falso Complejas","","")))</f>
        <v/>
      </c>
      <c r="I76" s="371" t="n"/>
      <c r="J76" s="372" t="n"/>
      <c r="K76" s="372">
        <f>IF(TRIM($A76)="","",VALIDACIONES!$G$1)</f>
        <v/>
      </c>
      <c r="L76" s="371">
        <f>IF(TRIM($A76)="","",IF(OR($A76="Selección de la mejor respuesta",$A76="SELECCION_MEJOR_RESPUESTA",$A76="Subítem de caso o problema",$A76="SUBITEM_CASO"),IF(TRIM($C76)="","Completar enunciado",IF(SUMPRODUCT(--(LEN(TRIM($D76:$H76&amp;""))&gt;0))&lt;5,"Completar opciones A-E",IF(AND(TRIM($I76)&lt;&gt;"",OR(LEFT(TRIM($I76),1)="A",LEFT(TRIM($I76),1)="B",LEFT(TRIM($I76),1)="C",LEFT(TRIM($I76),1)="D",LEFT(TRIM($I76),1)="E")),"OK","Completar respuesta correcta A-E"))),IF(TRIM($A76)="","",IF(COUNTIF($Q76:$AJ76,"?*")=0,"OK","Falta revisar: "&amp;$Q76&amp;$R76&amp;$S76&amp;$T76&amp;$U76&amp;$V76&amp;$W76&amp;$X76&amp;$Y76&amp;$Z76&amp;$AA76&amp;$AB76&amp;$AC76&amp;$AD76&amp;$AE76&amp;$AF76&amp;$AG76&amp;$AH76&amp;$AI76&amp;$AJ76))))</f>
        <v/>
      </c>
      <c r="M76" s="373" t="n"/>
      <c r="Q76">
        <f>IF(TRIM($C76)="","enunciado","")</f>
        <v/>
      </c>
      <c r="R76">
        <f>IF(TRIM($K76)="",IF(COUNTIF($Q76:$Q76,"?*")&gt;0,", ","")&amp;"parcial","")</f>
        <v/>
      </c>
      <c r="S76">
        <f>IF(AND(TRIM($K76)&lt;&gt;"",TRIM($K76)&lt;&gt;VALIDACIONES!$G$1),IF(COUNTIF($Q76:$R76,"?*")&gt;0,", ","")&amp;"parcial distinto a "&amp;VALIDACIONES!$G$1,"")</f>
        <v/>
      </c>
      <c r="T76">
        <f>IF(AND(OR($A76="Ítems agrupados por caso clínico o problema",$A76="Subítem de caso o problema",$A76="Emparejamiento Ampliado",$A76="Opción de Emparejamiento Ampliado"),TRIM($B76)=""),IF(COUNTIF($Q76:$S76,"?*")&gt;0,", ","")&amp;"grupo","")</f>
        <v/>
      </c>
      <c r="U76">
        <f>IF(AND(OR($A76="Verdadero o Falso Simple",$A76="Respuesta A/B/Ambas/Ninguna",$A76="Verdadero o Falso Complejas",$A76="Selección de la mejor respuesta",$A76="Subítem de caso o problema",$A76="Opción de Emparejamiento Ampliado"),TRIM($I76)=""),IF(COUNTIF($Q76:$T76,"?*")&gt;0,", ","")&amp;"respuesta_correcta","")</f>
        <v/>
      </c>
      <c r="V76">
        <f>IF(AND(OR($A76="Verdadero o Falso Simple",$A76="Respuesta A/B/Ambas/Ninguna",$A76="Verdadero o Falso Complejas",$A76="Selección de la mejor respuesta",$A76="Subítem de caso o problema",$A76="Opción de Emparejamiento Ampliado"),TRIM($J76)=""),IF(COUNTIF($Q76:$U76,"?*")&gt;0,", ","")&amp;"dificultad","")</f>
        <v/>
      </c>
      <c r="W76">
        <f>IF(AND(OR($A76="Ítems agrupados por caso clínico o problema",$A76="Emparejamiento Ampliado"),TRIM($I76)&lt;&gt;""),IF(COUNTIF($Q76:$V76,"?*")&gt;0,", ","")&amp;"respuesta debe ir vacia","")</f>
        <v/>
      </c>
      <c r="X76">
        <f>IF(AND(OR($A76="Ítems agrupados por caso clínico o problema",$A76="Emparejamiento Ampliado"),TRIM($J76)&lt;&gt;""),IF(COUNTIF($Q76:$W76,"?*")&gt;0,", ","")&amp;"dificultad debe ir vacia","")</f>
        <v/>
      </c>
      <c r="Y76">
        <f>IF(AND($A76="Verdadero o Falso Simple",OR(COUNTIF($D76:$E76,"?*")&lt;2,COUNTIF($F76:$H76,"?*")&gt;0)),IF(COUNTIF($Q76:$X76,"?*")&gt;0,", ","")&amp;"incisos A-B","")</f>
        <v/>
      </c>
      <c r="Z76">
        <f>IF(AND($A76="Verdadero o Falso Simple",TRIM($I76)&lt;&gt;"",NOT(OR(LEFT(TRIM($I76),1)="A",LEFT(TRIM($I76),1)="B"))),IF(COUNTIF($Q76:$Y76,"?*")&gt;0,", ","")&amp;"respuesta A-B","")</f>
        <v/>
      </c>
      <c r="AA76">
        <f>IF(AND($A76="Respuesta A/B/Ambas/Ninguna",COUNTIF($D76:$G76,"?*")&lt;4),IF(COUNTIF($Q76:$Z76,"?*")&gt;0,", ","")&amp;"opciones A-D","")</f>
        <v/>
      </c>
      <c r="AB76">
        <f>IF(AND($A76="Respuesta A/B/Ambas/Ninguna",COUNTIF($H76:$H76,"?*")&gt;0),IF(COUNTIF($Q76:$AA76,"?*")&gt;0,", ","")&amp;"opcion E deshabilitada","")</f>
        <v/>
      </c>
      <c r="AC76">
        <f>IF(AND($A76="Respuesta A/B/Ambas/Ninguna",TRIM($I76)&lt;&gt;"",NOT(OR(LEFT(TRIM($I76),1)="A",LEFT(TRIM($I76),1)="B",LEFT(TRIM($I76),1)="C",LEFT(TRIM($I76),1)="D"))),IF(COUNTIF($Q76:$AB76,"?*")&gt;0,", ","")&amp;"respuesta A-D","")</f>
        <v/>
      </c>
      <c r="AD76">
        <f>IF(AND($A76="Verdadero o Falso Complejas",OR(LEN(TRIM(SUBSTITUTE($D76,"1.","")))=0,LEN(TRIM(SUBSTITUTE($E76,"2.","")))=0,LEN(TRIM(SUBSTITUTE($F76,"3.","")))=0,LEN(TRIM(SUBSTITUTE($G76,"4.","")))=0)),IF(COUNTIF($Q76:$AC76,"?*")&gt;0,", ","")&amp;"incisos 1-4","")</f>
        <v/>
      </c>
      <c r="AE76">
        <f>IF(AND($A76="Verdadero o Falso Complejas",COUNTIF($H76:$H76,"?*")&gt;0),IF(COUNTIF($Q76:$AD76,"?*")&gt;0,", ","")&amp;"opcion E deshabilitada","")</f>
        <v/>
      </c>
      <c r="AF76">
        <f>IF(AND($A76="Verdadero o Falso Complejas",TRIM($I76)&lt;&gt;"",NOT(OR(LEFT(TRIM($I76),1)="A",LEFT(TRIM($I76),1)="B",LEFT(TRIM($I76),1)="C",LEFT(TRIM($I76),1)="D",LEFT(TRIM($I76),1)="E"))),IF(COUNTIF($Q76:$AE76,"?*")&gt;0,", ","")&amp;"respuesta A-E","")</f>
        <v/>
      </c>
      <c r="AG76">
        <f>IF(AND(OR($A76="Selección de la mejor respuesta",$A76="Subítem de caso o problema"),COUNTA($D76:$H76)&lt;5),IF(COUNTIF($Q76:$AF76,"?*")&gt;0,", ","")&amp;"incisos A-E","")</f>
        <v/>
      </c>
      <c r="AH76">
        <f>IF(AND(OR($A76="Selección de la mejor respuesta",$A76="Subítem de caso o problema"),TRIM($I76)&lt;&gt;"",NOT(OR(LEFT(TRIM($I76),1)="A",LEFT(TRIM($I76),1)="B",LEFT(TRIM($I76),1)="C",LEFT(TRIM($I76),1)="D",LEFT(TRIM($I76),1)="E"))),IF(COUNTIF($Q76:$AG76,"?*")&gt;0,", ","")&amp;"respuesta A-E","")</f>
        <v/>
      </c>
      <c r="AI76">
        <f>IF(AND(OR($A76="Ítems agrupados por caso clínico o problema",$A76="Opción de Emparejamiento Ampliado"),COUNTIF($D76:$H76,"?*")&gt;0),IF(COUNTIF($Q76:$AH76,"?*")&gt;0,", ","")&amp;"sin incisos","")</f>
        <v/>
      </c>
      <c r="AJ76">
        <f>IF(AND($A76="Emparejamiento Ampliado",COUNTIF($D76:$H76,"?*")&lt;2),IF(COUNTIF($Q76:$AI76,"?*")&gt;0,", ","")&amp;"minimo 2 claves","")</f>
        <v/>
      </c>
      <c r="AK76">
        <f>IF(AND($A76="Opción de Emparejamiento Ampliado",NOT(OR(LEFT(TRIM($I76),1)="A",LEFT(TRIM($I76),1)="B",LEFT(TRIM($I76),1)="C",LEFT(TRIM($I76),1)="D",LEFT(TRIM($I76),1)="E"))),IF(COUNTIF($Q76:$AJ76,"?*")&gt;0,", ","")&amp;"respuesta A-E","")</f>
        <v/>
      </c>
      <c r="AL76">
        <f>IF(TRIM($K76)="",IF(COUNTIF($M76:$M76,"?*")&gt;0,", ","")&amp;"parcial","")</f>
        <v/>
      </c>
      <c r="AM76">
        <f>IF(AND(TRIM($K76)&lt;&gt;"",TRIM($K76)&lt;&gt;VALIDACIONES!$G$1),IF(COUNTIF($M76:$N76,"?*")&gt;0,", ","")&amp;"parcial distinto a "&amp;VALIDACIONES!$G$1,"")</f>
        <v/>
      </c>
    </row>
    <row r="77" ht="20" customHeight="1">
      <c r="A77" s="371" t="n"/>
      <c r="B77" s="371" t="n"/>
      <c r="C77" s="371" t="n"/>
      <c r="D77" s="371">
        <f>IF($A77="Verdadero o Falso Simple","Verdadero",IF($A77="Respuesta A/B/Ambas/Ninguna","A. Si la primera es verdadera",IF($A77="Verdadero o Falso Complejas","1. ","")))</f>
        <v/>
      </c>
      <c r="E77" s="371">
        <f>IF($A77="Verdadero o Falso Simple","Falso",IF($A77="Respuesta A/B/Ambas/Ninguna","B. Si la segunda es verdadera",IF($A77="Verdadero o Falso Complejas","2. ","")))</f>
        <v/>
      </c>
      <c r="F77" s="371">
        <f>IF($A77="Respuesta A/B/Ambas/Ninguna","C. Si ambas son verdaderas",IF($A77="Verdadero o Falso Complejas","3. ",""))</f>
        <v/>
      </c>
      <c r="G77" s="371">
        <f>IF($A77="Respuesta A/B/Ambas/Ninguna","D. Si ninguna es verdadera",IF($A77="Verdadero o Falso Complejas","4. ",""))</f>
        <v/>
      </c>
      <c r="H77" s="371">
        <f>IF($A77="Verdadero o Falso Simple","",IF($A77="Respuesta A/B/Ambas/Ninguna","",IF($A77="Verdadero o Falso Complejas","","")))</f>
        <v/>
      </c>
      <c r="I77" s="371" t="n"/>
      <c r="J77" s="372" t="n"/>
      <c r="K77" s="372">
        <f>IF(TRIM($A77)="","",VALIDACIONES!$G$1)</f>
        <v/>
      </c>
      <c r="L77" s="371">
        <f>IF(TRIM($A77)="","",IF(OR($A77="Selección de la mejor respuesta",$A77="SELECCION_MEJOR_RESPUESTA",$A77="Subítem de caso o problema",$A77="SUBITEM_CASO"),IF(TRIM($C77)="","Completar enunciado",IF(SUMPRODUCT(--(LEN(TRIM($D77:$H77&amp;""))&gt;0))&lt;5,"Completar opciones A-E",IF(AND(TRIM($I77)&lt;&gt;"",OR(LEFT(TRIM($I77),1)="A",LEFT(TRIM($I77),1)="B",LEFT(TRIM($I77),1)="C",LEFT(TRIM($I77),1)="D",LEFT(TRIM($I77),1)="E")),"OK","Completar respuesta correcta A-E"))),IF(TRIM($A77)="","",IF(COUNTIF($Q77:$AJ77,"?*")=0,"OK","Falta revisar: "&amp;$Q77&amp;$R77&amp;$S77&amp;$T77&amp;$U77&amp;$V77&amp;$W77&amp;$X77&amp;$Y77&amp;$Z77&amp;$AA77&amp;$AB77&amp;$AC77&amp;$AD77&amp;$AE77&amp;$AF77&amp;$AG77&amp;$AH77&amp;$AI77&amp;$AJ77))))</f>
        <v/>
      </c>
      <c r="M77" s="373" t="n"/>
      <c r="Q77">
        <f>IF(TRIM($C77)="","enunciado","")</f>
        <v/>
      </c>
      <c r="R77">
        <f>IF(TRIM($K77)="",IF(COUNTIF($Q77:$Q77,"?*")&gt;0,", ","")&amp;"parcial","")</f>
        <v/>
      </c>
      <c r="S77">
        <f>IF(AND(TRIM($K77)&lt;&gt;"",TRIM($K77)&lt;&gt;VALIDACIONES!$G$1),IF(COUNTIF($Q77:$R77,"?*")&gt;0,", ","")&amp;"parcial distinto a "&amp;VALIDACIONES!$G$1,"")</f>
        <v/>
      </c>
      <c r="T77">
        <f>IF(AND(OR($A77="Ítems agrupados por caso clínico o problema",$A77="Subítem de caso o problema",$A77="Emparejamiento Ampliado",$A77="Opción de Emparejamiento Ampliado"),TRIM($B77)=""),IF(COUNTIF($Q77:$S77,"?*")&gt;0,", ","")&amp;"grupo","")</f>
        <v/>
      </c>
      <c r="U77">
        <f>IF(AND(OR($A77="Verdadero o Falso Simple",$A77="Respuesta A/B/Ambas/Ninguna",$A77="Verdadero o Falso Complejas",$A77="Selección de la mejor respuesta",$A77="Subítem de caso o problema",$A77="Opción de Emparejamiento Ampliado"),TRIM($I77)=""),IF(COUNTIF($Q77:$T77,"?*")&gt;0,", ","")&amp;"respuesta_correcta","")</f>
        <v/>
      </c>
      <c r="V77">
        <f>IF(AND(OR($A77="Verdadero o Falso Simple",$A77="Respuesta A/B/Ambas/Ninguna",$A77="Verdadero o Falso Complejas",$A77="Selección de la mejor respuesta",$A77="Subítem de caso o problema",$A77="Opción de Emparejamiento Ampliado"),TRIM($J77)=""),IF(COUNTIF($Q77:$U77,"?*")&gt;0,", ","")&amp;"dificultad","")</f>
        <v/>
      </c>
      <c r="W77">
        <f>IF(AND(OR($A77="Ítems agrupados por caso clínico o problema",$A77="Emparejamiento Ampliado"),TRIM($I77)&lt;&gt;""),IF(COUNTIF($Q77:$V77,"?*")&gt;0,", ","")&amp;"respuesta debe ir vacia","")</f>
        <v/>
      </c>
      <c r="X77">
        <f>IF(AND(OR($A77="Ítems agrupados por caso clínico o problema",$A77="Emparejamiento Ampliado"),TRIM($J77)&lt;&gt;""),IF(COUNTIF($Q77:$W77,"?*")&gt;0,", ","")&amp;"dificultad debe ir vacia","")</f>
        <v/>
      </c>
      <c r="Y77">
        <f>IF(AND($A77="Verdadero o Falso Simple",OR(COUNTIF($D77:$E77,"?*")&lt;2,COUNTIF($F77:$H77,"?*")&gt;0)),IF(COUNTIF($Q77:$X77,"?*")&gt;0,", ","")&amp;"incisos A-B","")</f>
        <v/>
      </c>
      <c r="Z77">
        <f>IF(AND($A77="Verdadero o Falso Simple",TRIM($I77)&lt;&gt;"",NOT(OR(LEFT(TRIM($I77),1)="A",LEFT(TRIM($I77),1)="B"))),IF(COUNTIF($Q77:$Y77,"?*")&gt;0,", ","")&amp;"respuesta A-B","")</f>
        <v/>
      </c>
      <c r="AA77">
        <f>IF(AND($A77="Respuesta A/B/Ambas/Ninguna",COUNTIF($D77:$G77,"?*")&lt;4),IF(COUNTIF($Q77:$Z77,"?*")&gt;0,", ","")&amp;"opciones A-D","")</f>
        <v/>
      </c>
      <c r="AB77">
        <f>IF(AND($A77="Respuesta A/B/Ambas/Ninguna",COUNTIF($H77:$H77,"?*")&gt;0),IF(COUNTIF($Q77:$AA77,"?*")&gt;0,", ","")&amp;"opcion E deshabilitada","")</f>
        <v/>
      </c>
      <c r="AC77">
        <f>IF(AND($A77="Respuesta A/B/Ambas/Ninguna",TRIM($I77)&lt;&gt;"",NOT(OR(LEFT(TRIM($I77),1)="A",LEFT(TRIM($I77),1)="B",LEFT(TRIM($I77),1)="C",LEFT(TRIM($I77),1)="D"))),IF(COUNTIF($Q77:$AB77,"?*")&gt;0,", ","")&amp;"respuesta A-D","")</f>
        <v/>
      </c>
      <c r="AD77">
        <f>IF(AND($A77="Verdadero o Falso Complejas",OR(LEN(TRIM(SUBSTITUTE($D77,"1.","")))=0,LEN(TRIM(SUBSTITUTE($E77,"2.","")))=0,LEN(TRIM(SUBSTITUTE($F77,"3.","")))=0,LEN(TRIM(SUBSTITUTE($G77,"4.","")))=0)),IF(COUNTIF($Q77:$AC77,"?*")&gt;0,", ","")&amp;"incisos 1-4","")</f>
        <v/>
      </c>
      <c r="AE77">
        <f>IF(AND($A77="Verdadero o Falso Complejas",COUNTIF($H77:$H77,"?*")&gt;0),IF(COUNTIF($Q77:$AD77,"?*")&gt;0,", ","")&amp;"opcion E deshabilitada","")</f>
        <v/>
      </c>
      <c r="AF77">
        <f>IF(AND($A77="Verdadero o Falso Complejas",TRIM($I77)&lt;&gt;"",NOT(OR(LEFT(TRIM($I77),1)="A",LEFT(TRIM($I77),1)="B",LEFT(TRIM($I77),1)="C",LEFT(TRIM($I77),1)="D",LEFT(TRIM($I77),1)="E"))),IF(COUNTIF($Q77:$AE77,"?*")&gt;0,", ","")&amp;"respuesta A-E","")</f>
        <v/>
      </c>
      <c r="AG77">
        <f>IF(AND(OR($A77="Selección de la mejor respuesta",$A77="Subítem de caso o problema"),COUNTA($D77:$H77)&lt;5),IF(COUNTIF($Q77:$AF77,"?*")&gt;0,", ","")&amp;"incisos A-E","")</f>
        <v/>
      </c>
      <c r="AH77">
        <f>IF(AND(OR($A77="Selección de la mejor respuesta",$A77="Subítem de caso o problema"),TRIM($I77)&lt;&gt;"",NOT(OR(LEFT(TRIM($I77),1)="A",LEFT(TRIM($I77),1)="B",LEFT(TRIM($I77),1)="C",LEFT(TRIM($I77),1)="D",LEFT(TRIM($I77),1)="E"))),IF(COUNTIF($Q77:$AG77,"?*")&gt;0,", ","")&amp;"respuesta A-E","")</f>
        <v/>
      </c>
      <c r="AI77">
        <f>IF(AND(OR($A77="Ítems agrupados por caso clínico o problema",$A77="Opción de Emparejamiento Ampliado"),COUNTIF($D77:$H77,"?*")&gt;0),IF(COUNTIF($Q77:$AH77,"?*")&gt;0,", ","")&amp;"sin incisos","")</f>
        <v/>
      </c>
      <c r="AJ77">
        <f>IF(AND($A77="Emparejamiento Ampliado",COUNTIF($D77:$H77,"?*")&lt;2),IF(COUNTIF($Q77:$AI77,"?*")&gt;0,", ","")&amp;"minimo 2 claves","")</f>
        <v/>
      </c>
      <c r="AK77">
        <f>IF(AND($A77="Opción de Emparejamiento Ampliado",NOT(OR(LEFT(TRIM($I77),1)="A",LEFT(TRIM($I77),1)="B",LEFT(TRIM($I77),1)="C",LEFT(TRIM($I77),1)="D",LEFT(TRIM($I77),1)="E"))),IF(COUNTIF($Q77:$AJ77,"?*")&gt;0,", ","")&amp;"respuesta A-E","")</f>
        <v/>
      </c>
      <c r="AL77">
        <f>IF(TRIM($K77)="",IF(COUNTIF($M77:$M77,"?*")&gt;0,", ","")&amp;"parcial","")</f>
        <v/>
      </c>
      <c r="AM77">
        <f>IF(AND(TRIM($K77)&lt;&gt;"",TRIM($K77)&lt;&gt;VALIDACIONES!$G$1),IF(COUNTIF($M77:$N77,"?*")&gt;0,", ","")&amp;"parcial distinto a "&amp;VALIDACIONES!$G$1,"")</f>
        <v/>
      </c>
    </row>
    <row r="78" ht="20" customHeight="1">
      <c r="A78" s="371" t="n"/>
      <c r="B78" s="371" t="n"/>
      <c r="C78" s="371" t="n"/>
      <c r="D78" s="371">
        <f>IF($A78="Verdadero o Falso Simple","Verdadero",IF($A78="Respuesta A/B/Ambas/Ninguna","A. Si la primera es verdadera",IF($A78="Verdadero o Falso Complejas","1. ","")))</f>
        <v/>
      </c>
      <c r="E78" s="371">
        <f>IF($A78="Verdadero o Falso Simple","Falso",IF($A78="Respuesta A/B/Ambas/Ninguna","B. Si la segunda es verdadera",IF($A78="Verdadero o Falso Complejas","2. ","")))</f>
        <v/>
      </c>
      <c r="F78" s="371">
        <f>IF($A78="Respuesta A/B/Ambas/Ninguna","C. Si ambas son verdaderas",IF($A78="Verdadero o Falso Complejas","3. ",""))</f>
        <v/>
      </c>
      <c r="G78" s="371">
        <f>IF($A78="Respuesta A/B/Ambas/Ninguna","D. Si ninguna es verdadera",IF($A78="Verdadero o Falso Complejas","4. ",""))</f>
        <v/>
      </c>
      <c r="H78" s="371">
        <f>IF($A78="Verdadero o Falso Simple","",IF($A78="Respuesta A/B/Ambas/Ninguna","",IF($A78="Verdadero o Falso Complejas","","")))</f>
        <v/>
      </c>
      <c r="I78" s="371" t="n"/>
      <c r="J78" s="372" t="n"/>
      <c r="K78" s="372">
        <f>IF(TRIM($A78)="","",VALIDACIONES!$G$1)</f>
        <v/>
      </c>
      <c r="L78" s="371">
        <f>IF(TRIM($A78)="","",IF(OR($A78="Selección de la mejor respuesta",$A78="SELECCION_MEJOR_RESPUESTA",$A78="Subítem de caso o problema",$A78="SUBITEM_CASO"),IF(TRIM($C78)="","Completar enunciado",IF(SUMPRODUCT(--(LEN(TRIM($D78:$H78&amp;""))&gt;0))&lt;5,"Completar opciones A-E",IF(AND(TRIM($I78)&lt;&gt;"",OR(LEFT(TRIM($I78),1)="A",LEFT(TRIM($I78),1)="B",LEFT(TRIM($I78),1)="C",LEFT(TRIM($I78),1)="D",LEFT(TRIM($I78),1)="E")),"OK","Completar respuesta correcta A-E"))),IF(TRIM($A78)="","",IF(COUNTIF($Q78:$AJ78,"?*")=0,"OK","Falta revisar: "&amp;$Q78&amp;$R78&amp;$S78&amp;$T78&amp;$U78&amp;$V78&amp;$W78&amp;$X78&amp;$Y78&amp;$Z78&amp;$AA78&amp;$AB78&amp;$AC78&amp;$AD78&amp;$AE78&amp;$AF78&amp;$AG78&amp;$AH78&amp;$AI78&amp;$AJ78))))</f>
        <v/>
      </c>
      <c r="M78" s="373" t="n"/>
      <c r="Q78">
        <f>IF(TRIM($C78)="","enunciado","")</f>
        <v/>
      </c>
      <c r="R78">
        <f>IF(TRIM($K78)="",IF(COUNTIF($Q78:$Q78,"?*")&gt;0,", ","")&amp;"parcial","")</f>
        <v/>
      </c>
      <c r="S78">
        <f>IF(AND(TRIM($K78)&lt;&gt;"",TRIM($K78)&lt;&gt;VALIDACIONES!$G$1),IF(COUNTIF($Q78:$R78,"?*")&gt;0,", ","")&amp;"parcial distinto a "&amp;VALIDACIONES!$G$1,"")</f>
        <v/>
      </c>
      <c r="T78">
        <f>IF(AND(OR($A78="Ítems agrupados por caso clínico o problema",$A78="Subítem de caso o problema",$A78="Emparejamiento Ampliado",$A78="Opción de Emparejamiento Ampliado"),TRIM($B78)=""),IF(COUNTIF($Q78:$S78,"?*")&gt;0,", ","")&amp;"grupo","")</f>
        <v/>
      </c>
      <c r="U78">
        <f>IF(AND(OR($A78="Verdadero o Falso Simple",$A78="Respuesta A/B/Ambas/Ninguna",$A78="Verdadero o Falso Complejas",$A78="Selección de la mejor respuesta",$A78="Subítem de caso o problema",$A78="Opción de Emparejamiento Ampliado"),TRIM($I78)=""),IF(COUNTIF($Q78:$T78,"?*")&gt;0,", ","")&amp;"respuesta_correcta","")</f>
        <v/>
      </c>
      <c r="V78">
        <f>IF(AND(OR($A78="Verdadero o Falso Simple",$A78="Respuesta A/B/Ambas/Ninguna",$A78="Verdadero o Falso Complejas",$A78="Selección de la mejor respuesta",$A78="Subítem de caso o problema",$A78="Opción de Emparejamiento Ampliado"),TRIM($J78)=""),IF(COUNTIF($Q78:$U78,"?*")&gt;0,", ","")&amp;"dificultad","")</f>
        <v/>
      </c>
      <c r="W78">
        <f>IF(AND(OR($A78="Ítems agrupados por caso clínico o problema",$A78="Emparejamiento Ampliado"),TRIM($I78)&lt;&gt;""),IF(COUNTIF($Q78:$V78,"?*")&gt;0,", ","")&amp;"respuesta debe ir vacia","")</f>
        <v/>
      </c>
      <c r="X78">
        <f>IF(AND(OR($A78="Ítems agrupados por caso clínico o problema",$A78="Emparejamiento Ampliado"),TRIM($J78)&lt;&gt;""),IF(COUNTIF($Q78:$W78,"?*")&gt;0,", ","")&amp;"dificultad debe ir vacia","")</f>
        <v/>
      </c>
      <c r="Y78">
        <f>IF(AND($A78="Verdadero o Falso Simple",OR(COUNTIF($D78:$E78,"?*")&lt;2,COUNTIF($F78:$H78,"?*")&gt;0)),IF(COUNTIF($Q78:$X78,"?*")&gt;0,", ","")&amp;"incisos A-B","")</f>
        <v/>
      </c>
      <c r="Z78">
        <f>IF(AND($A78="Verdadero o Falso Simple",TRIM($I78)&lt;&gt;"",NOT(OR(LEFT(TRIM($I78),1)="A",LEFT(TRIM($I78),1)="B"))),IF(COUNTIF($Q78:$Y78,"?*")&gt;0,", ","")&amp;"respuesta A-B","")</f>
        <v/>
      </c>
      <c r="AA78">
        <f>IF(AND($A78="Respuesta A/B/Ambas/Ninguna",COUNTIF($D78:$G78,"?*")&lt;4),IF(COUNTIF($Q78:$Z78,"?*")&gt;0,", ","")&amp;"opciones A-D","")</f>
        <v/>
      </c>
      <c r="AB78">
        <f>IF(AND($A78="Respuesta A/B/Ambas/Ninguna",COUNTIF($H78:$H78,"?*")&gt;0),IF(COUNTIF($Q78:$AA78,"?*")&gt;0,", ","")&amp;"opcion E deshabilitada","")</f>
        <v/>
      </c>
      <c r="AC78">
        <f>IF(AND($A78="Respuesta A/B/Ambas/Ninguna",TRIM($I78)&lt;&gt;"",NOT(OR(LEFT(TRIM($I78),1)="A",LEFT(TRIM($I78),1)="B",LEFT(TRIM($I78),1)="C",LEFT(TRIM($I78),1)="D"))),IF(COUNTIF($Q78:$AB78,"?*")&gt;0,", ","")&amp;"respuesta A-D","")</f>
        <v/>
      </c>
      <c r="AD78">
        <f>IF(AND($A78="Verdadero o Falso Complejas",OR(LEN(TRIM(SUBSTITUTE($D78,"1.","")))=0,LEN(TRIM(SUBSTITUTE($E78,"2.","")))=0,LEN(TRIM(SUBSTITUTE($F78,"3.","")))=0,LEN(TRIM(SUBSTITUTE($G78,"4.","")))=0)),IF(COUNTIF($Q78:$AC78,"?*")&gt;0,", ","")&amp;"incisos 1-4","")</f>
        <v/>
      </c>
      <c r="AE78">
        <f>IF(AND($A78="Verdadero o Falso Complejas",COUNTIF($H78:$H78,"?*")&gt;0),IF(COUNTIF($Q78:$AD78,"?*")&gt;0,", ","")&amp;"opcion E deshabilitada","")</f>
        <v/>
      </c>
      <c r="AF78">
        <f>IF(AND($A78="Verdadero o Falso Complejas",TRIM($I78)&lt;&gt;"",NOT(OR(LEFT(TRIM($I78),1)="A",LEFT(TRIM($I78),1)="B",LEFT(TRIM($I78),1)="C",LEFT(TRIM($I78),1)="D",LEFT(TRIM($I78),1)="E"))),IF(COUNTIF($Q78:$AE78,"?*")&gt;0,", ","")&amp;"respuesta A-E","")</f>
        <v/>
      </c>
      <c r="AG78">
        <f>IF(AND(OR($A78="Selección de la mejor respuesta",$A78="Subítem de caso o problema"),COUNTA($D78:$H78)&lt;5),IF(COUNTIF($Q78:$AF78,"?*")&gt;0,", ","")&amp;"incisos A-E","")</f>
        <v/>
      </c>
      <c r="AH78">
        <f>IF(AND(OR($A78="Selección de la mejor respuesta",$A78="Subítem de caso o problema"),TRIM($I78)&lt;&gt;"",NOT(OR(LEFT(TRIM($I78),1)="A",LEFT(TRIM($I78),1)="B",LEFT(TRIM($I78),1)="C",LEFT(TRIM($I78),1)="D",LEFT(TRIM($I78),1)="E"))),IF(COUNTIF($Q78:$AG78,"?*")&gt;0,", ","")&amp;"respuesta A-E","")</f>
        <v/>
      </c>
      <c r="AI78">
        <f>IF(AND(OR($A78="Ítems agrupados por caso clínico o problema",$A78="Opción de Emparejamiento Ampliado"),COUNTIF($D78:$H78,"?*")&gt;0),IF(COUNTIF($Q78:$AH78,"?*")&gt;0,", ","")&amp;"sin incisos","")</f>
        <v/>
      </c>
      <c r="AJ78">
        <f>IF(AND($A78="Emparejamiento Ampliado",COUNTIF($D78:$H78,"?*")&lt;2),IF(COUNTIF($Q78:$AI78,"?*")&gt;0,", ","")&amp;"minimo 2 claves","")</f>
        <v/>
      </c>
      <c r="AK78">
        <f>IF(AND($A78="Opción de Emparejamiento Ampliado",NOT(OR(LEFT(TRIM($I78),1)="A",LEFT(TRIM($I78),1)="B",LEFT(TRIM($I78),1)="C",LEFT(TRIM($I78),1)="D",LEFT(TRIM($I78),1)="E"))),IF(COUNTIF($Q78:$AJ78,"?*")&gt;0,", ","")&amp;"respuesta A-E","")</f>
        <v/>
      </c>
      <c r="AL78">
        <f>IF(TRIM($K78)="",IF(COUNTIF($M78:$M78,"?*")&gt;0,", ","")&amp;"parcial","")</f>
        <v/>
      </c>
      <c r="AM78">
        <f>IF(AND(TRIM($K78)&lt;&gt;"",TRIM($K78)&lt;&gt;VALIDACIONES!$G$1),IF(COUNTIF($M78:$N78,"?*")&gt;0,", ","")&amp;"parcial distinto a "&amp;VALIDACIONES!$G$1,"")</f>
        <v/>
      </c>
    </row>
    <row r="79" ht="20" customHeight="1">
      <c r="A79" s="371" t="n"/>
      <c r="B79" s="371" t="n"/>
      <c r="C79" s="371" t="n"/>
      <c r="D79" s="371">
        <f>IF($A79="Verdadero o Falso Simple","Verdadero",IF($A79="Respuesta A/B/Ambas/Ninguna","A. Si la primera es verdadera",IF($A79="Verdadero o Falso Complejas","1. ","")))</f>
        <v/>
      </c>
      <c r="E79" s="371">
        <f>IF($A79="Verdadero o Falso Simple","Falso",IF($A79="Respuesta A/B/Ambas/Ninguna","B. Si la segunda es verdadera",IF($A79="Verdadero o Falso Complejas","2. ","")))</f>
        <v/>
      </c>
      <c r="F79" s="371">
        <f>IF($A79="Respuesta A/B/Ambas/Ninguna","C. Si ambas son verdaderas",IF($A79="Verdadero o Falso Complejas","3. ",""))</f>
        <v/>
      </c>
      <c r="G79" s="371">
        <f>IF($A79="Respuesta A/B/Ambas/Ninguna","D. Si ninguna es verdadera",IF($A79="Verdadero o Falso Complejas","4. ",""))</f>
        <v/>
      </c>
      <c r="H79" s="371">
        <f>IF($A79="Verdadero o Falso Simple","",IF($A79="Respuesta A/B/Ambas/Ninguna","",IF($A79="Verdadero o Falso Complejas","","")))</f>
        <v/>
      </c>
      <c r="I79" s="371" t="n"/>
      <c r="J79" s="372" t="n"/>
      <c r="K79" s="372">
        <f>IF(TRIM($A79)="","",VALIDACIONES!$G$1)</f>
        <v/>
      </c>
      <c r="L79" s="371">
        <f>IF(TRIM($A79)="","",IF(OR($A79="Selección de la mejor respuesta",$A79="SELECCION_MEJOR_RESPUESTA",$A79="Subítem de caso o problema",$A79="SUBITEM_CASO"),IF(TRIM($C79)="","Completar enunciado",IF(SUMPRODUCT(--(LEN(TRIM($D79:$H79&amp;""))&gt;0))&lt;5,"Completar opciones A-E",IF(AND(TRIM($I79)&lt;&gt;"",OR(LEFT(TRIM($I79),1)="A",LEFT(TRIM($I79),1)="B",LEFT(TRIM($I79),1)="C",LEFT(TRIM($I79),1)="D",LEFT(TRIM($I79),1)="E")),"OK","Completar respuesta correcta A-E"))),IF(TRIM($A79)="","",IF(COUNTIF($Q79:$AJ79,"?*")=0,"OK","Falta revisar: "&amp;$Q79&amp;$R79&amp;$S79&amp;$T79&amp;$U79&amp;$V79&amp;$W79&amp;$X79&amp;$Y79&amp;$Z79&amp;$AA79&amp;$AB79&amp;$AC79&amp;$AD79&amp;$AE79&amp;$AF79&amp;$AG79&amp;$AH79&amp;$AI79&amp;$AJ79))))</f>
        <v/>
      </c>
      <c r="M79" s="373" t="n"/>
      <c r="Q79">
        <f>IF(TRIM($C79)="","enunciado","")</f>
        <v/>
      </c>
      <c r="R79">
        <f>IF(TRIM($K79)="",IF(COUNTIF($Q79:$Q79,"?*")&gt;0,", ","")&amp;"parcial","")</f>
        <v/>
      </c>
      <c r="S79">
        <f>IF(AND(TRIM($K79)&lt;&gt;"",TRIM($K79)&lt;&gt;VALIDACIONES!$G$1),IF(COUNTIF($Q79:$R79,"?*")&gt;0,", ","")&amp;"parcial distinto a "&amp;VALIDACIONES!$G$1,"")</f>
        <v/>
      </c>
      <c r="T79">
        <f>IF(AND(OR($A79="Ítems agrupados por caso clínico o problema",$A79="Subítem de caso o problema",$A79="Emparejamiento Ampliado",$A79="Opción de Emparejamiento Ampliado"),TRIM($B79)=""),IF(COUNTIF($Q79:$S79,"?*")&gt;0,", ","")&amp;"grupo","")</f>
        <v/>
      </c>
      <c r="U79">
        <f>IF(AND(OR($A79="Verdadero o Falso Simple",$A79="Respuesta A/B/Ambas/Ninguna",$A79="Verdadero o Falso Complejas",$A79="Selección de la mejor respuesta",$A79="Subítem de caso o problema",$A79="Opción de Emparejamiento Ampliado"),TRIM($I79)=""),IF(COUNTIF($Q79:$T79,"?*")&gt;0,", ","")&amp;"respuesta_correcta","")</f>
        <v/>
      </c>
      <c r="V79">
        <f>IF(AND(OR($A79="Verdadero o Falso Simple",$A79="Respuesta A/B/Ambas/Ninguna",$A79="Verdadero o Falso Complejas",$A79="Selección de la mejor respuesta",$A79="Subítem de caso o problema",$A79="Opción de Emparejamiento Ampliado"),TRIM($J79)=""),IF(COUNTIF($Q79:$U79,"?*")&gt;0,", ","")&amp;"dificultad","")</f>
        <v/>
      </c>
      <c r="W79">
        <f>IF(AND(OR($A79="Ítems agrupados por caso clínico o problema",$A79="Emparejamiento Ampliado"),TRIM($I79)&lt;&gt;""),IF(COUNTIF($Q79:$V79,"?*")&gt;0,", ","")&amp;"respuesta debe ir vacia","")</f>
        <v/>
      </c>
      <c r="X79">
        <f>IF(AND(OR($A79="Ítems agrupados por caso clínico o problema",$A79="Emparejamiento Ampliado"),TRIM($J79)&lt;&gt;""),IF(COUNTIF($Q79:$W79,"?*")&gt;0,", ","")&amp;"dificultad debe ir vacia","")</f>
        <v/>
      </c>
      <c r="Y79">
        <f>IF(AND($A79="Verdadero o Falso Simple",OR(COUNTIF($D79:$E79,"?*")&lt;2,COUNTIF($F79:$H79,"?*")&gt;0)),IF(COUNTIF($Q79:$X79,"?*")&gt;0,", ","")&amp;"incisos A-B","")</f>
        <v/>
      </c>
      <c r="Z79">
        <f>IF(AND($A79="Verdadero o Falso Simple",TRIM($I79)&lt;&gt;"",NOT(OR(LEFT(TRIM($I79),1)="A",LEFT(TRIM($I79),1)="B"))),IF(COUNTIF($Q79:$Y79,"?*")&gt;0,", ","")&amp;"respuesta A-B","")</f>
        <v/>
      </c>
      <c r="AA79">
        <f>IF(AND($A79="Respuesta A/B/Ambas/Ninguna",COUNTIF($D79:$G79,"?*")&lt;4),IF(COUNTIF($Q79:$Z79,"?*")&gt;0,", ","")&amp;"opciones A-D","")</f>
        <v/>
      </c>
      <c r="AB79">
        <f>IF(AND($A79="Respuesta A/B/Ambas/Ninguna",COUNTIF($H79:$H79,"?*")&gt;0),IF(COUNTIF($Q79:$AA79,"?*")&gt;0,", ","")&amp;"opcion E deshabilitada","")</f>
        <v/>
      </c>
      <c r="AC79">
        <f>IF(AND($A79="Respuesta A/B/Ambas/Ninguna",TRIM($I79)&lt;&gt;"",NOT(OR(LEFT(TRIM($I79),1)="A",LEFT(TRIM($I79),1)="B",LEFT(TRIM($I79),1)="C",LEFT(TRIM($I79),1)="D"))),IF(COUNTIF($Q79:$AB79,"?*")&gt;0,", ","")&amp;"respuesta A-D","")</f>
        <v/>
      </c>
      <c r="AD79">
        <f>IF(AND($A79="Verdadero o Falso Complejas",OR(LEN(TRIM(SUBSTITUTE($D79,"1.","")))=0,LEN(TRIM(SUBSTITUTE($E79,"2.","")))=0,LEN(TRIM(SUBSTITUTE($F79,"3.","")))=0,LEN(TRIM(SUBSTITUTE($G79,"4.","")))=0)),IF(COUNTIF($Q79:$AC79,"?*")&gt;0,", ","")&amp;"incisos 1-4","")</f>
        <v/>
      </c>
      <c r="AE79">
        <f>IF(AND($A79="Verdadero o Falso Complejas",COUNTIF($H79:$H79,"?*")&gt;0),IF(COUNTIF($Q79:$AD79,"?*")&gt;0,", ","")&amp;"opcion E deshabilitada","")</f>
        <v/>
      </c>
      <c r="AF79">
        <f>IF(AND($A79="Verdadero o Falso Complejas",TRIM($I79)&lt;&gt;"",NOT(OR(LEFT(TRIM($I79),1)="A",LEFT(TRIM($I79),1)="B",LEFT(TRIM($I79),1)="C",LEFT(TRIM($I79),1)="D",LEFT(TRIM($I79),1)="E"))),IF(COUNTIF($Q79:$AE79,"?*")&gt;0,", ","")&amp;"respuesta A-E","")</f>
        <v/>
      </c>
      <c r="AG79">
        <f>IF(AND(OR($A79="Selección de la mejor respuesta",$A79="Subítem de caso o problema"),COUNTA($D79:$H79)&lt;5),IF(COUNTIF($Q79:$AF79,"?*")&gt;0,", ","")&amp;"incisos A-E","")</f>
        <v/>
      </c>
      <c r="AH79">
        <f>IF(AND(OR($A79="Selección de la mejor respuesta",$A79="Subítem de caso o problema"),TRIM($I79)&lt;&gt;"",NOT(OR(LEFT(TRIM($I79),1)="A",LEFT(TRIM($I79),1)="B",LEFT(TRIM($I79),1)="C",LEFT(TRIM($I79),1)="D",LEFT(TRIM($I79),1)="E"))),IF(COUNTIF($Q79:$AG79,"?*")&gt;0,", ","")&amp;"respuesta A-E","")</f>
        <v/>
      </c>
      <c r="AI79">
        <f>IF(AND(OR($A79="Ítems agrupados por caso clínico o problema",$A79="Opción de Emparejamiento Ampliado"),COUNTIF($D79:$H79,"?*")&gt;0),IF(COUNTIF($Q79:$AH79,"?*")&gt;0,", ","")&amp;"sin incisos","")</f>
        <v/>
      </c>
      <c r="AJ79">
        <f>IF(AND($A79="Emparejamiento Ampliado",COUNTIF($D79:$H79,"?*")&lt;2),IF(COUNTIF($Q79:$AI79,"?*")&gt;0,", ","")&amp;"minimo 2 claves","")</f>
        <v/>
      </c>
      <c r="AK79">
        <f>IF(AND($A79="Opción de Emparejamiento Ampliado",NOT(OR(LEFT(TRIM($I79),1)="A",LEFT(TRIM($I79),1)="B",LEFT(TRIM($I79),1)="C",LEFT(TRIM($I79),1)="D",LEFT(TRIM($I79),1)="E"))),IF(COUNTIF($Q79:$AJ79,"?*")&gt;0,", ","")&amp;"respuesta A-E","")</f>
        <v/>
      </c>
      <c r="AL79">
        <f>IF(TRIM($K79)="",IF(COUNTIF($M79:$M79,"?*")&gt;0,", ","")&amp;"parcial","")</f>
        <v/>
      </c>
      <c r="AM79">
        <f>IF(AND(TRIM($K79)&lt;&gt;"",TRIM($K79)&lt;&gt;VALIDACIONES!$G$1),IF(COUNTIF($M79:$N79,"?*")&gt;0,", ","")&amp;"parcial distinto a "&amp;VALIDACIONES!$G$1,"")</f>
        <v/>
      </c>
    </row>
    <row r="80" ht="20" customHeight="1">
      <c r="A80" s="371" t="n"/>
      <c r="B80" s="371" t="n"/>
      <c r="C80" s="371" t="n"/>
      <c r="D80" s="371">
        <f>IF($A80="Verdadero o Falso Simple","Verdadero",IF($A80="Respuesta A/B/Ambas/Ninguna","A. Si la primera es verdadera",IF($A80="Verdadero o Falso Complejas","1. ","")))</f>
        <v/>
      </c>
      <c r="E80" s="371">
        <f>IF($A80="Verdadero o Falso Simple","Falso",IF($A80="Respuesta A/B/Ambas/Ninguna","B. Si la segunda es verdadera",IF($A80="Verdadero o Falso Complejas","2. ","")))</f>
        <v/>
      </c>
      <c r="F80" s="371">
        <f>IF($A80="Respuesta A/B/Ambas/Ninguna","C. Si ambas son verdaderas",IF($A80="Verdadero o Falso Complejas","3. ",""))</f>
        <v/>
      </c>
      <c r="G80" s="371">
        <f>IF($A80="Respuesta A/B/Ambas/Ninguna","D. Si ninguna es verdadera",IF($A80="Verdadero o Falso Complejas","4. ",""))</f>
        <v/>
      </c>
      <c r="H80" s="371">
        <f>IF($A80="Verdadero o Falso Simple","",IF($A80="Respuesta A/B/Ambas/Ninguna","",IF($A80="Verdadero o Falso Complejas","","")))</f>
        <v/>
      </c>
      <c r="I80" s="371" t="n"/>
      <c r="J80" s="372" t="n"/>
      <c r="K80" s="372">
        <f>IF(TRIM($A80)="","",VALIDACIONES!$G$1)</f>
        <v/>
      </c>
      <c r="L80" s="371">
        <f>IF(TRIM($A80)="","",IF(OR($A80="Selección de la mejor respuesta",$A80="SELECCION_MEJOR_RESPUESTA",$A80="Subítem de caso o problema",$A80="SUBITEM_CASO"),IF(TRIM($C80)="","Completar enunciado",IF(SUMPRODUCT(--(LEN(TRIM($D80:$H80&amp;""))&gt;0))&lt;5,"Completar opciones A-E",IF(AND(TRIM($I80)&lt;&gt;"",OR(LEFT(TRIM($I80),1)="A",LEFT(TRIM($I80),1)="B",LEFT(TRIM($I80),1)="C",LEFT(TRIM($I80),1)="D",LEFT(TRIM($I80),1)="E")),"OK","Completar respuesta correcta A-E"))),IF(TRIM($A80)="","",IF(COUNTIF($Q80:$AJ80,"?*")=0,"OK","Falta revisar: "&amp;$Q80&amp;$R80&amp;$S80&amp;$T80&amp;$U80&amp;$V80&amp;$W80&amp;$X80&amp;$Y80&amp;$Z80&amp;$AA80&amp;$AB80&amp;$AC80&amp;$AD80&amp;$AE80&amp;$AF80&amp;$AG80&amp;$AH80&amp;$AI80&amp;$AJ80))))</f>
        <v/>
      </c>
      <c r="M80" s="373" t="n"/>
      <c r="Q80">
        <f>IF(TRIM($C80)="","enunciado","")</f>
        <v/>
      </c>
      <c r="R80">
        <f>IF(TRIM($K80)="",IF(COUNTIF($Q80:$Q80,"?*")&gt;0,", ","")&amp;"parcial","")</f>
        <v/>
      </c>
      <c r="S80">
        <f>IF(AND(TRIM($K80)&lt;&gt;"",TRIM($K80)&lt;&gt;VALIDACIONES!$G$1),IF(COUNTIF($Q80:$R80,"?*")&gt;0,", ","")&amp;"parcial distinto a "&amp;VALIDACIONES!$G$1,"")</f>
        <v/>
      </c>
      <c r="T80">
        <f>IF(AND(OR($A80="Ítems agrupados por caso clínico o problema",$A80="Subítem de caso o problema",$A80="Emparejamiento Ampliado",$A80="Opción de Emparejamiento Ampliado"),TRIM($B80)=""),IF(COUNTIF($Q80:$S80,"?*")&gt;0,", ","")&amp;"grupo","")</f>
        <v/>
      </c>
      <c r="U80">
        <f>IF(AND(OR($A80="Verdadero o Falso Simple",$A80="Respuesta A/B/Ambas/Ninguna",$A80="Verdadero o Falso Complejas",$A80="Selección de la mejor respuesta",$A80="Subítem de caso o problema",$A80="Opción de Emparejamiento Ampliado"),TRIM($I80)=""),IF(COUNTIF($Q80:$T80,"?*")&gt;0,", ","")&amp;"respuesta_correcta","")</f>
        <v/>
      </c>
      <c r="V80">
        <f>IF(AND(OR($A80="Verdadero o Falso Simple",$A80="Respuesta A/B/Ambas/Ninguna",$A80="Verdadero o Falso Complejas",$A80="Selección de la mejor respuesta",$A80="Subítem de caso o problema",$A80="Opción de Emparejamiento Ampliado"),TRIM($J80)=""),IF(COUNTIF($Q80:$U80,"?*")&gt;0,", ","")&amp;"dificultad","")</f>
        <v/>
      </c>
      <c r="W80">
        <f>IF(AND(OR($A80="Ítems agrupados por caso clínico o problema",$A80="Emparejamiento Ampliado"),TRIM($I80)&lt;&gt;""),IF(COUNTIF($Q80:$V80,"?*")&gt;0,", ","")&amp;"respuesta debe ir vacia","")</f>
        <v/>
      </c>
      <c r="X80">
        <f>IF(AND(OR($A80="Ítems agrupados por caso clínico o problema",$A80="Emparejamiento Ampliado"),TRIM($J80)&lt;&gt;""),IF(COUNTIF($Q80:$W80,"?*")&gt;0,", ","")&amp;"dificultad debe ir vacia","")</f>
        <v/>
      </c>
      <c r="Y80">
        <f>IF(AND($A80="Verdadero o Falso Simple",OR(COUNTIF($D80:$E80,"?*")&lt;2,COUNTIF($F80:$H80,"?*")&gt;0)),IF(COUNTIF($Q80:$X80,"?*")&gt;0,", ","")&amp;"incisos A-B","")</f>
        <v/>
      </c>
      <c r="Z80">
        <f>IF(AND($A80="Verdadero o Falso Simple",TRIM($I80)&lt;&gt;"",NOT(OR(LEFT(TRIM($I80),1)="A",LEFT(TRIM($I80),1)="B"))),IF(COUNTIF($Q80:$Y80,"?*")&gt;0,", ","")&amp;"respuesta A-B","")</f>
        <v/>
      </c>
      <c r="AA80">
        <f>IF(AND($A80="Respuesta A/B/Ambas/Ninguna",COUNTIF($D80:$G80,"?*")&lt;4),IF(COUNTIF($Q80:$Z80,"?*")&gt;0,", ","")&amp;"opciones A-D","")</f>
        <v/>
      </c>
      <c r="AB80">
        <f>IF(AND($A80="Respuesta A/B/Ambas/Ninguna",COUNTIF($H80:$H80,"?*")&gt;0),IF(COUNTIF($Q80:$AA80,"?*")&gt;0,", ","")&amp;"opcion E deshabilitada","")</f>
        <v/>
      </c>
      <c r="AC80">
        <f>IF(AND($A80="Respuesta A/B/Ambas/Ninguna",TRIM($I80)&lt;&gt;"",NOT(OR(LEFT(TRIM($I80),1)="A",LEFT(TRIM($I80),1)="B",LEFT(TRIM($I80),1)="C",LEFT(TRIM($I80),1)="D"))),IF(COUNTIF($Q80:$AB80,"?*")&gt;0,", ","")&amp;"respuesta A-D","")</f>
        <v/>
      </c>
      <c r="AD80">
        <f>IF(AND($A80="Verdadero o Falso Complejas",OR(LEN(TRIM(SUBSTITUTE($D80,"1.","")))=0,LEN(TRIM(SUBSTITUTE($E80,"2.","")))=0,LEN(TRIM(SUBSTITUTE($F80,"3.","")))=0,LEN(TRIM(SUBSTITUTE($G80,"4.","")))=0)),IF(COUNTIF($Q80:$AC80,"?*")&gt;0,", ","")&amp;"incisos 1-4","")</f>
        <v/>
      </c>
      <c r="AE80">
        <f>IF(AND($A80="Verdadero o Falso Complejas",COUNTIF($H80:$H80,"?*")&gt;0),IF(COUNTIF($Q80:$AD80,"?*")&gt;0,", ","")&amp;"opcion E deshabilitada","")</f>
        <v/>
      </c>
      <c r="AF80">
        <f>IF(AND($A80="Verdadero o Falso Complejas",TRIM($I80)&lt;&gt;"",NOT(OR(LEFT(TRIM($I80),1)="A",LEFT(TRIM($I80),1)="B",LEFT(TRIM($I80),1)="C",LEFT(TRIM($I80),1)="D",LEFT(TRIM($I80),1)="E"))),IF(COUNTIF($Q80:$AE80,"?*")&gt;0,", ","")&amp;"respuesta A-E","")</f>
        <v/>
      </c>
      <c r="AG80">
        <f>IF(AND(OR($A80="Selección de la mejor respuesta",$A80="Subítem de caso o problema"),COUNTA($D80:$H80)&lt;5),IF(COUNTIF($Q80:$AF80,"?*")&gt;0,", ","")&amp;"incisos A-E","")</f>
        <v/>
      </c>
      <c r="AH80">
        <f>IF(AND(OR($A80="Selección de la mejor respuesta",$A80="Subítem de caso o problema"),TRIM($I80)&lt;&gt;"",NOT(OR(LEFT(TRIM($I80),1)="A",LEFT(TRIM($I80),1)="B",LEFT(TRIM($I80),1)="C",LEFT(TRIM($I80),1)="D",LEFT(TRIM($I80),1)="E"))),IF(COUNTIF($Q80:$AG80,"?*")&gt;0,", ","")&amp;"respuesta A-E","")</f>
        <v/>
      </c>
      <c r="AI80">
        <f>IF(AND(OR($A80="Ítems agrupados por caso clínico o problema",$A80="Opción de Emparejamiento Ampliado"),COUNTIF($D80:$H80,"?*")&gt;0),IF(COUNTIF($Q80:$AH80,"?*")&gt;0,", ","")&amp;"sin incisos","")</f>
        <v/>
      </c>
      <c r="AJ80">
        <f>IF(AND($A80="Emparejamiento Ampliado",COUNTIF($D80:$H80,"?*")&lt;2),IF(COUNTIF($Q80:$AI80,"?*")&gt;0,", ","")&amp;"minimo 2 claves","")</f>
        <v/>
      </c>
      <c r="AK80">
        <f>IF(AND($A80="Opción de Emparejamiento Ampliado",NOT(OR(LEFT(TRIM($I80),1)="A",LEFT(TRIM($I80),1)="B",LEFT(TRIM($I80),1)="C",LEFT(TRIM($I80),1)="D",LEFT(TRIM($I80),1)="E"))),IF(COUNTIF($Q80:$AJ80,"?*")&gt;0,", ","")&amp;"respuesta A-E","")</f>
        <v/>
      </c>
      <c r="AL80">
        <f>IF(TRIM($K80)="",IF(COUNTIF($M80:$M80,"?*")&gt;0,", ","")&amp;"parcial","")</f>
        <v/>
      </c>
      <c r="AM80">
        <f>IF(AND(TRIM($K80)&lt;&gt;"",TRIM($K80)&lt;&gt;VALIDACIONES!$G$1),IF(COUNTIF($M80:$N80,"?*")&gt;0,", ","")&amp;"parcial distinto a "&amp;VALIDACIONES!$G$1,"")</f>
        <v/>
      </c>
    </row>
    <row r="81" ht="20" customHeight="1">
      <c r="A81" s="371" t="n"/>
      <c r="B81" s="371" t="n"/>
      <c r="C81" s="371" t="n"/>
      <c r="D81" s="371">
        <f>IF($A81="Verdadero o Falso Simple","Verdadero",IF($A81="Respuesta A/B/Ambas/Ninguna","A. Si la primera es verdadera",IF($A81="Verdadero o Falso Complejas","1. ","")))</f>
        <v/>
      </c>
      <c r="E81" s="371">
        <f>IF($A81="Verdadero o Falso Simple","Falso",IF($A81="Respuesta A/B/Ambas/Ninguna","B. Si la segunda es verdadera",IF($A81="Verdadero o Falso Complejas","2. ","")))</f>
        <v/>
      </c>
      <c r="F81" s="371">
        <f>IF($A81="Respuesta A/B/Ambas/Ninguna","C. Si ambas son verdaderas",IF($A81="Verdadero o Falso Complejas","3. ",""))</f>
        <v/>
      </c>
      <c r="G81" s="371">
        <f>IF($A81="Respuesta A/B/Ambas/Ninguna","D. Si ninguna es verdadera",IF($A81="Verdadero o Falso Complejas","4. ",""))</f>
        <v/>
      </c>
      <c r="H81" s="371">
        <f>IF($A81="Verdadero o Falso Simple","",IF($A81="Respuesta A/B/Ambas/Ninguna","",IF($A81="Verdadero o Falso Complejas","","")))</f>
        <v/>
      </c>
      <c r="I81" s="371" t="n"/>
      <c r="J81" s="372" t="n"/>
      <c r="K81" s="372">
        <f>IF(TRIM($A81)="","",VALIDACIONES!$G$1)</f>
        <v/>
      </c>
      <c r="L81" s="371">
        <f>IF(TRIM($A81)="","",IF(OR($A81="Selección de la mejor respuesta",$A81="SELECCION_MEJOR_RESPUESTA",$A81="Subítem de caso o problema",$A81="SUBITEM_CASO"),IF(TRIM($C81)="","Completar enunciado",IF(SUMPRODUCT(--(LEN(TRIM($D81:$H81&amp;""))&gt;0))&lt;5,"Completar opciones A-E",IF(AND(TRIM($I81)&lt;&gt;"",OR(LEFT(TRIM($I81),1)="A",LEFT(TRIM($I81),1)="B",LEFT(TRIM($I81),1)="C",LEFT(TRIM($I81),1)="D",LEFT(TRIM($I81),1)="E")),"OK","Completar respuesta correcta A-E"))),IF(TRIM($A81)="","",IF(COUNTIF($Q81:$AJ81,"?*")=0,"OK","Falta revisar: "&amp;$Q81&amp;$R81&amp;$S81&amp;$T81&amp;$U81&amp;$V81&amp;$W81&amp;$X81&amp;$Y81&amp;$Z81&amp;$AA81&amp;$AB81&amp;$AC81&amp;$AD81&amp;$AE81&amp;$AF81&amp;$AG81&amp;$AH81&amp;$AI81&amp;$AJ81))))</f>
        <v/>
      </c>
      <c r="M81" s="373" t="n"/>
      <c r="Q81">
        <f>IF(TRIM($C81)="","enunciado","")</f>
        <v/>
      </c>
      <c r="R81">
        <f>IF(TRIM($K81)="",IF(COUNTIF($Q81:$Q81,"?*")&gt;0,", ","")&amp;"parcial","")</f>
        <v/>
      </c>
      <c r="S81">
        <f>IF(AND(TRIM($K81)&lt;&gt;"",TRIM($K81)&lt;&gt;VALIDACIONES!$G$1),IF(COUNTIF($Q81:$R81,"?*")&gt;0,", ","")&amp;"parcial distinto a "&amp;VALIDACIONES!$G$1,"")</f>
        <v/>
      </c>
      <c r="T81">
        <f>IF(AND(OR($A81="Ítems agrupados por caso clínico o problema",$A81="Subítem de caso o problema",$A81="Emparejamiento Ampliado",$A81="Opción de Emparejamiento Ampliado"),TRIM($B81)=""),IF(COUNTIF($Q81:$S81,"?*")&gt;0,", ","")&amp;"grupo","")</f>
        <v/>
      </c>
      <c r="U81">
        <f>IF(AND(OR($A81="Verdadero o Falso Simple",$A81="Respuesta A/B/Ambas/Ninguna",$A81="Verdadero o Falso Complejas",$A81="Selección de la mejor respuesta",$A81="Subítem de caso o problema",$A81="Opción de Emparejamiento Ampliado"),TRIM($I81)=""),IF(COUNTIF($Q81:$T81,"?*")&gt;0,", ","")&amp;"respuesta_correcta","")</f>
        <v/>
      </c>
      <c r="V81">
        <f>IF(AND(OR($A81="Verdadero o Falso Simple",$A81="Respuesta A/B/Ambas/Ninguna",$A81="Verdadero o Falso Complejas",$A81="Selección de la mejor respuesta",$A81="Subítem de caso o problema",$A81="Opción de Emparejamiento Ampliado"),TRIM($J81)=""),IF(COUNTIF($Q81:$U81,"?*")&gt;0,", ","")&amp;"dificultad","")</f>
        <v/>
      </c>
      <c r="W81">
        <f>IF(AND(OR($A81="Ítems agrupados por caso clínico o problema",$A81="Emparejamiento Ampliado"),TRIM($I81)&lt;&gt;""),IF(COUNTIF($Q81:$V81,"?*")&gt;0,", ","")&amp;"respuesta debe ir vacia","")</f>
        <v/>
      </c>
      <c r="X81">
        <f>IF(AND(OR($A81="Ítems agrupados por caso clínico o problema",$A81="Emparejamiento Ampliado"),TRIM($J81)&lt;&gt;""),IF(COUNTIF($Q81:$W81,"?*")&gt;0,", ","")&amp;"dificultad debe ir vacia","")</f>
        <v/>
      </c>
      <c r="Y81">
        <f>IF(AND($A81="Verdadero o Falso Simple",OR(COUNTIF($D81:$E81,"?*")&lt;2,COUNTIF($F81:$H81,"?*")&gt;0)),IF(COUNTIF($Q81:$X81,"?*")&gt;0,", ","")&amp;"incisos A-B","")</f>
        <v/>
      </c>
      <c r="Z81">
        <f>IF(AND($A81="Verdadero o Falso Simple",TRIM($I81)&lt;&gt;"",NOT(OR(LEFT(TRIM($I81),1)="A",LEFT(TRIM($I81),1)="B"))),IF(COUNTIF($Q81:$Y81,"?*")&gt;0,", ","")&amp;"respuesta A-B","")</f>
        <v/>
      </c>
      <c r="AA81">
        <f>IF(AND($A81="Respuesta A/B/Ambas/Ninguna",COUNTIF($D81:$G81,"?*")&lt;4),IF(COUNTIF($Q81:$Z81,"?*")&gt;0,", ","")&amp;"opciones A-D","")</f>
        <v/>
      </c>
      <c r="AB81">
        <f>IF(AND($A81="Respuesta A/B/Ambas/Ninguna",COUNTIF($H81:$H81,"?*")&gt;0),IF(COUNTIF($Q81:$AA81,"?*")&gt;0,", ","")&amp;"opcion E deshabilitada","")</f>
        <v/>
      </c>
      <c r="AC81">
        <f>IF(AND($A81="Respuesta A/B/Ambas/Ninguna",TRIM($I81)&lt;&gt;"",NOT(OR(LEFT(TRIM($I81),1)="A",LEFT(TRIM($I81),1)="B",LEFT(TRIM($I81),1)="C",LEFT(TRIM($I81),1)="D"))),IF(COUNTIF($Q81:$AB81,"?*")&gt;0,", ","")&amp;"respuesta A-D","")</f>
        <v/>
      </c>
      <c r="AD81">
        <f>IF(AND($A81="Verdadero o Falso Complejas",OR(LEN(TRIM(SUBSTITUTE($D81,"1.","")))=0,LEN(TRIM(SUBSTITUTE($E81,"2.","")))=0,LEN(TRIM(SUBSTITUTE($F81,"3.","")))=0,LEN(TRIM(SUBSTITUTE($G81,"4.","")))=0)),IF(COUNTIF($Q81:$AC81,"?*")&gt;0,", ","")&amp;"incisos 1-4","")</f>
        <v/>
      </c>
      <c r="AE81">
        <f>IF(AND($A81="Verdadero o Falso Complejas",COUNTIF($H81:$H81,"?*")&gt;0),IF(COUNTIF($Q81:$AD81,"?*")&gt;0,", ","")&amp;"opcion E deshabilitada","")</f>
        <v/>
      </c>
      <c r="AF81">
        <f>IF(AND($A81="Verdadero o Falso Complejas",TRIM($I81)&lt;&gt;"",NOT(OR(LEFT(TRIM($I81),1)="A",LEFT(TRIM($I81),1)="B",LEFT(TRIM($I81),1)="C",LEFT(TRIM($I81),1)="D",LEFT(TRIM($I81),1)="E"))),IF(COUNTIF($Q81:$AE81,"?*")&gt;0,", ","")&amp;"respuesta A-E","")</f>
        <v/>
      </c>
      <c r="AG81">
        <f>IF(AND(OR($A81="Selección de la mejor respuesta",$A81="Subítem de caso o problema"),COUNTA($D81:$H81)&lt;5),IF(COUNTIF($Q81:$AF81,"?*")&gt;0,", ","")&amp;"incisos A-E","")</f>
        <v/>
      </c>
      <c r="AH81">
        <f>IF(AND(OR($A81="Selección de la mejor respuesta",$A81="Subítem de caso o problema"),TRIM($I81)&lt;&gt;"",NOT(OR(LEFT(TRIM($I81),1)="A",LEFT(TRIM($I81),1)="B",LEFT(TRIM($I81),1)="C",LEFT(TRIM($I81),1)="D",LEFT(TRIM($I81),1)="E"))),IF(COUNTIF($Q81:$AG81,"?*")&gt;0,", ","")&amp;"respuesta A-E","")</f>
        <v/>
      </c>
      <c r="AI81">
        <f>IF(AND(OR($A81="Ítems agrupados por caso clínico o problema",$A81="Opción de Emparejamiento Ampliado"),COUNTIF($D81:$H81,"?*")&gt;0),IF(COUNTIF($Q81:$AH81,"?*")&gt;0,", ","")&amp;"sin incisos","")</f>
        <v/>
      </c>
      <c r="AJ81">
        <f>IF(AND($A81="Emparejamiento Ampliado",COUNTIF($D81:$H81,"?*")&lt;2),IF(COUNTIF($Q81:$AI81,"?*")&gt;0,", ","")&amp;"minimo 2 claves","")</f>
        <v/>
      </c>
      <c r="AK81">
        <f>IF(AND($A81="Opción de Emparejamiento Ampliado",NOT(OR(LEFT(TRIM($I81),1)="A",LEFT(TRIM($I81),1)="B",LEFT(TRIM($I81),1)="C",LEFT(TRIM($I81),1)="D",LEFT(TRIM($I81),1)="E"))),IF(COUNTIF($Q81:$AJ81,"?*")&gt;0,", ","")&amp;"respuesta A-E","")</f>
        <v/>
      </c>
      <c r="AL81">
        <f>IF(TRIM($K81)="",IF(COUNTIF($M81:$M81,"?*")&gt;0,", ","")&amp;"parcial","")</f>
        <v/>
      </c>
      <c r="AM81">
        <f>IF(AND(TRIM($K81)&lt;&gt;"",TRIM($K81)&lt;&gt;VALIDACIONES!$G$1),IF(COUNTIF($M81:$N81,"?*")&gt;0,", ","")&amp;"parcial distinto a "&amp;VALIDACIONES!$G$1,"")</f>
        <v/>
      </c>
    </row>
    <row r="82" ht="20" customHeight="1">
      <c r="A82" s="371" t="n"/>
      <c r="B82" s="371" t="n"/>
      <c r="C82" s="371" t="n"/>
      <c r="D82" s="371">
        <f>IF($A82="Verdadero o Falso Simple","Verdadero",IF($A82="Respuesta A/B/Ambas/Ninguna","A. Si la primera es verdadera",IF($A82="Verdadero o Falso Complejas","1. ","")))</f>
        <v/>
      </c>
      <c r="E82" s="371">
        <f>IF($A82="Verdadero o Falso Simple","Falso",IF($A82="Respuesta A/B/Ambas/Ninguna","B. Si la segunda es verdadera",IF($A82="Verdadero o Falso Complejas","2. ","")))</f>
        <v/>
      </c>
      <c r="F82" s="371">
        <f>IF($A82="Respuesta A/B/Ambas/Ninguna","C. Si ambas son verdaderas",IF($A82="Verdadero o Falso Complejas","3. ",""))</f>
        <v/>
      </c>
      <c r="G82" s="371">
        <f>IF($A82="Respuesta A/B/Ambas/Ninguna","D. Si ninguna es verdadera",IF($A82="Verdadero o Falso Complejas","4. ",""))</f>
        <v/>
      </c>
      <c r="H82" s="371">
        <f>IF($A82="Verdadero o Falso Simple","",IF($A82="Respuesta A/B/Ambas/Ninguna","",IF($A82="Verdadero o Falso Complejas","","")))</f>
        <v/>
      </c>
      <c r="I82" s="371" t="n"/>
      <c r="J82" s="372" t="n"/>
      <c r="K82" s="372">
        <f>IF(TRIM($A82)="","",VALIDACIONES!$G$1)</f>
        <v/>
      </c>
      <c r="L82" s="371">
        <f>IF(TRIM($A82)="","",IF(OR($A82="Selección de la mejor respuesta",$A82="SELECCION_MEJOR_RESPUESTA",$A82="Subítem de caso o problema",$A82="SUBITEM_CASO"),IF(TRIM($C82)="","Completar enunciado",IF(SUMPRODUCT(--(LEN(TRIM($D82:$H82&amp;""))&gt;0))&lt;5,"Completar opciones A-E",IF(AND(TRIM($I82)&lt;&gt;"",OR(LEFT(TRIM($I82),1)="A",LEFT(TRIM($I82),1)="B",LEFT(TRIM($I82),1)="C",LEFT(TRIM($I82),1)="D",LEFT(TRIM($I82),1)="E")),"OK","Completar respuesta correcta A-E"))),IF(TRIM($A82)="","",IF(COUNTIF($Q82:$AJ82,"?*")=0,"OK","Falta revisar: "&amp;$Q82&amp;$R82&amp;$S82&amp;$T82&amp;$U82&amp;$V82&amp;$W82&amp;$X82&amp;$Y82&amp;$Z82&amp;$AA82&amp;$AB82&amp;$AC82&amp;$AD82&amp;$AE82&amp;$AF82&amp;$AG82&amp;$AH82&amp;$AI82&amp;$AJ82))))</f>
        <v/>
      </c>
      <c r="M82" s="373" t="n"/>
      <c r="Q82">
        <f>IF(TRIM($C82)="","enunciado","")</f>
        <v/>
      </c>
      <c r="R82">
        <f>IF(TRIM($K82)="",IF(COUNTIF($Q82:$Q82,"?*")&gt;0,", ","")&amp;"parcial","")</f>
        <v/>
      </c>
      <c r="S82">
        <f>IF(AND(TRIM($K82)&lt;&gt;"",TRIM($K82)&lt;&gt;VALIDACIONES!$G$1),IF(COUNTIF($Q82:$R82,"?*")&gt;0,", ","")&amp;"parcial distinto a "&amp;VALIDACIONES!$G$1,"")</f>
        <v/>
      </c>
      <c r="T82">
        <f>IF(AND(OR($A82="Ítems agrupados por caso clínico o problema",$A82="Subítem de caso o problema",$A82="Emparejamiento Ampliado",$A82="Opción de Emparejamiento Ampliado"),TRIM($B82)=""),IF(COUNTIF($Q82:$S82,"?*")&gt;0,", ","")&amp;"grupo","")</f>
        <v/>
      </c>
      <c r="U82">
        <f>IF(AND(OR($A82="Verdadero o Falso Simple",$A82="Respuesta A/B/Ambas/Ninguna",$A82="Verdadero o Falso Complejas",$A82="Selección de la mejor respuesta",$A82="Subítem de caso o problema",$A82="Opción de Emparejamiento Ampliado"),TRIM($I82)=""),IF(COUNTIF($Q82:$T82,"?*")&gt;0,", ","")&amp;"respuesta_correcta","")</f>
        <v/>
      </c>
      <c r="V82">
        <f>IF(AND(OR($A82="Verdadero o Falso Simple",$A82="Respuesta A/B/Ambas/Ninguna",$A82="Verdadero o Falso Complejas",$A82="Selección de la mejor respuesta",$A82="Subítem de caso o problema",$A82="Opción de Emparejamiento Ampliado"),TRIM($J82)=""),IF(COUNTIF($Q82:$U82,"?*")&gt;0,", ","")&amp;"dificultad","")</f>
        <v/>
      </c>
      <c r="W82">
        <f>IF(AND(OR($A82="Ítems agrupados por caso clínico o problema",$A82="Emparejamiento Ampliado"),TRIM($I82)&lt;&gt;""),IF(COUNTIF($Q82:$V82,"?*")&gt;0,", ","")&amp;"respuesta debe ir vacia","")</f>
        <v/>
      </c>
      <c r="X82">
        <f>IF(AND(OR($A82="Ítems agrupados por caso clínico o problema",$A82="Emparejamiento Ampliado"),TRIM($J82)&lt;&gt;""),IF(COUNTIF($Q82:$W82,"?*")&gt;0,", ","")&amp;"dificultad debe ir vacia","")</f>
        <v/>
      </c>
      <c r="Y82">
        <f>IF(AND($A82="Verdadero o Falso Simple",OR(COUNTIF($D82:$E82,"?*")&lt;2,COUNTIF($F82:$H82,"?*")&gt;0)),IF(COUNTIF($Q82:$X82,"?*")&gt;0,", ","")&amp;"incisos A-B","")</f>
        <v/>
      </c>
      <c r="Z82">
        <f>IF(AND($A82="Verdadero o Falso Simple",TRIM($I82)&lt;&gt;"",NOT(OR(LEFT(TRIM($I82),1)="A",LEFT(TRIM($I82),1)="B"))),IF(COUNTIF($Q82:$Y82,"?*")&gt;0,", ","")&amp;"respuesta A-B","")</f>
        <v/>
      </c>
      <c r="AA82">
        <f>IF(AND($A82="Respuesta A/B/Ambas/Ninguna",COUNTIF($D82:$G82,"?*")&lt;4),IF(COUNTIF($Q82:$Z82,"?*")&gt;0,", ","")&amp;"opciones A-D","")</f>
        <v/>
      </c>
      <c r="AB82">
        <f>IF(AND($A82="Respuesta A/B/Ambas/Ninguna",COUNTIF($H82:$H82,"?*")&gt;0),IF(COUNTIF($Q82:$AA82,"?*")&gt;0,", ","")&amp;"opcion E deshabilitada","")</f>
        <v/>
      </c>
      <c r="AC82">
        <f>IF(AND($A82="Respuesta A/B/Ambas/Ninguna",TRIM($I82)&lt;&gt;"",NOT(OR(LEFT(TRIM($I82),1)="A",LEFT(TRIM($I82),1)="B",LEFT(TRIM($I82),1)="C",LEFT(TRIM($I82),1)="D"))),IF(COUNTIF($Q82:$AB82,"?*")&gt;0,", ","")&amp;"respuesta A-D","")</f>
        <v/>
      </c>
      <c r="AD82">
        <f>IF(AND($A82="Verdadero o Falso Complejas",OR(LEN(TRIM(SUBSTITUTE($D82,"1.","")))=0,LEN(TRIM(SUBSTITUTE($E82,"2.","")))=0,LEN(TRIM(SUBSTITUTE($F82,"3.","")))=0,LEN(TRIM(SUBSTITUTE($G82,"4.","")))=0)),IF(COUNTIF($Q82:$AC82,"?*")&gt;0,", ","")&amp;"incisos 1-4","")</f>
        <v/>
      </c>
      <c r="AE82">
        <f>IF(AND($A82="Verdadero o Falso Complejas",COUNTIF($H82:$H82,"?*")&gt;0),IF(COUNTIF($Q82:$AD82,"?*")&gt;0,", ","")&amp;"opcion E deshabilitada","")</f>
        <v/>
      </c>
      <c r="AF82">
        <f>IF(AND($A82="Verdadero o Falso Complejas",TRIM($I82)&lt;&gt;"",NOT(OR(LEFT(TRIM($I82),1)="A",LEFT(TRIM($I82),1)="B",LEFT(TRIM($I82),1)="C",LEFT(TRIM($I82),1)="D",LEFT(TRIM($I82),1)="E"))),IF(COUNTIF($Q82:$AE82,"?*")&gt;0,", ","")&amp;"respuesta A-E","")</f>
        <v/>
      </c>
      <c r="AG82">
        <f>IF(AND(OR($A82="Selección de la mejor respuesta",$A82="Subítem de caso o problema"),COUNTA($D82:$H82)&lt;5),IF(COUNTIF($Q82:$AF82,"?*")&gt;0,", ","")&amp;"incisos A-E","")</f>
        <v/>
      </c>
      <c r="AH82">
        <f>IF(AND(OR($A82="Selección de la mejor respuesta",$A82="Subítem de caso o problema"),TRIM($I82)&lt;&gt;"",NOT(OR(LEFT(TRIM($I82),1)="A",LEFT(TRIM($I82),1)="B",LEFT(TRIM($I82),1)="C",LEFT(TRIM($I82),1)="D",LEFT(TRIM($I82),1)="E"))),IF(COUNTIF($Q82:$AG82,"?*")&gt;0,", ","")&amp;"respuesta A-E","")</f>
        <v/>
      </c>
      <c r="AI82">
        <f>IF(AND(OR($A82="Ítems agrupados por caso clínico o problema",$A82="Opción de Emparejamiento Ampliado"),COUNTIF($D82:$H82,"?*")&gt;0),IF(COUNTIF($Q82:$AH82,"?*")&gt;0,", ","")&amp;"sin incisos","")</f>
        <v/>
      </c>
      <c r="AJ82">
        <f>IF(AND($A82="Emparejamiento Ampliado",COUNTIF($D82:$H82,"?*")&lt;2),IF(COUNTIF($Q82:$AI82,"?*")&gt;0,", ","")&amp;"minimo 2 claves","")</f>
        <v/>
      </c>
      <c r="AK82">
        <f>IF(AND($A82="Opción de Emparejamiento Ampliado",NOT(OR(LEFT(TRIM($I82),1)="A",LEFT(TRIM($I82),1)="B",LEFT(TRIM($I82),1)="C",LEFT(TRIM($I82),1)="D",LEFT(TRIM($I82),1)="E"))),IF(COUNTIF($Q82:$AJ82,"?*")&gt;0,", ","")&amp;"respuesta A-E","")</f>
        <v/>
      </c>
      <c r="AL82">
        <f>IF(TRIM($K82)="",IF(COUNTIF($M82:$M82,"?*")&gt;0,", ","")&amp;"parcial","")</f>
        <v/>
      </c>
      <c r="AM82">
        <f>IF(AND(TRIM($K82)&lt;&gt;"",TRIM($K82)&lt;&gt;VALIDACIONES!$G$1),IF(COUNTIF($M82:$N82,"?*")&gt;0,", ","")&amp;"parcial distinto a "&amp;VALIDACIONES!$G$1,"")</f>
        <v/>
      </c>
    </row>
    <row r="83" ht="20" customHeight="1">
      <c r="A83" s="371" t="n"/>
      <c r="B83" s="371" t="n"/>
      <c r="C83" s="371" t="n"/>
      <c r="D83" s="371">
        <f>IF($A83="Verdadero o Falso Simple","Verdadero",IF($A83="Respuesta A/B/Ambas/Ninguna","A. Si la primera es verdadera",IF($A83="Verdadero o Falso Complejas","1. ","")))</f>
        <v/>
      </c>
      <c r="E83" s="371">
        <f>IF($A83="Verdadero o Falso Simple","Falso",IF($A83="Respuesta A/B/Ambas/Ninguna","B. Si la segunda es verdadera",IF($A83="Verdadero o Falso Complejas","2. ","")))</f>
        <v/>
      </c>
      <c r="F83" s="371">
        <f>IF($A83="Respuesta A/B/Ambas/Ninguna","C. Si ambas son verdaderas",IF($A83="Verdadero o Falso Complejas","3. ",""))</f>
        <v/>
      </c>
      <c r="G83" s="371">
        <f>IF($A83="Respuesta A/B/Ambas/Ninguna","D. Si ninguna es verdadera",IF($A83="Verdadero o Falso Complejas","4. ",""))</f>
        <v/>
      </c>
      <c r="H83" s="371">
        <f>IF($A83="Verdadero o Falso Simple","",IF($A83="Respuesta A/B/Ambas/Ninguna","",IF($A83="Verdadero o Falso Complejas","","")))</f>
        <v/>
      </c>
      <c r="I83" s="371" t="n"/>
      <c r="J83" s="372" t="n"/>
      <c r="K83" s="372">
        <f>IF(TRIM($A83)="","",VALIDACIONES!$G$1)</f>
        <v/>
      </c>
      <c r="L83" s="371">
        <f>IF(TRIM($A83)="","",IF(OR($A83="Selección de la mejor respuesta",$A83="SELECCION_MEJOR_RESPUESTA",$A83="Subítem de caso o problema",$A83="SUBITEM_CASO"),IF(TRIM($C83)="","Completar enunciado",IF(SUMPRODUCT(--(LEN(TRIM($D83:$H83&amp;""))&gt;0))&lt;5,"Completar opciones A-E",IF(AND(TRIM($I83)&lt;&gt;"",OR(LEFT(TRIM($I83),1)="A",LEFT(TRIM($I83),1)="B",LEFT(TRIM($I83),1)="C",LEFT(TRIM($I83),1)="D",LEFT(TRIM($I83),1)="E")),"OK","Completar respuesta correcta A-E"))),IF(TRIM($A83)="","",IF(COUNTIF($Q83:$AJ83,"?*")=0,"OK","Falta revisar: "&amp;$Q83&amp;$R83&amp;$S83&amp;$T83&amp;$U83&amp;$V83&amp;$W83&amp;$X83&amp;$Y83&amp;$Z83&amp;$AA83&amp;$AB83&amp;$AC83&amp;$AD83&amp;$AE83&amp;$AF83&amp;$AG83&amp;$AH83&amp;$AI83&amp;$AJ83))))</f>
        <v/>
      </c>
      <c r="M83" s="373" t="n"/>
      <c r="Q83">
        <f>IF(TRIM($C83)="","enunciado","")</f>
        <v/>
      </c>
      <c r="R83">
        <f>IF(TRIM($K83)="",IF(COUNTIF($Q83:$Q83,"?*")&gt;0,", ","")&amp;"parcial","")</f>
        <v/>
      </c>
      <c r="S83">
        <f>IF(AND(TRIM($K83)&lt;&gt;"",TRIM($K83)&lt;&gt;VALIDACIONES!$G$1),IF(COUNTIF($Q83:$R83,"?*")&gt;0,", ","")&amp;"parcial distinto a "&amp;VALIDACIONES!$G$1,"")</f>
        <v/>
      </c>
      <c r="T83">
        <f>IF(AND(OR($A83="Ítems agrupados por caso clínico o problema",$A83="Subítem de caso o problema",$A83="Emparejamiento Ampliado",$A83="Opción de Emparejamiento Ampliado"),TRIM($B83)=""),IF(COUNTIF($Q83:$S83,"?*")&gt;0,", ","")&amp;"grupo","")</f>
        <v/>
      </c>
      <c r="U83">
        <f>IF(AND(OR($A83="Verdadero o Falso Simple",$A83="Respuesta A/B/Ambas/Ninguna",$A83="Verdadero o Falso Complejas",$A83="Selección de la mejor respuesta",$A83="Subítem de caso o problema",$A83="Opción de Emparejamiento Ampliado"),TRIM($I83)=""),IF(COUNTIF($Q83:$T83,"?*")&gt;0,", ","")&amp;"respuesta_correcta","")</f>
        <v/>
      </c>
      <c r="V83">
        <f>IF(AND(OR($A83="Verdadero o Falso Simple",$A83="Respuesta A/B/Ambas/Ninguna",$A83="Verdadero o Falso Complejas",$A83="Selección de la mejor respuesta",$A83="Subítem de caso o problema",$A83="Opción de Emparejamiento Ampliado"),TRIM($J83)=""),IF(COUNTIF($Q83:$U83,"?*")&gt;0,", ","")&amp;"dificultad","")</f>
        <v/>
      </c>
      <c r="W83">
        <f>IF(AND(OR($A83="Ítems agrupados por caso clínico o problema",$A83="Emparejamiento Ampliado"),TRIM($I83)&lt;&gt;""),IF(COUNTIF($Q83:$V83,"?*")&gt;0,", ","")&amp;"respuesta debe ir vacia","")</f>
        <v/>
      </c>
      <c r="X83">
        <f>IF(AND(OR($A83="Ítems agrupados por caso clínico o problema",$A83="Emparejamiento Ampliado"),TRIM($J83)&lt;&gt;""),IF(COUNTIF($Q83:$W83,"?*")&gt;0,", ","")&amp;"dificultad debe ir vacia","")</f>
        <v/>
      </c>
      <c r="Y83">
        <f>IF(AND($A83="Verdadero o Falso Simple",OR(COUNTIF($D83:$E83,"?*")&lt;2,COUNTIF($F83:$H83,"?*")&gt;0)),IF(COUNTIF($Q83:$X83,"?*")&gt;0,", ","")&amp;"incisos A-B","")</f>
        <v/>
      </c>
      <c r="Z83">
        <f>IF(AND($A83="Verdadero o Falso Simple",TRIM($I83)&lt;&gt;"",NOT(OR(LEFT(TRIM($I83),1)="A",LEFT(TRIM($I83),1)="B"))),IF(COUNTIF($Q83:$Y83,"?*")&gt;0,", ","")&amp;"respuesta A-B","")</f>
        <v/>
      </c>
      <c r="AA83">
        <f>IF(AND($A83="Respuesta A/B/Ambas/Ninguna",COUNTIF($D83:$G83,"?*")&lt;4),IF(COUNTIF($Q83:$Z83,"?*")&gt;0,", ","")&amp;"opciones A-D","")</f>
        <v/>
      </c>
      <c r="AB83">
        <f>IF(AND($A83="Respuesta A/B/Ambas/Ninguna",COUNTIF($H83:$H83,"?*")&gt;0),IF(COUNTIF($Q83:$AA83,"?*")&gt;0,", ","")&amp;"opcion E deshabilitada","")</f>
        <v/>
      </c>
      <c r="AC83">
        <f>IF(AND($A83="Respuesta A/B/Ambas/Ninguna",TRIM($I83)&lt;&gt;"",NOT(OR(LEFT(TRIM($I83),1)="A",LEFT(TRIM($I83),1)="B",LEFT(TRIM($I83),1)="C",LEFT(TRIM($I83),1)="D"))),IF(COUNTIF($Q83:$AB83,"?*")&gt;0,", ","")&amp;"respuesta A-D","")</f>
        <v/>
      </c>
      <c r="AD83">
        <f>IF(AND($A83="Verdadero o Falso Complejas",OR(LEN(TRIM(SUBSTITUTE($D83,"1.","")))=0,LEN(TRIM(SUBSTITUTE($E83,"2.","")))=0,LEN(TRIM(SUBSTITUTE($F83,"3.","")))=0,LEN(TRIM(SUBSTITUTE($G83,"4.","")))=0)),IF(COUNTIF($Q83:$AC83,"?*")&gt;0,", ","")&amp;"incisos 1-4","")</f>
        <v/>
      </c>
      <c r="AE83">
        <f>IF(AND($A83="Verdadero o Falso Complejas",COUNTIF($H83:$H83,"?*")&gt;0),IF(COUNTIF($Q83:$AD83,"?*")&gt;0,", ","")&amp;"opcion E deshabilitada","")</f>
        <v/>
      </c>
      <c r="AF83">
        <f>IF(AND($A83="Verdadero o Falso Complejas",TRIM($I83)&lt;&gt;"",NOT(OR(LEFT(TRIM($I83),1)="A",LEFT(TRIM($I83),1)="B",LEFT(TRIM($I83),1)="C",LEFT(TRIM($I83),1)="D",LEFT(TRIM($I83),1)="E"))),IF(COUNTIF($Q83:$AE83,"?*")&gt;0,", ","")&amp;"respuesta A-E","")</f>
        <v/>
      </c>
      <c r="AG83">
        <f>IF(AND(OR($A83="Selección de la mejor respuesta",$A83="Subítem de caso o problema"),COUNTA($D83:$H83)&lt;5),IF(COUNTIF($Q83:$AF83,"?*")&gt;0,", ","")&amp;"incisos A-E","")</f>
        <v/>
      </c>
      <c r="AH83">
        <f>IF(AND(OR($A83="Selección de la mejor respuesta",$A83="Subítem de caso o problema"),TRIM($I83)&lt;&gt;"",NOT(OR(LEFT(TRIM($I83),1)="A",LEFT(TRIM($I83),1)="B",LEFT(TRIM($I83),1)="C",LEFT(TRIM($I83),1)="D",LEFT(TRIM($I83),1)="E"))),IF(COUNTIF($Q83:$AG83,"?*")&gt;0,", ","")&amp;"respuesta A-E","")</f>
        <v/>
      </c>
      <c r="AI83">
        <f>IF(AND(OR($A83="Ítems agrupados por caso clínico o problema",$A83="Opción de Emparejamiento Ampliado"),COUNTIF($D83:$H83,"?*")&gt;0),IF(COUNTIF($Q83:$AH83,"?*")&gt;0,", ","")&amp;"sin incisos","")</f>
        <v/>
      </c>
      <c r="AJ83">
        <f>IF(AND($A83="Emparejamiento Ampliado",COUNTIF($D83:$H83,"?*")&lt;2),IF(COUNTIF($Q83:$AI83,"?*")&gt;0,", ","")&amp;"minimo 2 claves","")</f>
        <v/>
      </c>
      <c r="AK83">
        <f>IF(AND($A83="Opción de Emparejamiento Ampliado",NOT(OR(LEFT(TRIM($I83),1)="A",LEFT(TRIM($I83),1)="B",LEFT(TRIM($I83),1)="C",LEFT(TRIM($I83),1)="D",LEFT(TRIM($I83),1)="E"))),IF(COUNTIF($Q83:$AJ83,"?*")&gt;0,", ","")&amp;"respuesta A-E","")</f>
        <v/>
      </c>
      <c r="AL83">
        <f>IF(TRIM($K83)="",IF(COUNTIF($M83:$M83,"?*")&gt;0,", ","")&amp;"parcial","")</f>
        <v/>
      </c>
      <c r="AM83">
        <f>IF(AND(TRIM($K83)&lt;&gt;"",TRIM($K83)&lt;&gt;VALIDACIONES!$G$1),IF(COUNTIF($M83:$N83,"?*")&gt;0,", ","")&amp;"parcial distinto a "&amp;VALIDACIONES!$G$1,"")</f>
        <v/>
      </c>
    </row>
    <row r="84" ht="20" customHeight="1">
      <c r="A84" s="371" t="n"/>
      <c r="B84" s="371" t="n"/>
      <c r="C84" s="371" t="n"/>
      <c r="D84" s="371">
        <f>IF($A84="Verdadero o Falso Simple","Verdadero",IF($A84="Respuesta A/B/Ambas/Ninguna","A. Si la primera es verdadera",IF($A84="Verdadero o Falso Complejas","1. ","")))</f>
        <v/>
      </c>
      <c r="E84" s="371">
        <f>IF($A84="Verdadero o Falso Simple","Falso",IF($A84="Respuesta A/B/Ambas/Ninguna","B. Si la segunda es verdadera",IF($A84="Verdadero o Falso Complejas","2. ","")))</f>
        <v/>
      </c>
      <c r="F84" s="371">
        <f>IF($A84="Respuesta A/B/Ambas/Ninguna","C. Si ambas son verdaderas",IF($A84="Verdadero o Falso Complejas","3. ",""))</f>
        <v/>
      </c>
      <c r="G84" s="371">
        <f>IF($A84="Respuesta A/B/Ambas/Ninguna","D. Si ninguna es verdadera",IF($A84="Verdadero o Falso Complejas","4. ",""))</f>
        <v/>
      </c>
      <c r="H84" s="371">
        <f>IF($A84="Verdadero o Falso Simple","",IF($A84="Respuesta A/B/Ambas/Ninguna","",IF($A84="Verdadero o Falso Complejas","","")))</f>
        <v/>
      </c>
      <c r="I84" s="371" t="n"/>
      <c r="J84" s="372" t="n"/>
      <c r="K84" s="372">
        <f>IF(TRIM($A84)="","",VALIDACIONES!$G$1)</f>
        <v/>
      </c>
      <c r="L84" s="371">
        <f>IF(TRIM($A84)="","",IF(OR($A84="Selección de la mejor respuesta",$A84="SELECCION_MEJOR_RESPUESTA",$A84="Subítem de caso o problema",$A84="SUBITEM_CASO"),IF(TRIM($C84)="","Completar enunciado",IF(SUMPRODUCT(--(LEN(TRIM($D84:$H84&amp;""))&gt;0))&lt;5,"Completar opciones A-E",IF(AND(TRIM($I84)&lt;&gt;"",OR(LEFT(TRIM($I84),1)="A",LEFT(TRIM($I84),1)="B",LEFT(TRIM($I84),1)="C",LEFT(TRIM($I84),1)="D",LEFT(TRIM($I84),1)="E")),"OK","Completar respuesta correcta A-E"))),IF(TRIM($A84)="","",IF(COUNTIF($Q84:$AJ84,"?*")=0,"OK","Falta revisar: "&amp;$Q84&amp;$R84&amp;$S84&amp;$T84&amp;$U84&amp;$V84&amp;$W84&amp;$X84&amp;$Y84&amp;$Z84&amp;$AA84&amp;$AB84&amp;$AC84&amp;$AD84&amp;$AE84&amp;$AF84&amp;$AG84&amp;$AH84&amp;$AI84&amp;$AJ84))))</f>
        <v/>
      </c>
      <c r="M84" s="373" t="n"/>
      <c r="Q84">
        <f>IF(TRIM($C84)="","enunciado","")</f>
        <v/>
      </c>
      <c r="R84">
        <f>IF(TRIM($K84)="",IF(COUNTIF($Q84:$Q84,"?*")&gt;0,", ","")&amp;"parcial","")</f>
        <v/>
      </c>
      <c r="S84">
        <f>IF(AND(TRIM($K84)&lt;&gt;"",TRIM($K84)&lt;&gt;VALIDACIONES!$G$1),IF(COUNTIF($Q84:$R84,"?*")&gt;0,", ","")&amp;"parcial distinto a "&amp;VALIDACIONES!$G$1,"")</f>
        <v/>
      </c>
      <c r="T84">
        <f>IF(AND(OR($A84="Ítems agrupados por caso clínico o problema",$A84="Subítem de caso o problema",$A84="Emparejamiento Ampliado",$A84="Opción de Emparejamiento Ampliado"),TRIM($B84)=""),IF(COUNTIF($Q84:$S84,"?*")&gt;0,", ","")&amp;"grupo","")</f>
        <v/>
      </c>
      <c r="U84">
        <f>IF(AND(OR($A84="Verdadero o Falso Simple",$A84="Respuesta A/B/Ambas/Ninguna",$A84="Verdadero o Falso Complejas",$A84="Selección de la mejor respuesta",$A84="Subítem de caso o problema",$A84="Opción de Emparejamiento Ampliado"),TRIM($I84)=""),IF(COUNTIF($Q84:$T84,"?*")&gt;0,", ","")&amp;"respuesta_correcta","")</f>
        <v/>
      </c>
      <c r="V84">
        <f>IF(AND(OR($A84="Verdadero o Falso Simple",$A84="Respuesta A/B/Ambas/Ninguna",$A84="Verdadero o Falso Complejas",$A84="Selección de la mejor respuesta",$A84="Subítem de caso o problema",$A84="Opción de Emparejamiento Ampliado"),TRIM($J84)=""),IF(COUNTIF($Q84:$U84,"?*")&gt;0,", ","")&amp;"dificultad","")</f>
        <v/>
      </c>
      <c r="W84">
        <f>IF(AND(OR($A84="Ítems agrupados por caso clínico o problema",$A84="Emparejamiento Ampliado"),TRIM($I84)&lt;&gt;""),IF(COUNTIF($Q84:$V84,"?*")&gt;0,", ","")&amp;"respuesta debe ir vacia","")</f>
        <v/>
      </c>
      <c r="X84">
        <f>IF(AND(OR($A84="Ítems agrupados por caso clínico o problema",$A84="Emparejamiento Ampliado"),TRIM($J84)&lt;&gt;""),IF(COUNTIF($Q84:$W84,"?*")&gt;0,", ","")&amp;"dificultad debe ir vacia","")</f>
        <v/>
      </c>
      <c r="Y84">
        <f>IF(AND($A84="Verdadero o Falso Simple",OR(COUNTIF($D84:$E84,"?*")&lt;2,COUNTIF($F84:$H84,"?*")&gt;0)),IF(COUNTIF($Q84:$X84,"?*")&gt;0,", ","")&amp;"incisos A-B","")</f>
        <v/>
      </c>
      <c r="Z84">
        <f>IF(AND($A84="Verdadero o Falso Simple",TRIM($I84)&lt;&gt;"",NOT(OR(LEFT(TRIM($I84),1)="A",LEFT(TRIM($I84),1)="B"))),IF(COUNTIF($Q84:$Y84,"?*")&gt;0,", ","")&amp;"respuesta A-B","")</f>
        <v/>
      </c>
      <c r="AA84">
        <f>IF(AND($A84="Respuesta A/B/Ambas/Ninguna",COUNTIF($D84:$G84,"?*")&lt;4),IF(COUNTIF($Q84:$Z84,"?*")&gt;0,", ","")&amp;"opciones A-D","")</f>
        <v/>
      </c>
      <c r="AB84">
        <f>IF(AND($A84="Respuesta A/B/Ambas/Ninguna",COUNTIF($H84:$H84,"?*")&gt;0),IF(COUNTIF($Q84:$AA84,"?*")&gt;0,", ","")&amp;"opcion E deshabilitada","")</f>
        <v/>
      </c>
      <c r="AC84">
        <f>IF(AND($A84="Respuesta A/B/Ambas/Ninguna",TRIM($I84)&lt;&gt;"",NOT(OR(LEFT(TRIM($I84),1)="A",LEFT(TRIM($I84),1)="B",LEFT(TRIM($I84),1)="C",LEFT(TRIM($I84),1)="D"))),IF(COUNTIF($Q84:$AB84,"?*")&gt;0,", ","")&amp;"respuesta A-D","")</f>
        <v/>
      </c>
      <c r="AD84">
        <f>IF(AND($A84="Verdadero o Falso Complejas",OR(LEN(TRIM(SUBSTITUTE($D84,"1.","")))=0,LEN(TRIM(SUBSTITUTE($E84,"2.","")))=0,LEN(TRIM(SUBSTITUTE($F84,"3.","")))=0,LEN(TRIM(SUBSTITUTE($G84,"4.","")))=0)),IF(COUNTIF($Q84:$AC84,"?*")&gt;0,", ","")&amp;"incisos 1-4","")</f>
        <v/>
      </c>
      <c r="AE84">
        <f>IF(AND($A84="Verdadero o Falso Complejas",COUNTIF($H84:$H84,"?*")&gt;0),IF(COUNTIF($Q84:$AD84,"?*")&gt;0,", ","")&amp;"opcion E deshabilitada","")</f>
        <v/>
      </c>
      <c r="AF84">
        <f>IF(AND($A84="Verdadero o Falso Complejas",TRIM($I84)&lt;&gt;"",NOT(OR(LEFT(TRIM($I84),1)="A",LEFT(TRIM($I84),1)="B",LEFT(TRIM($I84),1)="C",LEFT(TRIM($I84),1)="D",LEFT(TRIM($I84),1)="E"))),IF(COUNTIF($Q84:$AE84,"?*")&gt;0,", ","")&amp;"respuesta A-E","")</f>
        <v/>
      </c>
      <c r="AG84">
        <f>IF(AND(OR($A84="Selección de la mejor respuesta",$A84="Subítem de caso o problema"),COUNTA($D84:$H84)&lt;5),IF(COUNTIF($Q84:$AF84,"?*")&gt;0,", ","")&amp;"incisos A-E","")</f>
        <v/>
      </c>
      <c r="AH84">
        <f>IF(AND(OR($A84="Selección de la mejor respuesta",$A84="Subítem de caso o problema"),TRIM($I84)&lt;&gt;"",NOT(OR(LEFT(TRIM($I84),1)="A",LEFT(TRIM($I84),1)="B",LEFT(TRIM($I84),1)="C",LEFT(TRIM($I84),1)="D",LEFT(TRIM($I84),1)="E"))),IF(COUNTIF($Q84:$AG84,"?*")&gt;0,", ","")&amp;"respuesta A-E","")</f>
        <v/>
      </c>
      <c r="AI84">
        <f>IF(AND(OR($A84="Ítems agrupados por caso clínico o problema",$A84="Opción de Emparejamiento Ampliado"),COUNTIF($D84:$H84,"?*")&gt;0),IF(COUNTIF($Q84:$AH84,"?*")&gt;0,", ","")&amp;"sin incisos","")</f>
        <v/>
      </c>
      <c r="AJ84">
        <f>IF(AND($A84="Emparejamiento Ampliado",COUNTIF($D84:$H84,"?*")&lt;2),IF(COUNTIF($Q84:$AI84,"?*")&gt;0,", ","")&amp;"minimo 2 claves","")</f>
        <v/>
      </c>
      <c r="AK84">
        <f>IF(AND($A84="Opción de Emparejamiento Ampliado",NOT(OR(LEFT(TRIM($I84),1)="A",LEFT(TRIM($I84),1)="B",LEFT(TRIM($I84),1)="C",LEFT(TRIM($I84),1)="D",LEFT(TRIM($I84),1)="E"))),IF(COUNTIF($Q84:$AJ84,"?*")&gt;0,", ","")&amp;"respuesta A-E","")</f>
        <v/>
      </c>
      <c r="AL84">
        <f>IF(TRIM($K84)="",IF(COUNTIF($M84:$M84,"?*")&gt;0,", ","")&amp;"parcial","")</f>
        <v/>
      </c>
      <c r="AM84">
        <f>IF(AND(TRIM($K84)&lt;&gt;"",TRIM($K84)&lt;&gt;VALIDACIONES!$G$1),IF(COUNTIF($M84:$N84,"?*")&gt;0,", ","")&amp;"parcial distinto a "&amp;VALIDACIONES!$G$1,"")</f>
        <v/>
      </c>
    </row>
    <row r="85" ht="20" customHeight="1">
      <c r="A85" s="371" t="n"/>
      <c r="B85" s="371" t="n"/>
      <c r="C85" s="371" t="n"/>
      <c r="D85" s="371">
        <f>IF($A85="Verdadero o Falso Simple","Verdadero",IF($A85="Respuesta A/B/Ambas/Ninguna","A. Si la primera es verdadera",IF($A85="Verdadero o Falso Complejas","1. ","")))</f>
        <v/>
      </c>
      <c r="E85" s="371">
        <f>IF($A85="Verdadero o Falso Simple","Falso",IF($A85="Respuesta A/B/Ambas/Ninguna","B. Si la segunda es verdadera",IF($A85="Verdadero o Falso Complejas","2. ","")))</f>
        <v/>
      </c>
      <c r="F85" s="371">
        <f>IF($A85="Respuesta A/B/Ambas/Ninguna","C. Si ambas son verdaderas",IF($A85="Verdadero o Falso Complejas","3. ",""))</f>
        <v/>
      </c>
      <c r="G85" s="371">
        <f>IF($A85="Respuesta A/B/Ambas/Ninguna","D. Si ninguna es verdadera",IF($A85="Verdadero o Falso Complejas","4. ",""))</f>
        <v/>
      </c>
      <c r="H85" s="371">
        <f>IF($A85="Verdadero o Falso Simple","",IF($A85="Respuesta A/B/Ambas/Ninguna","",IF($A85="Verdadero o Falso Complejas","","")))</f>
        <v/>
      </c>
      <c r="I85" s="371" t="n"/>
      <c r="J85" s="372" t="n"/>
      <c r="K85" s="372">
        <f>IF(TRIM($A85)="","",VALIDACIONES!$G$1)</f>
        <v/>
      </c>
      <c r="L85" s="371">
        <f>IF(TRIM($A85)="","",IF(OR($A85="Selección de la mejor respuesta",$A85="SELECCION_MEJOR_RESPUESTA",$A85="Subítem de caso o problema",$A85="SUBITEM_CASO"),IF(TRIM($C85)="","Completar enunciado",IF(SUMPRODUCT(--(LEN(TRIM($D85:$H85&amp;""))&gt;0))&lt;5,"Completar opciones A-E",IF(AND(TRIM($I85)&lt;&gt;"",OR(LEFT(TRIM($I85),1)="A",LEFT(TRIM($I85),1)="B",LEFT(TRIM($I85),1)="C",LEFT(TRIM($I85),1)="D",LEFT(TRIM($I85),1)="E")),"OK","Completar respuesta correcta A-E"))),IF(TRIM($A85)="","",IF(COUNTIF($Q85:$AJ85,"?*")=0,"OK","Falta revisar: "&amp;$Q85&amp;$R85&amp;$S85&amp;$T85&amp;$U85&amp;$V85&amp;$W85&amp;$X85&amp;$Y85&amp;$Z85&amp;$AA85&amp;$AB85&amp;$AC85&amp;$AD85&amp;$AE85&amp;$AF85&amp;$AG85&amp;$AH85&amp;$AI85&amp;$AJ85))))</f>
        <v/>
      </c>
      <c r="M85" s="373" t="n"/>
      <c r="Q85">
        <f>IF(TRIM($C85)="","enunciado","")</f>
        <v/>
      </c>
      <c r="R85">
        <f>IF(TRIM($K85)="",IF(COUNTIF($Q85:$Q85,"?*")&gt;0,", ","")&amp;"parcial","")</f>
        <v/>
      </c>
      <c r="S85">
        <f>IF(AND(TRIM($K85)&lt;&gt;"",TRIM($K85)&lt;&gt;VALIDACIONES!$G$1),IF(COUNTIF($Q85:$R85,"?*")&gt;0,", ","")&amp;"parcial distinto a "&amp;VALIDACIONES!$G$1,"")</f>
        <v/>
      </c>
      <c r="T85">
        <f>IF(AND(OR($A85="Ítems agrupados por caso clínico o problema",$A85="Subítem de caso o problema",$A85="Emparejamiento Ampliado",$A85="Opción de Emparejamiento Ampliado"),TRIM($B85)=""),IF(COUNTIF($Q85:$S85,"?*")&gt;0,", ","")&amp;"grupo","")</f>
        <v/>
      </c>
      <c r="U85">
        <f>IF(AND(OR($A85="Verdadero o Falso Simple",$A85="Respuesta A/B/Ambas/Ninguna",$A85="Verdadero o Falso Complejas",$A85="Selección de la mejor respuesta",$A85="Subítem de caso o problema",$A85="Opción de Emparejamiento Ampliado"),TRIM($I85)=""),IF(COUNTIF($Q85:$T85,"?*")&gt;0,", ","")&amp;"respuesta_correcta","")</f>
        <v/>
      </c>
      <c r="V85">
        <f>IF(AND(OR($A85="Verdadero o Falso Simple",$A85="Respuesta A/B/Ambas/Ninguna",$A85="Verdadero o Falso Complejas",$A85="Selección de la mejor respuesta",$A85="Subítem de caso o problema",$A85="Opción de Emparejamiento Ampliado"),TRIM($J85)=""),IF(COUNTIF($Q85:$U85,"?*")&gt;0,", ","")&amp;"dificultad","")</f>
        <v/>
      </c>
      <c r="W85">
        <f>IF(AND(OR($A85="Ítems agrupados por caso clínico o problema",$A85="Emparejamiento Ampliado"),TRIM($I85)&lt;&gt;""),IF(COUNTIF($Q85:$V85,"?*")&gt;0,", ","")&amp;"respuesta debe ir vacia","")</f>
        <v/>
      </c>
      <c r="X85">
        <f>IF(AND(OR($A85="Ítems agrupados por caso clínico o problema",$A85="Emparejamiento Ampliado"),TRIM($J85)&lt;&gt;""),IF(COUNTIF($Q85:$W85,"?*")&gt;0,", ","")&amp;"dificultad debe ir vacia","")</f>
        <v/>
      </c>
      <c r="Y85">
        <f>IF(AND($A85="Verdadero o Falso Simple",OR(COUNTIF($D85:$E85,"?*")&lt;2,COUNTIF($F85:$H85,"?*")&gt;0)),IF(COUNTIF($Q85:$X85,"?*")&gt;0,", ","")&amp;"incisos A-B","")</f>
        <v/>
      </c>
      <c r="Z85">
        <f>IF(AND($A85="Verdadero o Falso Simple",TRIM($I85)&lt;&gt;"",NOT(OR(LEFT(TRIM($I85),1)="A",LEFT(TRIM($I85),1)="B"))),IF(COUNTIF($Q85:$Y85,"?*")&gt;0,", ","")&amp;"respuesta A-B","")</f>
        <v/>
      </c>
      <c r="AA85">
        <f>IF(AND($A85="Respuesta A/B/Ambas/Ninguna",COUNTIF($D85:$G85,"?*")&lt;4),IF(COUNTIF($Q85:$Z85,"?*")&gt;0,", ","")&amp;"opciones A-D","")</f>
        <v/>
      </c>
      <c r="AB85">
        <f>IF(AND($A85="Respuesta A/B/Ambas/Ninguna",COUNTIF($H85:$H85,"?*")&gt;0),IF(COUNTIF($Q85:$AA85,"?*")&gt;0,", ","")&amp;"opcion E deshabilitada","")</f>
        <v/>
      </c>
      <c r="AC85">
        <f>IF(AND($A85="Respuesta A/B/Ambas/Ninguna",TRIM($I85)&lt;&gt;"",NOT(OR(LEFT(TRIM($I85),1)="A",LEFT(TRIM($I85),1)="B",LEFT(TRIM($I85),1)="C",LEFT(TRIM($I85),1)="D"))),IF(COUNTIF($Q85:$AB85,"?*")&gt;0,", ","")&amp;"respuesta A-D","")</f>
        <v/>
      </c>
      <c r="AD85">
        <f>IF(AND($A85="Verdadero o Falso Complejas",OR(LEN(TRIM(SUBSTITUTE($D85,"1.","")))=0,LEN(TRIM(SUBSTITUTE($E85,"2.","")))=0,LEN(TRIM(SUBSTITUTE($F85,"3.","")))=0,LEN(TRIM(SUBSTITUTE($G85,"4.","")))=0)),IF(COUNTIF($Q85:$AC85,"?*")&gt;0,", ","")&amp;"incisos 1-4","")</f>
        <v/>
      </c>
      <c r="AE85">
        <f>IF(AND($A85="Verdadero o Falso Complejas",COUNTIF($H85:$H85,"?*")&gt;0),IF(COUNTIF($Q85:$AD85,"?*")&gt;0,", ","")&amp;"opcion E deshabilitada","")</f>
        <v/>
      </c>
      <c r="AF85">
        <f>IF(AND($A85="Verdadero o Falso Complejas",TRIM($I85)&lt;&gt;"",NOT(OR(LEFT(TRIM($I85),1)="A",LEFT(TRIM($I85),1)="B",LEFT(TRIM($I85),1)="C",LEFT(TRIM($I85),1)="D",LEFT(TRIM($I85),1)="E"))),IF(COUNTIF($Q85:$AE85,"?*")&gt;0,", ","")&amp;"respuesta A-E","")</f>
        <v/>
      </c>
      <c r="AG85">
        <f>IF(AND(OR($A85="Selección de la mejor respuesta",$A85="Subítem de caso o problema"),COUNTA($D85:$H85)&lt;5),IF(COUNTIF($Q85:$AF85,"?*")&gt;0,", ","")&amp;"incisos A-E","")</f>
        <v/>
      </c>
      <c r="AH85">
        <f>IF(AND(OR($A85="Selección de la mejor respuesta",$A85="Subítem de caso o problema"),TRIM($I85)&lt;&gt;"",NOT(OR(LEFT(TRIM($I85),1)="A",LEFT(TRIM($I85),1)="B",LEFT(TRIM($I85),1)="C",LEFT(TRIM($I85),1)="D",LEFT(TRIM($I85),1)="E"))),IF(COUNTIF($Q85:$AG85,"?*")&gt;0,", ","")&amp;"respuesta A-E","")</f>
        <v/>
      </c>
      <c r="AI85">
        <f>IF(AND(OR($A85="Ítems agrupados por caso clínico o problema",$A85="Opción de Emparejamiento Ampliado"),COUNTIF($D85:$H85,"?*")&gt;0),IF(COUNTIF($Q85:$AH85,"?*")&gt;0,", ","")&amp;"sin incisos","")</f>
        <v/>
      </c>
      <c r="AJ85">
        <f>IF(AND($A85="Emparejamiento Ampliado",COUNTIF($D85:$H85,"?*")&lt;2),IF(COUNTIF($Q85:$AI85,"?*")&gt;0,", ","")&amp;"minimo 2 claves","")</f>
        <v/>
      </c>
      <c r="AK85">
        <f>IF(AND($A85="Opción de Emparejamiento Ampliado",NOT(OR(LEFT(TRIM($I85),1)="A",LEFT(TRIM($I85),1)="B",LEFT(TRIM($I85),1)="C",LEFT(TRIM($I85),1)="D",LEFT(TRIM($I85),1)="E"))),IF(COUNTIF($Q85:$AJ85,"?*")&gt;0,", ","")&amp;"respuesta A-E","")</f>
        <v/>
      </c>
      <c r="AL85">
        <f>IF(TRIM($K85)="",IF(COUNTIF($M85:$M85,"?*")&gt;0,", ","")&amp;"parcial","")</f>
        <v/>
      </c>
      <c r="AM85">
        <f>IF(AND(TRIM($K85)&lt;&gt;"",TRIM($K85)&lt;&gt;VALIDACIONES!$G$1),IF(COUNTIF($M85:$N85,"?*")&gt;0,", ","")&amp;"parcial distinto a "&amp;VALIDACIONES!$G$1,"")</f>
        <v/>
      </c>
    </row>
    <row r="86" ht="20" customHeight="1">
      <c r="A86" s="371" t="n"/>
      <c r="B86" s="371" t="n"/>
      <c r="C86" s="371" t="n"/>
      <c r="D86" s="371">
        <f>IF($A86="Verdadero o Falso Simple","Verdadero",IF($A86="Respuesta A/B/Ambas/Ninguna","A. Si la primera es verdadera",IF($A86="Verdadero o Falso Complejas","1. ","")))</f>
        <v/>
      </c>
      <c r="E86" s="371">
        <f>IF($A86="Verdadero o Falso Simple","Falso",IF($A86="Respuesta A/B/Ambas/Ninguna","B. Si la segunda es verdadera",IF($A86="Verdadero o Falso Complejas","2. ","")))</f>
        <v/>
      </c>
      <c r="F86" s="371">
        <f>IF($A86="Respuesta A/B/Ambas/Ninguna","C. Si ambas son verdaderas",IF($A86="Verdadero o Falso Complejas","3. ",""))</f>
        <v/>
      </c>
      <c r="G86" s="371">
        <f>IF($A86="Respuesta A/B/Ambas/Ninguna","D. Si ninguna es verdadera",IF($A86="Verdadero o Falso Complejas","4. ",""))</f>
        <v/>
      </c>
      <c r="H86" s="371">
        <f>IF($A86="Verdadero o Falso Simple","",IF($A86="Respuesta A/B/Ambas/Ninguna","",IF($A86="Verdadero o Falso Complejas","","")))</f>
        <v/>
      </c>
      <c r="I86" s="371" t="n"/>
      <c r="J86" s="372" t="n"/>
      <c r="K86" s="372">
        <f>IF(TRIM($A86)="","",VALIDACIONES!$G$1)</f>
        <v/>
      </c>
      <c r="L86" s="371">
        <f>IF(TRIM($A86)="","",IF(OR($A86="Selección de la mejor respuesta",$A86="SELECCION_MEJOR_RESPUESTA",$A86="Subítem de caso o problema",$A86="SUBITEM_CASO"),IF(TRIM($C86)="","Completar enunciado",IF(SUMPRODUCT(--(LEN(TRIM($D86:$H86&amp;""))&gt;0))&lt;5,"Completar opciones A-E",IF(AND(TRIM($I86)&lt;&gt;"",OR(LEFT(TRIM($I86),1)="A",LEFT(TRIM($I86),1)="B",LEFT(TRIM($I86),1)="C",LEFT(TRIM($I86),1)="D",LEFT(TRIM($I86),1)="E")),"OK","Completar respuesta correcta A-E"))),IF(TRIM($A86)="","",IF(COUNTIF($Q86:$AJ86,"?*")=0,"OK","Falta revisar: "&amp;$Q86&amp;$R86&amp;$S86&amp;$T86&amp;$U86&amp;$V86&amp;$W86&amp;$X86&amp;$Y86&amp;$Z86&amp;$AA86&amp;$AB86&amp;$AC86&amp;$AD86&amp;$AE86&amp;$AF86&amp;$AG86&amp;$AH86&amp;$AI86&amp;$AJ86))))</f>
        <v/>
      </c>
      <c r="M86" s="373" t="n"/>
      <c r="Q86">
        <f>IF(TRIM($C86)="","enunciado","")</f>
        <v/>
      </c>
      <c r="R86">
        <f>IF(TRIM($K86)="",IF(COUNTIF($Q86:$Q86,"?*")&gt;0,", ","")&amp;"parcial","")</f>
        <v/>
      </c>
      <c r="S86">
        <f>IF(AND(TRIM($K86)&lt;&gt;"",TRIM($K86)&lt;&gt;VALIDACIONES!$G$1),IF(COUNTIF($Q86:$R86,"?*")&gt;0,", ","")&amp;"parcial distinto a "&amp;VALIDACIONES!$G$1,"")</f>
        <v/>
      </c>
      <c r="T86">
        <f>IF(AND(OR($A86="Ítems agrupados por caso clínico o problema",$A86="Subítem de caso o problema",$A86="Emparejamiento Ampliado",$A86="Opción de Emparejamiento Ampliado"),TRIM($B86)=""),IF(COUNTIF($Q86:$S86,"?*")&gt;0,", ","")&amp;"grupo","")</f>
        <v/>
      </c>
      <c r="U86">
        <f>IF(AND(OR($A86="Verdadero o Falso Simple",$A86="Respuesta A/B/Ambas/Ninguna",$A86="Verdadero o Falso Complejas",$A86="Selección de la mejor respuesta",$A86="Subítem de caso o problema",$A86="Opción de Emparejamiento Ampliado"),TRIM($I86)=""),IF(COUNTIF($Q86:$T86,"?*")&gt;0,", ","")&amp;"respuesta_correcta","")</f>
        <v/>
      </c>
      <c r="V86">
        <f>IF(AND(OR($A86="Verdadero o Falso Simple",$A86="Respuesta A/B/Ambas/Ninguna",$A86="Verdadero o Falso Complejas",$A86="Selección de la mejor respuesta",$A86="Subítem de caso o problema",$A86="Opción de Emparejamiento Ampliado"),TRIM($J86)=""),IF(COUNTIF($Q86:$U86,"?*")&gt;0,", ","")&amp;"dificultad","")</f>
        <v/>
      </c>
      <c r="W86">
        <f>IF(AND(OR($A86="Ítems agrupados por caso clínico o problema",$A86="Emparejamiento Ampliado"),TRIM($I86)&lt;&gt;""),IF(COUNTIF($Q86:$V86,"?*")&gt;0,", ","")&amp;"respuesta debe ir vacia","")</f>
        <v/>
      </c>
      <c r="X86">
        <f>IF(AND(OR($A86="Ítems agrupados por caso clínico o problema",$A86="Emparejamiento Ampliado"),TRIM($J86)&lt;&gt;""),IF(COUNTIF($Q86:$W86,"?*")&gt;0,", ","")&amp;"dificultad debe ir vacia","")</f>
        <v/>
      </c>
      <c r="Y86">
        <f>IF(AND($A86="Verdadero o Falso Simple",OR(COUNTIF($D86:$E86,"?*")&lt;2,COUNTIF($F86:$H86,"?*")&gt;0)),IF(COUNTIF($Q86:$X86,"?*")&gt;0,", ","")&amp;"incisos A-B","")</f>
        <v/>
      </c>
      <c r="Z86">
        <f>IF(AND($A86="Verdadero o Falso Simple",TRIM($I86)&lt;&gt;"",NOT(OR(LEFT(TRIM($I86),1)="A",LEFT(TRIM($I86),1)="B"))),IF(COUNTIF($Q86:$Y86,"?*")&gt;0,", ","")&amp;"respuesta A-B","")</f>
        <v/>
      </c>
      <c r="AA86">
        <f>IF(AND($A86="Respuesta A/B/Ambas/Ninguna",COUNTIF($D86:$G86,"?*")&lt;4),IF(COUNTIF($Q86:$Z86,"?*")&gt;0,", ","")&amp;"opciones A-D","")</f>
        <v/>
      </c>
      <c r="AB86">
        <f>IF(AND($A86="Respuesta A/B/Ambas/Ninguna",COUNTIF($H86:$H86,"?*")&gt;0),IF(COUNTIF($Q86:$AA86,"?*")&gt;0,", ","")&amp;"opcion E deshabilitada","")</f>
        <v/>
      </c>
      <c r="AC86">
        <f>IF(AND($A86="Respuesta A/B/Ambas/Ninguna",TRIM($I86)&lt;&gt;"",NOT(OR(LEFT(TRIM($I86),1)="A",LEFT(TRIM($I86),1)="B",LEFT(TRIM($I86),1)="C",LEFT(TRIM($I86),1)="D"))),IF(COUNTIF($Q86:$AB86,"?*")&gt;0,", ","")&amp;"respuesta A-D","")</f>
        <v/>
      </c>
      <c r="AD86">
        <f>IF(AND($A86="Verdadero o Falso Complejas",OR(LEN(TRIM(SUBSTITUTE($D86,"1.","")))=0,LEN(TRIM(SUBSTITUTE($E86,"2.","")))=0,LEN(TRIM(SUBSTITUTE($F86,"3.","")))=0,LEN(TRIM(SUBSTITUTE($G86,"4.","")))=0)),IF(COUNTIF($Q86:$AC86,"?*")&gt;0,", ","")&amp;"incisos 1-4","")</f>
        <v/>
      </c>
      <c r="AE86">
        <f>IF(AND($A86="Verdadero o Falso Complejas",COUNTIF($H86:$H86,"?*")&gt;0),IF(COUNTIF($Q86:$AD86,"?*")&gt;0,", ","")&amp;"opcion E deshabilitada","")</f>
        <v/>
      </c>
      <c r="AF86">
        <f>IF(AND($A86="Verdadero o Falso Complejas",TRIM($I86)&lt;&gt;"",NOT(OR(LEFT(TRIM($I86),1)="A",LEFT(TRIM($I86),1)="B",LEFT(TRIM($I86),1)="C",LEFT(TRIM($I86),1)="D",LEFT(TRIM($I86),1)="E"))),IF(COUNTIF($Q86:$AE86,"?*")&gt;0,", ","")&amp;"respuesta A-E","")</f>
        <v/>
      </c>
      <c r="AG86">
        <f>IF(AND(OR($A86="Selección de la mejor respuesta",$A86="Subítem de caso o problema"),COUNTA($D86:$H86)&lt;5),IF(COUNTIF($Q86:$AF86,"?*")&gt;0,", ","")&amp;"incisos A-E","")</f>
        <v/>
      </c>
      <c r="AH86">
        <f>IF(AND(OR($A86="Selección de la mejor respuesta",$A86="Subítem de caso o problema"),TRIM($I86)&lt;&gt;"",NOT(OR(LEFT(TRIM($I86),1)="A",LEFT(TRIM($I86),1)="B",LEFT(TRIM($I86),1)="C",LEFT(TRIM($I86),1)="D",LEFT(TRIM($I86),1)="E"))),IF(COUNTIF($Q86:$AG86,"?*")&gt;0,", ","")&amp;"respuesta A-E","")</f>
        <v/>
      </c>
      <c r="AI86">
        <f>IF(AND(OR($A86="Ítems agrupados por caso clínico o problema",$A86="Opción de Emparejamiento Ampliado"),COUNTIF($D86:$H86,"?*")&gt;0),IF(COUNTIF($Q86:$AH86,"?*")&gt;0,", ","")&amp;"sin incisos","")</f>
        <v/>
      </c>
      <c r="AJ86">
        <f>IF(AND($A86="Emparejamiento Ampliado",COUNTIF($D86:$H86,"?*")&lt;2),IF(COUNTIF($Q86:$AI86,"?*")&gt;0,", ","")&amp;"minimo 2 claves","")</f>
        <v/>
      </c>
      <c r="AK86">
        <f>IF(AND($A86="Opción de Emparejamiento Ampliado",NOT(OR(LEFT(TRIM($I86),1)="A",LEFT(TRIM($I86),1)="B",LEFT(TRIM($I86),1)="C",LEFT(TRIM($I86),1)="D",LEFT(TRIM($I86),1)="E"))),IF(COUNTIF($Q86:$AJ86,"?*")&gt;0,", ","")&amp;"respuesta A-E","")</f>
        <v/>
      </c>
      <c r="AL86">
        <f>IF(TRIM($K86)="",IF(COUNTIF($M86:$M86,"?*")&gt;0,", ","")&amp;"parcial","")</f>
        <v/>
      </c>
      <c r="AM86">
        <f>IF(AND(TRIM($K86)&lt;&gt;"",TRIM($K86)&lt;&gt;VALIDACIONES!$G$1),IF(COUNTIF($M86:$N86,"?*")&gt;0,", ","")&amp;"parcial distinto a "&amp;VALIDACIONES!$G$1,"")</f>
        <v/>
      </c>
    </row>
    <row r="87" ht="20" customHeight="1">
      <c r="A87" s="371" t="n"/>
      <c r="B87" s="371" t="n"/>
      <c r="C87" s="371" t="n"/>
      <c r="D87" s="371">
        <f>IF($A87="Verdadero o Falso Simple","Verdadero",IF($A87="Respuesta A/B/Ambas/Ninguna","A. Si la primera es verdadera",IF($A87="Verdadero o Falso Complejas","1. ","")))</f>
        <v/>
      </c>
      <c r="E87" s="371">
        <f>IF($A87="Verdadero o Falso Simple","Falso",IF($A87="Respuesta A/B/Ambas/Ninguna","B. Si la segunda es verdadera",IF($A87="Verdadero o Falso Complejas","2. ","")))</f>
        <v/>
      </c>
      <c r="F87" s="371">
        <f>IF($A87="Respuesta A/B/Ambas/Ninguna","C. Si ambas son verdaderas",IF($A87="Verdadero o Falso Complejas","3. ",""))</f>
        <v/>
      </c>
      <c r="G87" s="371">
        <f>IF($A87="Respuesta A/B/Ambas/Ninguna","D. Si ninguna es verdadera",IF($A87="Verdadero o Falso Complejas","4. ",""))</f>
        <v/>
      </c>
      <c r="H87" s="371">
        <f>IF($A87="Verdadero o Falso Simple","",IF($A87="Respuesta A/B/Ambas/Ninguna","",IF($A87="Verdadero o Falso Complejas","","")))</f>
        <v/>
      </c>
      <c r="I87" s="371" t="n"/>
      <c r="J87" s="372" t="n"/>
      <c r="K87" s="372">
        <f>IF(TRIM($A87)="","",VALIDACIONES!$G$1)</f>
        <v/>
      </c>
      <c r="L87" s="371">
        <f>IF(TRIM($A87)="","",IF(OR($A87="Selección de la mejor respuesta",$A87="SELECCION_MEJOR_RESPUESTA",$A87="Subítem de caso o problema",$A87="SUBITEM_CASO"),IF(TRIM($C87)="","Completar enunciado",IF(SUMPRODUCT(--(LEN(TRIM($D87:$H87&amp;""))&gt;0))&lt;5,"Completar opciones A-E",IF(AND(TRIM($I87)&lt;&gt;"",OR(LEFT(TRIM($I87),1)="A",LEFT(TRIM($I87),1)="B",LEFT(TRIM($I87),1)="C",LEFT(TRIM($I87),1)="D",LEFT(TRIM($I87),1)="E")),"OK","Completar respuesta correcta A-E"))),IF(TRIM($A87)="","",IF(COUNTIF($Q87:$AJ87,"?*")=0,"OK","Falta revisar: "&amp;$Q87&amp;$R87&amp;$S87&amp;$T87&amp;$U87&amp;$V87&amp;$W87&amp;$X87&amp;$Y87&amp;$Z87&amp;$AA87&amp;$AB87&amp;$AC87&amp;$AD87&amp;$AE87&amp;$AF87&amp;$AG87&amp;$AH87&amp;$AI87&amp;$AJ87))))</f>
        <v/>
      </c>
      <c r="M87" s="373" t="n"/>
      <c r="Q87">
        <f>IF(TRIM($C87)="","enunciado","")</f>
        <v/>
      </c>
      <c r="R87">
        <f>IF(TRIM($K87)="",IF(COUNTIF($Q87:$Q87,"?*")&gt;0,", ","")&amp;"parcial","")</f>
        <v/>
      </c>
      <c r="S87">
        <f>IF(AND(TRIM($K87)&lt;&gt;"",TRIM($K87)&lt;&gt;VALIDACIONES!$G$1),IF(COUNTIF($Q87:$R87,"?*")&gt;0,", ","")&amp;"parcial distinto a "&amp;VALIDACIONES!$G$1,"")</f>
        <v/>
      </c>
      <c r="T87">
        <f>IF(AND(OR($A87="Ítems agrupados por caso clínico o problema",$A87="Subítem de caso o problema",$A87="Emparejamiento Ampliado",$A87="Opción de Emparejamiento Ampliado"),TRIM($B87)=""),IF(COUNTIF($Q87:$S87,"?*")&gt;0,", ","")&amp;"grupo","")</f>
        <v/>
      </c>
      <c r="U87">
        <f>IF(AND(OR($A87="Verdadero o Falso Simple",$A87="Respuesta A/B/Ambas/Ninguna",$A87="Verdadero o Falso Complejas",$A87="Selección de la mejor respuesta",$A87="Subítem de caso o problema",$A87="Opción de Emparejamiento Ampliado"),TRIM($I87)=""),IF(COUNTIF($Q87:$T87,"?*")&gt;0,", ","")&amp;"respuesta_correcta","")</f>
        <v/>
      </c>
      <c r="V87">
        <f>IF(AND(OR($A87="Verdadero o Falso Simple",$A87="Respuesta A/B/Ambas/Ninguna",$A87="Verdadero o Falso Complejas",$A87="Selección de la mejor respuesta",$A87="Subítem de caso o problema",$A87="Opción de Emparejamiento Ampliado"),TRIM($J87)=""),IF(COUNTIF($Q87:$U87,"?*")&gt;0,", ","")&amp;"dificultad","")</f>
        <v/>
      </c>
      <c r="W87">
        <f>IF(AND(OR($A87="Ítems agrupados por caso clínico o problema",$A87="Emparejamiento Ampliado"),TRIM($I87)&lt;&gt;""),IF(COUNTIF($Q87:$V87,"?*")&gt;0,", ","")&amp;"respuesta debe ir vacia","")</f>
        <v/>
      </c>
      <c r="X87">
        <f>IF(AND(OR($A87="Ítems agrupados por caso clínico o problema",$A87="Emparejamiento Ampliado"),TRIM($J87)&lt;&gt;""),IF(COUNTIF($Q87:$W87,"?*")&gt;0,", ","")&amp;"dificultad debe ir vacia","")</f>
        <v/>
      </c>
      <c r="Y87">
        <f>IF(AND($A87="Verdadero o Falso Simple",OR(COUNTIF($D87:$E87,"?*")&lt;2,COUNTIF($F87:$H87,"?*")&gt;0)),IF(COUNTIF($Q87:$X87,"?*")&gt;0,", ","")&amp;"incisos A-B","")</f>
        <v/>
      </c>
      <c r="Z87">
        <f>IF(AND($A87="Verdadero o Falso Simple",TRIM($I87)&lt;&gt;"",NOT(OR(LEFT(TRIM($I87),1)="A",LEFT(TRIM($I87),1)="B"))),IF(COUNTIF($Q87:$Y87,"?*")&gt;0,", ","")&amp;"respuesta A-B","")</f>
        <v/>
      </c>
      <c r="AA87">
        <f>IF(AND($A87="Respuesta A/B/Ambas/Ninguna",COUNTIF($D87:$G87,"?*")&lt;4),IF(COUNTIF($Q87:$Z87,"?*")&gt;0,", ","")&amp;"opciones A-D","")</f>
        <v/>
      </c>
      <c r="AB87">
        <f>IF(AND($A87="Respuesta A/B/Ambas/Ninguna",COUNTIF($H87:$H87,"?*")&gt;0),IF(COUNTIF($Q87:$AA87,"?*")&gt;0,", ","")&amp;"opcion E deshabilitada","")</f>
        <v/>
      </c>
      <c r="AC87">
        <f>IF(AND($A87="Respuesta A/B/Ambas/Ninguna",TRIM($I87)&lt;&gt;"",NOT(OR(LEFT(TRIM($I87),1)="A",LEFT(TRIM($I87),1)="B",LEFT(TRIM($I87),1)="C",LEFT(TRIM($I87),1)="D"))),IF(COUNTIF($Q87:$AB87,"?*")&gt;0,", ","")&amp;"respuesta A-D","")</f>
        <v/>
      </c>
      <c r="AD87">
        <f>IF(AND($A87="Verdadero o Falso Complejas",OR(LEN(TRIM(SUBSTITUTE($D87,"1.","")))=0,LEN(TRIM(SUBSTITUTE($E87,"2.","")))=0,LEN(TRIM(SUBSTITUTE($F87,"3.","")))=0,LEN(TRIM(SUBSTITUTE($G87,"4.","")))=0)),IF(COUNTIF($Q87:$AC87,"?*")&gt;0,", ","")&amp;"incisos 1-4","")</f>
        <v/>
      </c>
      <c r="AE87">
        <f>IF(AND($A87="Verdadero o Falso Complejas",COUNTIF($H87:$H87,"?*")&gt;0),IF(COUNTIF($Q87:$AD87,"?*")&gt;0,", ","")&amp;"opcion E deshabilitada","")</f>
        <v/>
      </c>
      <c r="AF87">
        <f>IF(AND($A87="Verdadero o Falso Complejas",TRIM($I87)&lt;&gt;"",NOT(OR(LEFT(TRIM($I87),1)="A",LEFT(TRIM($I87),1)="B",LEFT(TRIM($I87),1)="C",LEFT(TRIM($I87),1)="D",LEFT(TRIM($I87),1)="E"))),IF(COUNTIF($Q87:$AE87,"?*")&gt;0,", ","")&amp;"respuesta A-E","")</f>
        <v/>
      </c>
      <c r="AG87">
        <f>IF(AND(OR($A87="Selección de la mejor respuesta",$A87="Subítem de caso o problema"),COUNTA($D87:$H87)&lt;5),IF(COUNTIF($Q87:$AF87,"?*")&gt;0,", ","")&amp;"incisos A-E","")</f>
        <v/>
      </c>
      <c r="AH87">
        <f>IF(AND(OR($A87="Selección de la mejor respuesta",$A87="Subítem de caso o problema"),TRIM($I87)&lt;&gt;"",NOT(OR(LEFT(TRIM($I87),1)="A",LEFT(TRIM($I87),1)="B",LEFT(TRIM($I87),1)="C",LEFT(TRIM($I87),1)="D",LEFT(TRIM($I87),1)="E"))),IF(COUNTIF($Q87:$AG87,"?*")&gt;0,", ","")&amp;"respuesta A-E","")</f>
        <v/>
      </c>
      <c r="AI87">
        <f>IF(AND(OR($A87="Ítems agrupados por caso clínico o problema",$A87="Opción de Emparejamiento Ampliado"),COUNTIF($D87:$H87,"?*")&gt;0),IF(COUNTIF($Q87:$AH87,"?*")&gt;0,", ","")&amp;"sin incisos","")</f>
        <v/>
      </c>
      <c r="AJ87">
        <f>IF(AND($A87="Emparejamiento Ampliado",COUNTIF($D87:$H87,"?*")&lt;2),IF(COUNTIF($Q87:$AI87,"?*")&gt;0,", ","")&amp;"minimo 2 claves","")</f>
        <v/>
      </c>
      <c r="AK87">
        <f>IF(AND($A87="Opción de Emparejamiento Ampliado",NOT(OR(LEFT(TRIM($I87),1)="A",LEFT(TRIM($I87),1)="B",LEFT(TRIM($I87),1)="C",LEFT(TRIM($I87),1)="D",LEFT(TRIM($I87),1)="E"))),IF(COUNTIF($Q87:$AJ87,"?*")&gt;0,", ","")&amp;"respuesta A-E","")</f>
        <v/>
      </c>
      <c r="AL87">
        <f>IF(TRIM($K87)="",IF(COUNTIF($M87:$M87,"?*")&gt;0,", ","")&amp;"parcial","")</f>
        <v/>
      </c>
      <c r="AM87">
        <f>IF(AND(TRIM($K87)&lt;&gt;"",TRIM($K87)&lt;&gt;VALIDACIONES!$G$1),IF(COUNTIF($M87:$N87,"?*")&gt;0,", ","")&amp;"parcial distinto a "&amp;VALIDACIONES!$G$1,"")</f>
        <v/>
      </c>
    </row>
    <row r="88" ht="20" customHeight="1">
      <c r="A88" s="371" t="n"/>
      <c r="B88" s="371" t="n"/>
      <c r="C88" s="371" t="n"/>
      <c r="D88" s="371">
        <f>IF($A88="Verdadero o Falso Simple","Verdadero",IF($A88="Respuesta A/B/Ambas/Ninguna","A. Si la primera es verdadera",IF($A88="Verdadero o Falso Complejas","1. ","")))</f>
        <v/>
      </c>
      <c r="E88" s="371">
        <f>IF($A88="Verdadero o Falso Simple","Falso",IF($A88="Respuesta A/B/Ambas/Ninguna","B. Si la segunda es verdadera",IF($A88="Verdadero o Falso Complejas","2. ","")))</f>
        <v/>
      </c>
      <c r="F88" s="371">
        <f>IF($A88="Respuesta A/B/Ambas/Ninguna","C. Si ambas son verdaderas",IF($A88="Verdadero o Falso Complejas","3. ",""))</f>
        <v/>
      </c>
      <c r="G88" s="371">
        <f>IF($A88="Respuesta A/B/Ambas/Ninguna","D. Si ninguna es verdadera",IF($A88="Verdadero o Falso Complejas","4. ",""))</f>
        <v/>
      </c>
      <c r="H88" s="371">
        <f>IF($A88="Verdadero o Falso Simple","",IF($A88="Respuesta A/B/Ambas/Ninguna","",IF($A88="Verdadero o Falso Complejas","","")))</f>
        <v/>
      </c>
      <c r="I88" s="371" t="n"/>
      <c r="J88" s="372" t="n"/>
      <c r="K88" s="372">
        <f>IF(TRIM($A88)="","",VALIDACIONES!$G$1)</f>
        <v/>
      </c>
      <c r="L88" s="371">
        <f>IF(TRIM($A88)="","",IF(OR($A88="Selección de la mejor respuesta",$A88="SELECCION_MEJOR_RESPUESTA",$A88="Subítem de caso o problema",$A88="SUBITEM_CASO"),IF(TRIM($C88)="","Completar enunciado",IF(SUMPRODUCT(--(LEN(TRIM($D88:$H88&amp;""))&gt;0))&lt;5,"Completar opciones A-E",IF(AND(TRIM($I88)&lt;&gt;"",OR(LEFT(TRIM($I88),1)="A",LEFT(TRIM($I88),1)="B",LEFT(TRIM($I88),1)="C",LEFT(TRIM($I88),1)="D",LEFT(TRIM($I88),1)="E")),"OK","Completar respuesta correcta A-E"))),IF(TRIM($A88)="","",IF(COUNTIF($Q88:$AJ88,"?*")=0,"OK","Falta revisar: "&amp;$Q88&amp;$R88&amp;$S88&amp;$T88&amp;$U88&amp;$V88&amp;$W88&amp;$X88&amp;$Y88&amp;$Z88&amp;$AA88&amp;$AB88&amp;$AC88&amp;$AD88&amp;$AE88&amp;$AF88&amp;$AG88&amp;$AH88&amp;$AI88&amp;$AJ88))))</f>
        <v/>
      </c>
      <c r="M88" s="373" t="n"/>
      <c r="Q88">
        <f>IF(TRIM($C88)="","enunciado","")</f>
        <v/>
      </c>
      <c r="R88">
        <f>IF(TRIM($K88)="",IF(COUNTIF($Q88:$Q88,"?*")&gt;0,", ","")&amp;"parcial","")</f>
        <v/>
      </c>
      <c r="S88">
        <f>IF(AND(TRIM($K88)&lt;&gt;"",TRIM($K88)&lt;&gt;VALIDACIONES!$G$1),IF(COUNTIF($Q88:$R88,"?*")&gt;0,", ","")&amp;"parcial distinto a "&amp;VALIDACIONES!$G$1,"")</f>
        <v/>
      </c>
      <c r="T88">
        <f>IF(AND(OR($A88="Ítems agrupados por caso clínico o problema",$A88="Subítem de caso o problema",$A88="Emparejamiento Ampliado",$A88="Opción de Emparejamiento Ampliado"),TRIM($B88)=""),IF(COUNTIF($Q88:$S88,"?*")&gt;0,", ","")&amp;"grupo","")</f>
        <v/>
      </c>
      <c r="U88">
        <f>IF(AND(OR($A88="Verdadero o Falso Simple",$A88="Respuesta A/B/Ambas/Ninguna",$A88="Verdadero o Falso Complejas",$A88="Selección de la mejor respuesta",$A88="Subítem de caso o problema",$A88="Opción de Emparejamiento Ampliado"),TRIM($I88)=""),IF(COUNTIF($Q88:$T88,"?*")&gt;0,", ","")&amp;"respuesta_correcta","")</f>
        <v/>
      </c>
      <c r="V88">
        <f>IF(AND(OR($A88="Verdadero o Falso Simple",$A88="Respuesta A/B/Ambas/Ninguna",$A88="Verdadero o Falso Complejas",$A88="Selección de la mejor respuesta",$A88="Subítem de caso o problema",$A88="Opción de Emparejamiento Ampliado"),TRIM($J88)=""),IF(COUNTIF($Q88:$U88,"?*")&gt;0,", ","")&amp;"dificultad","")</f>
        <v/>
      </c>
      <c r="W88">
        <f>IF(AND(OR($A88="Ítems agrupados por caso clínico o problema",$A88="Emparejamiento Ampliado"),TRIM($I88)&lt;&gt;""),IF(COUNTIF($Q88:$V88,"?*")&gt;0,", ","")&amp;"respuesta debe ir vacia","")</f>
        <v/>
      </c>
      <c r="X88">
        <f>IF(AND(OR($A88="Ítems agrupados por caso clínico o problema",$A88="Emparejamiento Ampliado"),TRIM($J88)&lt;&gt;""),IF(COUNTIF($Q88:$W88,"?*")&gt;0,", ","")&amp;"dificultad debe ir vacia","")</f>
        <v/>
      </c>
      <c r="Y88">
        <f>IF(AND($A88="Verdadero o Falso Simple",OR(COUNTIF($D88:$E88,"?*")&lt;2,COUNTIF($F88:$H88,"?*")&gt;0)),IF(COUNTIF($Q88:$X88,"?*")&gt;0,", ","")&amp;"incisos A-B","")</f>
        <v/>
      </c>
      <c r="Z88">
        <f>IF(AND($A88="Verdadero o Falso Simple",TRIM($I88)&lt;&gt;"",NOT(OR(LEFT(TRIM($I88),1)="A",LEFT(TRIM($I88),1)="B"))),IF(COUNTIF($Q88:$Y88,"?*")&gt;0,", ","")&amp;"respuesta A-B","")</f>
        <v/>
      </c>
      <c r="AA88">
        <f>IF(AND($A88="Respuesta A/B/Ambas/Ninguna",COUNTIF($D88:$G88,"?*")&lt;4),IF(COUNTIF($Q88:$Z88,"?*")&gt;0,", ","")&amp;"opciones A-D","")</f>
        <v/>
      </c>
      <c r="AB88">
        <f>IF(AND($A88="Respuesta A/B/Ambas/Ninguna",COUNTIF($H88:$H88,"?*")&gt;0),IF(COUNTIF($Q88:$AA88,"?*")&gt;0,", ","")&amp;"opcion E deshabilitada","")</f>
        <v/>
      </c>
      <c r="AC88">
        <f>IF(AND($A88="Respuesta A/B/Ambas/Ninguna",TRIM($I88)&lt;&gt;"",NOT(OR(LEFT(TRIM($I88),1)="A",LEFT(TRIM($I88),1)="B",LEFT(TRIM($I88),1)="C",LEFT(TRIM($I88),1)="D"))),IF(COUNTIF($Q88:$AB88,"?*")&gt;0,", ","")&amp;"respuesta A-D","")</f>
        <v/>
      </c>
      <c r="AD88">
        <f>IF(AND($A88="Verdadero o Falso Complejas",OR(LEN(TRIM(SUBSTITUTE($D88,"1.","")))=0,LEN(TRIM(SUBSTITUTE($E88,"2.","")))=0,LEN(TRIM(SUBSTITUTE($F88,"3.","")))=0,LEN(TRIM(SUBSTITUTE($G88,"4.","")))=0)),IF(COUNTIF($Q88:$AC88,"?*")&gt;0,", ","")&amp;"incisos 1-4","")</f>
        <v/>
      </c>
      <c r="AE88">
        <f>IF(AND($A88="Verdadero o Falso Complejas",COUNTIF($H88:$H88,"?*")&gt;0),IF(COUNTIF($Q88:$AD88,"?*")&gt;0,", ","")&amp;"opcion E deshabilitada","")</f>
        <v/>
      </c>
      <c r="AF88">
        <f>IF(AND($A88="Verdadero o Falso Complejas",TRIM($I88)&lt;&gt;"",NOT(OR(LEFT(TRIM($I88),1)="A",LEFT(TRIM($I88),1)="B",LEFT(TRIM($I88),1)="C",LEFT(TRIM($I88),1)="D",LEFT(TRIM($I88),1)="E"))),IF(COUNTIF($Q88:$AE88,"?*")&gt;0,", ","")&amp;"respuesta A-E","")</f>
        <v/>
      </c>
      <c r="AG88">
        <f>IF(AND(OR($A88="Selección de la mejor respuesta",$A88="Subítem de caso o problema"),COUNTA($D88:$H88)&lt;5),IF(COUNTIF($Q88:$AF88,"?*")&gt;0,", ","")&amp;"incisos A-E","")</f>
        <v/>
      </c>
      <c r="AH88">
        <f>IF(AND(OR($A88="Selección de la mejor respuesta",$A88="Subítem de caso o problema"),TRIM($I88)&lt;&gt;"",NOT(OR(LEFT(TRIM($I88),1)="A",LEFT(TRIM($I88),1)="B",LEFT(TRIM($I88),1)="C",LEFT(TRIM($I88),1)="D",LEFT(TRIM($I88),1)="E"))),IF(COUNTIF($Q88:$AG88,"?*")&gt;0,", ","")&amp;"respuesta A-E","")</f>
        <v/>
      </c>
      <c r="AI88">
        <f>IF(AND(OR($A88="Ítems agrupados por caso clínico o problema",$A88="Opción de Emparejamiento Ampliado"),COUNTIF($D88:$H88,"?*")&gt;0),IF(COUNTIF($Q88:$AH88,"?*")&gt;0,", ","")&amp;"sin incisos","")</f>
        <v/>
      </c>
      <c r="AJ88">
        <f>IF(AND($A88="Emparejamiento Ampliado",COUNTIF($D88:$H88,"?*")&lt;2),IF(COUNTIF($Q88:$AI88,"?*")&gt;0,", ","")&amp;"minimo 2 claves","")</f>
        <v/>
      </c>
      <c r="AK88">
        <f>IF(AND($A88="Opción de Emparejamiento Ampliado",NOT(OR(LEFT(TRIM($I88),1)="A",LEFT(TRIM($I88),1)="B",LEFT(TRIM($I88),1)="C",LEFT(TRIM($I88),1)="D",LEFT(TRIM($I88),1)="E"))),IF(COUNTIF($Q88:$AJ88,"?*")&gt;0,", ","")&amp;"respuesta A-E","")</f>
        <v/>
      </c>
      <c r="AL88">
        <f>IF(TRIM($K88)="",IF(COUNTIF($M88:$M88,"?*")&gt;0,", ","")&amp;"parcial","")</f>
        <v/>
      </c>
      <c r="AM88">
        <f>IF(AND(TRIM($K88)&lt;&gt;"",TRIM($K88)&lt;&gt;VALIDACIONES!$G$1),IF(COUNTIF($M88:$N88,"?*")&gt;0,", ","")&amp;"parcial distinto a "&amp;VALIDACIONES!$G$1,"")</f>
        <v/>
      </c>
    </row>
    <row r="89" ht="20" customHeight="1">
      <c r="A89" s="371" t="n"/>
      <c r="B89" s="371" t="n"/>
      <c r="C89" s="371" t="n"/>
      <c r="D89" s="371">
        <f>IF($A89="Verdadero o Falso Simple","Verdadero",IF($A89="Respuesta A/B/Ambas/Ninguna","A. Si la primera es verdadera",IF($A89="Verdadero o Falso Complejas","1. ","")))</f>
        <v/>
      </c>
      <c r="E89" s="371">
        <f>IF($A89="Verdadero o Falso Simple","Falso",IF($A89="Respuesta A/B/Ambas/Ninguna","B. Si la segunda es verdadera",IF($A89="Verdadero o Falso Complejas","2. ","")))</f>
        <v/>
      </c>
      <c r="F89" s="371">
        <f>IF($A89="Respuesta A/B/Ambas/Ninguna","C. Si ambas son verdaderas",IF($A89="Verdadero o Falso Complejas","3. ",""))</f>
        <v/>
      </c>
      <c r="G89" s="371">
        <f>IF($A89="Respuesta A/B/Ambas/Ninguna","D. Si ninguna es verdadera",IF($A89="Verdadero o Falso Complejas","4. ",""))</f>
        <v/>
      </c>
      <c r="H89" s="371">
        <f>IF($A89="Verdadero o Falso Simple","",IF($A89="Respuesta A/B/Ambas/Ninguna","",IF($A89="Verdadero o Falso Complejas","","")))</f>
        <v/>
      </c>
      <c r="I89" s="371" t="n"/>
      <c r="J89" s="372" t="n"/>
      <c r="K89" s="372">
        <f>IF(TRIM($A89)="","",VALIDACIONES!$G$1)</f>
        <v/>
      </c>
      <c r="L89" s="371">
        <f>IF(TRIM($A89)="","",IF(OR($A89="Selección de la mejor respuesta",$A89="SELECCION_MEJOR_RESPUESTA",$A89="Subítem de caso o problema",$A89="SUBITEM_CASO"),IF(TRIM($C89)="","Completar enunciado",IF(SUMPRODUCT(--(LEN(TRIM($D89:$H89&amp;""))&gt;0))&lt;5,"Completar opciones A-E",IF(AND(TRIM($I89)&lt;&gt;"",OR(LEFT(TRIM($I89),1)="A",LEFT(TRIM($I89),1)="B",LEFT(TRIM($I89),1)="C",LEFT(TRIM($I89),1)="D",LEFT(TRIM($I89),1)="E")),"OK","Completar respuesta correcta A-E"))),IF(TRIM($A89)="","",IF(COUNTIF($Q89:$AJ89,"?*")=0,"OK","Falta revisar: "&amp;$Q89&amp;$R89&amp;$S89&amp;$T89&amp;$U89&amp;$V89&amp;$W89&amp;$X89&amp;$Y89&amp;$Z89&amp;$AA89&amp;$AB89&amp;$AC89&amp;$AD89&amp;$AE89&amp;$AF89&amp;$AG89&amp;$AH89&amp;$AI89&amp;$AJ89))))</f>
        <v/>
      </c>
      <c r="M89" s="373" t="n"/>
      <c r="Q89">
        <f>IF(TRIM($C89)="","enunciado","")</f>
        <v/>
      </c>
      <c r="R89">
        <f>IF(TRIM($K89)="",IF(COUNTIF($Q89:$Q89,"?*")&gt;0,", ","")&amp;"parcial","")</f>
        <v/>
      </c>
      <c r="S89">
        <f>IF(AND(TRIM($K89)&lt;&gt;"",TRIM($K89)&lt;&gt;VALIDACIONES!$G$1),IF(COUNTIF($Q89:$R89,"?*")&gt;0,", ","")&amp;"parcial distinto a "&amp;VALIDACIONES!$G$1,"")</f>
        <v/>
      </c>
      <c r="T89">
        <f>IF(AND(OR($A89="Ítems agrupados por caso clínico o problema",$A89="Subítem de caso o problema",$A89="Emparejamiento Ampliado",$A89="Opción de Emparejamiento Ampliado"),TRIM($B89)=""),IF(COUNTIF($Q89:$S89,"?*")&gt;0,", ","")&amp;"grupo","")</f>
        <v/>
      </c>
      <c r="U89">
        <f>IF(AND(OR($A89="Verdadero o Falso Simple",$A89="Respuesta A/B/Ambas/Ninguna",$A89="Verdadero o Falso Complejas",$A89="Selección de la mejor respuesta",$A89="Subítem de caso o problema",$A89="Opción de Emparejamiento Ampliado"),TRIM($I89)=""),IF(COUNTIF($Q89:$T89,"?*")&gt;0,", ","")&amp;"respuesta_correcta","")</f>
        <v/>
      </c>
      <c r="V89">
        <f>IF(AND(OR($A89="Verdadero o Falso Simple",$A89="Respuesta A/B/Ambas/Ninguna",$A89="Verdadero o Falso Complejas",$A89="Selección de la mejor respuesta",$A89="Subítem de caso o problema",$A89="Opción de Emparejamiento Ampliado"),TRIM($J89)=""),IF(COUNTIF($Q89:$U89,"?*")&gt;0,", ","")&amp;"dificultad","")</f>
        <v/>
      </c>
      <c r="W89">
        <f>IF(AND(OR($A89="Ítems agrupados por caso clínico o problema",$A89="Emparejamiento Ampliado"),TRIM($I89)&lt;&gt;""),IF(COUNTIF($Q89:$V89,"?*")&gt;0,", ","")&amp;"respuesta debe ir vacia","")</f>
        <v/>
      </c>
      <c r="X89">
        <f>IF(AND(OR($A89="Ítems agrupados por caso clínico o problema",$A89="Emparejamiento Ampliado"),TRIM($J89)&lt;&gt;""),IF(COUNTIF($Q89:$W89,"?*")&gt;0,", ","")&amp;"dificultad debe ir vacia","")</f>
        <v/>
      </c>
      <c r="Y89">
        <f>IF(AND($A89="Verdadero o Falso Simple",OR(COUNTIF($D89:$E89,"?*")&lt;2,COUNTIF($F89:$H89,"?*")&gt;0)),IF(COUNTIF($Q89:$X89,"?*")&gt;0,", ","")&amp;"incisos A-B","")</f>
        <v/>
      </c>
      <c r="Z89">
        <f>IF(AND($A89="Verdadero o Falso Simple",TRIM($I89)&lt;&gt;"",NOT(OR(LEFT(TRIM($I89),1)="A",LEFT(TRIM($I89),1)="B"))),IF(COUNTIF($Q89:$Y89,"?*")&gt;0,", ","")&amp;"respuesta A-B","")</f>
        <v/>
      </c>
      <c r="AA89">
        <f>IF(AND($A89="Respuesta A/B/Ambas/Ninguna",COUNTIF($D89:$G89,"?*")&lt;4),IF(COUNTIF($Q89:$Z89,"?*")&gt;0,", ","")&amp;"opciones A-D","")</f>
        <v/>
      </c>
      <c r="AB89">
        <f>IF(AND($A89="Respuesta A/B/Ambas/Ninguna",COUNTIF($H89:$H89,"?*")&gt;0),IF(COUNTIF($Q89:$AA89,"?*")&gt;0,", ","")&amp;"opcion E deshabilitada","")</f>
        <v/>
      </c>
      <c r="AC89">
        <f>IF(AND($A89="Respuesta A/B/Ambas/Ninguna",TRIM($I89)&lt;&gt;"",NOT(OR(LEFT(TRIM($I89),1)="A",LEFT(TRIM($I89),1)="B",LEFT(TRIM($I89),1)="C",LEFT(TRIM($I89),1)="D"))),IF(COUNTIF($Q89:$AB89,"?*")&gt;0,", ","")&amp;"respuesta A-D","")</f>
        <v/>
      </c>
      <c r="AD89">
        <f>IF(AND($A89="Verdadero o Falso Complejas",OR(LEN(TRIM(SUBSTITUTE($D89,"1.","")))=0,LEN(TRIM(SUBSTITUTE($E89,"2.","")))=0,LEN(TRIM(SUBSTITUTE($F89,"3.","")))=0,LEN(TRIM(SUBSTITUTE($G89,"4.","")))=0)),IF(COUNTIF($Q89:$AC89,"?*")&gt;0,", ","")&amp;"incisos 1-4","")</f>
        <v/>
      </c>
      <c r="AE89">
        <f>IF(AND($A89="Verdadero o Falso Complejas",COUNTIF($H89:$H89,"?*")&gt;0),IF(COUNTIF($Q89:$AD89,"?*")&gt;0,", ","")&amp;"opcion E deshabilitada","")</f>
        <v/>
      </c>
      <c r="AF89">
        <f>IF(AND($A89="Verdadero o Falso Complejas",TRIM($I89)&lt;&gt;"",NOT(OR(LEFT(TRIM($I89),1)="A",LEFT(TRIM($I89),1)="B",LEFT(TRIM($I89),1)="C",LEFT(TRIM($I89),1)="D",LEFT(TRIM($I89),1)="E"))),IF(COUNTIF($Q89:$AE89,"?*")&gt;0,", ","")&amp;"respuesta A-E","")</f>
        <v/>
      </c>
      <c r="AG89">
        <f>IF(AND(OR($A89="Selección de la mejor respuesta",$A89="Subítem de caso o problema"),COUNTA($D89:$H89)&lt;5),IF(COUNTIF($Q89:$AF89,"?*")&gt;0,", ","")&amp;"incisos A-E","")</f>
        <v/>
      </c>
      <c r="AH89">
        <f>IF(AND(OR($A89="Selección de la mejor respuesta",$A89="Subítem de caso o problema"),TRIM($I89)&lt;&gt;"",NOT(OR(LEFT(TRIM($I89),1)="A",LEFT(TRIM($I89),1)="B",LEFT(TRIM($I89),1)="C",LEFT(TRIM($I89),1)="D",LEFT(TRIM($I89),1)="E"))),IF(COUNTIF($Q89:$AG89,"?*")&gt;0,", ","")&amp;"respuesta A-E","")</f>
        <v/>
      </c>
      <c r="AI89">
        <f>IF(AND(OR($A89="Ítems agrupados por caso clínico o problema",$A89="Opción de Emparejamiento Ampliado"),COUNTIF($D89:$H89,"?*")&gt;0),IF(COUNTIF($Q89:$AH89,"?*")&gt;0,", ","")&amp;"sin incisos","")</f>
        <v/>
      </c>
      <c r="AJ89">
        <f>IF(AND($A89="Emparejamiento Ampliado",COUNTIF($D89:$H89,"?*")&lt;2),IF(COUNTIF($Q89:$AI89,"?*")&gt;0,", ","")&amp;"minimo 2 claves","")</f>
        <v/>
      </c>
      <c r="AK89">
        <f>IF(AND($A89="Opción de Emparejamiento Ampliado",NOT(OR(LEFT(TRIM($I89),1)="A",LEFT(TRIM($I89),1)="B",LEFT(TRIM($I89),1)="C",LEFT(TRIM($I89),1)="D",LEFT(TRIM($I89),1)="E"))),IF(COUNTIF($Q89:$AJ89,"?*")&gt;0,", ","")&amp;"respuesta A-E","")</f>
        <v/>
      </c>
      <c r="AL89">
        <f>IF(TRIM($K89)="",IF(COUNTIF($M89:$M89,"?*")&gt;0,", ","")&amp;"parcial","")</f>
        <v/>
      </c>
      <c r="AM89">
        <f>IF(AND(TRIM($K89)&lt;&gt;"",TRIM($K89)&lt;&gt;VALIDACIONES!$G$1),IF(COUNTIF($M89:$N89,"?*")&gt;0,", ","")&amp;"parcial distinto a "&amp;VALIDACIONES!$G$1,"")</f>
        <v/>
      </c>
    </row>
    <row r="90" ht="20" customHeight="1">
      <c r="A90" s="371" t="n"/>
      <c r="B90" s="371" t="n"/>
      <c r="C90" s="371" t="n"/>
      <c r="D90" s="371">
        <f>IF($A90="Verdadero o Falso Simple","Verdadero",IF($A90="Respuesta A/B/Ambas/Ninguna","A. Si la primera es verdadera",IF($A90="Verdadero o Falso Complejas","1. ","")))</f>
        <v/>
      </c>
      <c r="E90" s="371">
        <f>IF($A90="Verdadero o Falso Simple","Falso",IF($A90="Respuesta A/B/Ambas/Ninguna","B. Si la segunda es verdadera",IF($A90="Verdadero o Falso Complejas","2. ","")))</f>
        <v/>
      </c>
      <c r="F90" s="371">
        <f>IF($A90="Respuesta A/B/Ambas/Ninguna","C. Si ambas son verdaderas",IF($A90="Verdadero o Falso Complejas","3. ",""))</f>
        <v/>
      </c>
      <c r="G90" s="371">
        <f>IF($A90="Respuesta A/B/Ambas/Ninguna","D. Si ninguna es verdadera",IF($A90="Verdadero o Falso Complejas","4. ",""))</f>
        <v/>
      </c>
      <c r="H90" s="371">
        <f>IF($A90="Verdadero o Falso Simple","",IF($A90="Respuesta A/B/Ambas/Ninguna","",IF($A90="Verdadero o Falso Complejas","","")))</f>
        <v/>
      </c>
      <c r="I90" s="371" t="n"/>
      <c r="J90" s="372" t="n"/>
      <c r="K90" s="372">
        <f>IF(TRIM($A90)="","",VALIDACIONES!$G$1)</f>
        <v/>
      </c>
      <c r="L90" s="371">
        <f>IF(TRIM($A90)="","",IF(OR($A90="Selección de la mejor respuesta",$A90="SELECCION_MEJOR_RESPUESTA",$A90="Subítem de caso o problema",$A90="SUBITEM_CASO"),IF(TRIM($C90)="","Completar enunciado",IF(SUMPRODUCT(--(LEN(TRIM($D90:$H90&amp;""))&gt;0))&lt;5,"Completar opciones A-E",IF(AND(TRIM($I90)&lt;&gt;"",OR(LEFT(TRIM($I90),1)="A",LEFT(TRIM($I90),1)="B",LEFT(TRIM($I90),1)="C",LEFT(TRIM($I90),1)="D",LEFT(TRIM($I90),1)="E")),"OK","Completar respuesta correcta A-E"))),IF(TRIM($A90)="","",IF(COUNTIF($Q90:$AJ90,"?*")=0,"OK","Falta revisar: "&amp;$Q90&amp;$R90&amp;$S90&amp;$T90&amp;$U90&amp;$V90&amp;$W90&amp;$X90&amp;$Y90&amp;$Z90&amp;$AA90&amp;$AB90&amp;$AC90&amp;$AD90&amp;$AE90&amp;$AF90&amp;$AG90&amp;$AH90&amp;$AI90&amp;$AJ90))))</f>
        <v/>
      </c>
      <c r="M90" s="373" t="n"/>
      <c r="Q90">
        <f>IF(TRIM($C90)="","enunciado","")</f>
        <v/>
      </c>
      <c r="R90">
        <f>IF(TRIM($K90)="",IF(COUNTIF($Q90:$Q90,"?*")&gt;0,", ","")&amp;"parcial","")</f>
        <v/>
      </c>
      <c r="S90">
        <f>IF(AND(TRIM($K90)&lt;&gt;"",TRIM($K90)&lt;&gt;VALIDACIONES!$G$1),IF(COUNTIF($Q90:$R90,"?*")&gt;0,", ","")&amp;"parcial distinto a "&amp;VALIDACIONES!$G$1,"")</f>
        <v/>
      </c>
      <c r="T90">
        <f>IF(AND(OR($A90="Ítems agrupados por caso clínico o problema",$A90="Subítem de caso o problema",$A90="Emparejamiento Ampliado",$A90="Opción de Emparejamiento Ampliado"),TRIM($B90)=""),IF(COUNTIF($Q90:$S90,"?*")&gt;0,", ","")&amp;"grupo","")</f>
        <v/>
      </c>
      <c r="U90">
        <f>IF(AND(OR($A90="Verdadero o Falso Simple",$A90="Respuesta A/B/Ambas/Ninguna",$A90="Verdadero o Falso Complejas",$A90="Selección de la mejor respuesta",$A90="Subítem de caso o problema",$A90="Opción de Emparejamiento Ampliado"),TRIM($I90)=""),IF(COUNTIF($Q90:$T90,"?*")&gt;0,", ","")&amp;"respuesta_correcta","")</f>
        <v/>
      </c>
      <c r="V90">
        <f>IF(AND(OR($A90="Verdadero o Falso Simple",$A90="Respuesta A/B/Ambas/Ninguna",$A90="Verdadero o Falso Complejas",$A90="Selección de la mejor respuesta",$A90="Subítem de caso o problema",$A90="Opción de Emparejamiento Ampliado"),TRIM($J90)=""),IF(COUNTIF($Q90:$U90,"?*")&gt;0,", ","")&amp;"dificultad","")</f>
        <v/>
      </c>
      <c r="W90">
        <f>IF(AND(OR($A90="Ítems agrupados por caso clínico o problema",$A90="Emparejamiento Ampliado"),TRIM($I90)&lt;&gt;""),IF(COUNTIF($Q90:$V90,"?*")&gt;0,", ","")&amp;"respuesta debe ir vacia","")</f>
        <v/>
      </c>
      <c r="X90">
        <f>IF(AND(OR($A90="Ítems agrupados por caso clínico o problema",$A90="Emparejamiento Ampliado"),TRIM($J90)&lt;&gt;""),IF(COUNTIF($Q90:$W90,"?*")&gt;0,", ","")&amp;"dificultad debe ir vacia","")</f>
        <v/>
      </c>
      <c r="Y90">
        <f>IF(AND($A90="Verdadero o Falso Simple",OR(COUNTIF($D90:$E90,"?*")&lt;2,COUNTIF($F90:$H90,"?*")&gt;0)),IF(COUNTIF($Q90:$X90,"?*")&gt;0,", ","")&amp;"incisos A-B","")</f>
        <v/>
      </c>
      <c r="Z90">
        <f>IF(AND($A90="Verdadero o Falso Simple",TRIM($I90)&lt;&gt;"",NOT(OR(LEFT(TRIM($I90),1)="A",LEFT(TRIM($I90),1)="B"))),IF(COUNTIF($Q90:$Y90,"?*")&gt;0,", ","")&amp;"respuesta A-B","")</f>
        <v/>
      </c>
      <c r="AA90">
        <f>IF(AND($A90="Respuesta A/B/Ambas/Ninguna",COUNTIF($D90:$G90,"?*")&lt;4),IF(COUNTIF($Q90:$Z90,"?*")&gt;0,", ","")&amp;"opciones A-D","")</f>
        <v/>
      </c>
      <c r="AB90">
        <f>IF(AND($A90="Respuesta A/B/Ambas/Ninguna",COUNTIF($H90:$H90,"?*")&gt;0),IF(COUNTIF($Q90:$AA90,"?*")&gt;0,", ","")&amp;"opcion E deshabilitada","")</f>
        <v/>
      </c>
      <c r="AC90">
        <f>IF(AND($A90="Respuesta A/B/Ambas/Ninguna",TRIM($I90)&lt;&gt;"",NOT(OR(LEFT(TRIM($I90),1)="A",LEFT(TRIM($I90),1)="B",LEFT(TRIM($I90),1)="C",LEFT(TRIM($I90),1)="D"))),IF(COUNTIF($Q90:$AB90,"?*")&gt;0,", ","")&amp;"respuesta A-D","")</f>
        <v/>
      </c>
      <c r="AD90">
        <f>IF(AND($A90="Verdadero o Falso Complejas",OR(LEN(TRIM(SUBSTITUTE($D90,"1.","")))=0,LEN(TRIM(SUBSTITUTE($E90,"2.","")))=0,LEN(TRIM(SUBSTITUTE($F90,"3.","")))=0,LEN(TRIM(SUBSTITUTE($G90,"4.","")))=0)),IF(COUNTIF($Q90:$AC90,"?*")&gt;0,", ","")&amp;"incisos 1-4","")</f>
        <v/>
      </c>
      <c r="AE90">
        <f>IF(AND($A90="Verdadero o Falso Complejas",COUNTIF($H90:$H90,"?*")&gt;0),IF(COUNTIF($Q90:$AD90,"?*")&gt;0,", ","")&amp;"opcion E deshabilitada","")</f>
        <v/>
      </c>
      <c r="AF90">
        <f>IF(AND($A90="Verdadero o Falso Complejas",TRIM($I90)&lt;&gt;"",NOT(OR(LEFT(TRIM($I90),1)="A",LEFT(TRIM($I90),1)="B",LEFT(TRIM($I90),1)="C",LEFT(TRIM($I90),1)="D",LEFT(TRIM($I90),1)="E"))),IF(COUNTIF($Q90:$AE90,"?*")&gt;0,", ","")&amp;"respuesta A-E","")</f>
        <v/>
      </c>
      <c r="AG90">
        <f>IF(AND(OR($A90="Selección de la mejor respuesta",$A90="Subítem de caso o problema"),COUNTA($D90:$H90)&lt;5),IF(COUNTIF($Q90:$AF90,"?*")&gt;0,", ","")&amp;"incisos A-E","")</f>
        <v/>
      </c>
      <c r="AH90">
        <f>IF(AND(OR($A90="Selección de la mejor respuesta",$A90="Subítem de caso o problema"),TRIM($I90)&lt;&gt;"",NOT(OR(LEFT(TRIM($I90),1)="A",LEFT(TRIM($I90),1)="B",LEFT(TRIM($I90),1)="C",LEFT(TRIM($I90),1)="D",LEFT(TRIM($I90),1)="E"))),IF(COUNTIF($Q90:$AG90,"?*")&gt;0,", ","")&amp;"respuesta A-E","")</f>
        <v/>
      </c>
      <c r="AI90">
        <f>IF(AND(OR($A90="Ítems agrupados por caso clínico o problema",$A90="Opción de Emparejamiento Ampliado"),COUNTIF($D90:$H90,"?*")&gt;0),IF(COUNTIF($Q90:$AH90,"?*")&gt;0,", ","")&amp;"sin incisos","")</f>
        <v/>
      </c>
      <c r="AJ90">
        <f>IF(AND($A90="Emparejamiento Ampliado",COUNTIF($D90:$H90,"?*")&lt;2),IF(COUNTIF($Q90:$AI90,"?*")&gt;0,", ","")&amp;"minimo 2 claves","")</f>
        <v/>
      </c>
      <c r="AK90">
        <f>IF(AND($A90="Opción de Emparejamiento Ampliado",NOT(OR(LEFT(TRIM($I90),1)="A",LEFT(TRIM($I90),1)="B",LEFT(TRIM($I90),1)="C",LEFT(TRIM($I90),1)="D",LEFT(TRIM($I90),1)="E"))),IF(COUNTIF($Q90:$AJ90,"?*")&gt;0,", ","")&amp;"respuesta A-E","")</f>
        <v/>
      </c>
      <c r="AL90">
        <f>IF(TRIM($K90)="",IF(COUNTIF($M90:$M90,"?*")&gt;0,", ","")&amp;"parcial","")</f>
        <v/>
      </c>
      <c r="AM90">
        <f>IF(AND(TRIM($K90)&lt;&gt;"",TRIM($K90)&lt;&gt;VALIDACIONES!$G$1),IF(COUNTIF($M90:$N90,"?*")&gt;0,", ","")&amp;"parcial distinto a "&amp;VALIDACIONES!$G$1,"")</f>
        <v/>
      </c>
    </row>
    <row r="91" ht="20" customHeight="1">
      <c r="A91" s="371" t="n"/>
      <c r="B91" s="371" t="n"/>
      <c r="C91" s="371" t="n"/>
      <c r="D91" s="371">
        <f>IF($A91="Verdadero o Falso Simple","Verdadero",IF($A91="Respuesta A/B/Ambas/Ninguna","A. Si la primera es verdadera",IF($A91="Verdadero o Falso Complejas","1. ","")))</f>
        <v/>
      </c>
      <c r="E91" s="371">
        <f>IF($A91="Verdadero o Falso Simple","Falso",IF($A91="Respuesta A/B/Ambas/Ninguna","B. Si la segunda es verdadera",IF($A91="Verdadero o Falso Complejas","2. ","")))</f>
        <v/>
      </c>
      <c r="F91" s="371">
        <f>IF($A91="Respuesta A/B/Ambas/Ninguna","C. Si ambas son verdaderas",IF($A91="Verdadero o Falso Complejas","3. ",""))</f>
        <v/>
      </c>
      <c r="G91" s="371">
        <f>IF($A91="Respuesta A/B/Ambas/Ninguna","D. Si ninguna es verdadera",IF($A91="Verdadero o Falso Complejas","4. ",""))</f>
        <v/>
      </c>
      <c r="H91" s="371">
        <f>IF($A91="Verdadero o Falso Simple","",IF($A91="Respuesta A/B/Ambas/Ninguna","",IF($A91="Verdadero o Falso Complejas","","")))</f>
        <v/>
      </c>
      <c r="I91" s="371" t="n"/>
      <c r="J91" s="372" t="n"/>
      <c r="K91" s="372">
        <f>IF(TRIM($A91)="","",VALIDACIONES!$G$1)</f>
        <v/>
      </c>
      <c r="L91" s="371">
        <f>IF(TRIM($A91)="","",IF(OR($A91="Selección de la mejor respuesta",$A91="SELECCION_MEJOR_RESPUESTA",$A91="Subítem de caso o problema",$A91="SUBITEM_CASO"),IF(TRIM($C91)="","Completar enunciado",IF(SUMPRODUCT(--(LEN(TRIM($D91:$H91&amp;""))&gt;0))&lt;5,"Completar opciones A-E",IF(AND(TRIM($I91)&lt;&gt;"",OR(LEFT(TRIM($I91),1)="A",LEFT(TRIM($I91),1)="B",LEFT(TRIM($I91),1)="C",LEFT(TRIM($I91),1)="D",LEFT(TRIM($I91),1)="E")),"OK","Completar respuesta correcta A-E"))),IF(TRIM($A91)="","",IF(COUNTIF($Q91:$AJ91,"?*")=0,"OK","Falta revisar: "&amp;$Q91&amp;$R91&amp;$S91&amp;$T91&amp;$U91&amp;$V91&amp;$W91&amp;$X91&amp;$Y91&amp;$Z91&amp;$AA91&amp;$AB91&amp;$AC91&amp;$AD91&amp;$AE91&amp;$AF91&amp;$AG91&amp;$AH91&amp;$AI91&amp;$AJ91))))</f>
        <v/>
      </c>
      <c r="M91" s="373" t="n"/>
      <c r="Q91">
        <f>IF(TRIM($C91)="","enunciado","")</f>
        <v/>
      </c>
      <c r="R91">
        <f>IF(TRIM($K91)="",IF(COUNTIF($Q91:$Q91,"?*")&gt;0,", ","")&amp;"parcial","")</f>
        <v/>
      </c>
      <c r="S91">
        <f>IF(AND(TRIM($K91)&lt;&gt;"",TRIM($K91)&lt;&gt;VALIDACIONES!$G$1),IF(COUNTIF($Q91:$R91,"?*")&gt;0,", ","")&amp;"parcial distinto a "&amp;VALIDACIONES!$G$1,"")</f>
        <v/>
      </c>
      <c r="T91">
        <f>IF(AND(OR($A91="Ítems agrupados por caso clínico o problema",$A91="Subítem de caso o problema",$A91="Emparejamiento Ampliado",$A91="Opción de Emparejamiento Ampliado"),TRIM($B91)=""),IF(COUNTIF($Q91:$S91,"?*")&gt;0,", ","")&amp;"grupo","")</f>
        <v/>
      </c>
      <c r="U91">
        <f>IF(AND(OR($A91="Verdadero o Falso Simple",$A91="Respuesta A/B/Ambas/Ninguna",$A91="Verdadero o Falso Complejas",$A91="Selección de la mejor respuesta",$A91="Subítem de caso o problema",$A91="Opción de Emparejamiento Ampliado"),TRIM($I91)=""),IF(COUNTIF($Q91:$T91,"?*")&gt;0,", ","")&amp;"respuesta_correcta","")</f>
        <v/>
      </c>
      <c r="V91">
        <f>IF(AND(OR($A91="Verdadero o Falso Simple",$A91="Respuesta A/B/Ambas/Ninguna",$A91="Verdadero o Falso Complejas",$A91="Selección de la mejor respuesta",$A91="Subítem de caso o problema",$A91="Opción de Emparejamiento Ampliado"),TRIM($J91)=""),IF(COUNTIF($Q91:$U91,"?*")&gt;0,", ","")&amp;"dificultad","")</f>
        <v/>
      </c>
      <c r="W91">
        <f>IF(AND(OR($A91="Ítems agrupados por caso clínico o problema",$A91="Emparejamiento Ampliado"),TRIM($I91)&lt;&gt;""),IF(COUNTIF($Q91:$V91,"?*")&gt;0,", ","")&amp;"respuesta debe ir vacia","")</f>
        <v/>
      </c>
      <c r="X91">
        <f>IF(AND(OR($A91="Ítems agrupados por caso clínico o problema",$A91="Emparejamiento Ampliado"),TRIM($J91)&lt;&gt;""),IF(COUNTIF($Q91:$W91,"?*")&gt;0,", ","")&amp;"dificultad debe ir vacia","")</f>
        <v/>
      </c>
      <c r="Y91">
        <f>IF(AND($A91="Verdadero o Falso Simple",OR(COUNTIF($D91:$E91,"?*")&lt;2,COUNTIF($F91:$H91,"?*")&gt;0)),IF(COUNTIF($Q91:$X91,"?*")&gt;0,", ","")&amp;"incisos A-B","")</f>
        <v/>
      </c>
      <c r="Z91">
        <f>IF(AND($A91="Verdadero o Falso Simple",TRIM($I91)&lt;&gt;"",NOT(OR(LEFT(TRIM($I91),1)="A",LEFT(TRIM($I91),1)="B"))),IF(COUNTIF($Q91:$Y91,"?*")&gt;0,", ","")&amp;"respuesta A-B","")</f>
        <v/>
      </c>
      <c r="AA91">
        <f>IF(AND($A91="Respuesta A/B/Ambas/Ninguna",COUNTIF($D91:$G91,"?*")&lt;4),IF(COUNTIF($Q91:$Z91,"?*")&gt;0,", ","")&amp;"opciones A-D","")</f>
        <v/>
      </c>
      <c r="AB91">
        <f>IF(AND($A91="Respuesta A/B/Ambas/Ninguna",COUNTIF($H91:$H91,"?*")&gt;0),IF(COUNTIF($Q91:$AA91,"?*")&gt;0,", ","")&amp;"opcion E deshabilitada","")</f>
        <v/>
      </c>
      <c r="AC91">
        <f>IF(AND($A91="Respuesta A/B/Ambas/Ninguna",TRIM($I91)&lt;&gt;"",NOT(OR(LEFT(TRIM($I91),1)="A",LEFT(TRIM($I91),1)="B",LEFT(TRIM($I91),1)="C",LEFT(TRIM($I91),1)="D"))),IF(COUNTIF($Q91:$AB91,"?*")&gt;0,", ","")&amp;"respuesta A-D","")</f>
        <v/>
      </c>
      <c r="AD91">
        <f>IF(AND($A91="Verdadero o Falso Complejas",OR(LEN(TRIM(SUBSTITUTE($D91,"1.","")))=0,LEN(TRIM(SUBSTITUTE($E91,"2.","")))=0,LEN(TRIM(SUBSTITUTE($F91,"3.","")))=0,LEN(TRIM(SUBSTITUTE($G91,"4.","")))=0)),IF(COUNTIF($Q91:$AC91,"?*")&gt;0,", ","")&amp;"incisos 1-4","")</f>
        <v/>
      </c>
      <c r="AE91">
        <f>IF(AND($A91="Verdadero o Falso Complejas",COUNTIF($H91:$H91,"?*")&gt;0),IF(COUNTIF($Q91:$AD91,"?*")&gt;0,", ","")&amp;"opcion E deshabilitada","")</f>
        <v/>
      </c>
      <c r="AF91">
        <f>IF(AND($A91="Verdadero o Falso Complejas",TRIM($I91)&lt;&gt;"",NOT(OR(LEFT(TRIM($I91),1)="A",LEFT(TRIM($I91),1)="B",LEFT(TRIM($I91),1)="C",LEFT(TRIM($I91),1)="D",LEFT(TRIM($I91),1)="E"))),IF(COUNTIF($Q91:$AE91,"?*")&gt;0,", ","")&amp;"respuesta A-E","")</f>
        <v/>
      </c>
      <c r="AG91">
        <f>IF(AND(OR($A91="Selección de la mejor respuesta",$A91="Subítem de caso o problema"),COUNTA($D91:$H91)&lt;5),IF(COUNTIF($Q91:$AF91,"?*")&gt;0,", ","")&amp;"incisos A-E","")</f>
        <v/>
      </c>
      <c r="AH91">
        <f>IF(AND(OR($A91="Selección de la mejor respuesta",$A91="Subítem de caso o problema"),TRIM($I91)&lt;&gt;"",NOT(OR(LEFT(TRIM($I91),1)="A",LEFT(TRIM($I91),1)="B",LEFT(TRIM($I91),1)="C",LEFT(TRIM($I91),1)="D",LEFT(TRIM($I91),1)="E"))),IF(COUNTIF($Q91:$AG91,"?*")&gt;0,", ","")&amp;"respuesta A-E","")</f>
        <v/>
      </c>
      <c r="AI91">
        <f>IF(AND(OR($A91="Ítems agrupados por caso clínico o problema",$A91="Opción de Emparejamiento Ampliado"),COUNTIF($D91:$H91,"?*")&gt;0),IF(COUNTIF($Q91:$AH91,"?*")&gt;0,", ","")&amp;"sin incisos","")</f>
        <v/>
      </c>
      <c r="AJ91">
        <f>IF(AND($A91="Emparejamiento Ampliado",COUNTIF($D91:$H91,"?*")&lt;2),IF(COUNTIF($Q91:$AI91,"?*")&gt;0,", ","")&amp;"minimo 2 claves","")</f>
        <v/>
      </c>
      <c r="AK91">
        <f>IF(AND($A91="Opción de Emparejamiento Ampliado",NOT(OR(LEFT(TRIM($I91),1)="A",LEFT(TRIM($I91),1)="B",LEFT(TRIM($I91),1)="C",LEFT(TRIM($I91),1)="D",LEFT(TRIM($I91),1)="E"))),IF(COUNTIF($Q91:$AJ91,"?*")&gt;0,", ","")&amp;"respuesta A-E","")</f>
        <v/>
      </c>
      <c r="AL91">
        <f>IF(TRIM($K91)="",IF(COUNTIF($M91:$M91,"?*")&gt;0,", ","")&amp;"parcial","")</f>
        <v/>
      </c>
      <c r="AM91">
        <f>IF(AND(TRIM($K91)&lt;&gt;"",TRIM($K91)&lt;&gt;VALIDACIONES!$G$1),IF(COUNTIF($M91:$N91,"?*")&gt;0,", ","")&amp;"parcial distinto a "&amp;VALIDACIONES!$G$1,"")</f>
        <v/>
      </c>
    </row>
    <row r="92" ht="20" customHeight="1">
      <c r="A92" s="371" t="n"/>
      <c r="B92" s="371" t="n"/>
      <c r="C92" s="371" t="n"/>
      <c r="D92" s="371">
        <f>IF($A92="Verdadero o Falso Simple","Verdadero",IF($A92="Respuesta A/B/Ambas/Ninguna","A. Si la primera es verdadera",IF($A92="Verdadero o Falso Complejas","1. ","")))</f>
        <v/>
      </c>
      <c r="E92" s="371">
        <f>IF($A92="Verdadero o Falso Simple","Falso",IF($A92="Respuesta A/B/Ambas/Ninguna","B. Si la segunda es verdadera",IF($A92="Verdadero o Falso Complejas","2. ","")))</f>
        <v/>
      </c>
      <c r="F92" s="371">
        <f>IF($A92="Respuesta A/B/Ambas/Ninguna","C. Si ambas son verdaderas",IF($A92="Verdadero o Falso Complejas","3. ",""))</f>
        <v/>
      </c>
      <c r="G92" s="371">
        <f>IF($A92="Respuesta A/B/Ambas/Ninguna","D. Si ninguna es verdadera",IF($A92="Verdadero o Falso Complejas","4. ",""))</f>
        <v/>
      </c>
      <c r="H92" s="371">
        <f>IF($A92="Verdadero o Falso Simple","",IF($A92="Respuesta A/B/Ambas/Ninguna","",IF($A92="Verdadero o Falso Complejas","","")))</f>
        <v/>
      </c>
      <c r="I92" s="371" t="n"/>
      <c r="J92" s="372" t="n"/>
      <c r="K92" s="372">
        <f>IF(TRIM($A92)="","",VALIDACIONES!$G$1)</f>
        <v/>
      </c>
      <c r="L92" s="371">
        <f>IF(TRIM($A92)="","",IF(OR($A92="Selección de la mejor respuesta",$A92="SELECCION_MEJOR_RESPUESTA",$A92="Subítem de caso o problema",$A92="SUBITEM_CASO"),IF(TRIM($C92)="","Completar enunciado",IF(SUMPRODUCT(--(LEN(TRIM($D92:$H92&amp;""))&gt;0))&lt;5,"Completar opciones A-E",IF(AND(TRIM($I92)&lt;&gt;"",OR(LEFT(TRIM($I92),1)="A",LEFT(TRIM($I92),1)="B",LEFT(TRIM($I92),1)="C",LEFT(TRIM($I92),1)="D",LEFT(TRIM($I92),1)="E")),"OK","Completar respuesta correcta A-E"))),IF(TRIM($A92)="","",IF(COUNTIF($Q92:$AJ92,"?*")=0,"OK","Falta revisar: "&amp;$Q92&amp;$R92&amp;$S92&amp;$T92&amp;$U92&amp;$V92&amp;$W92&amp;$X92&amp;$Y92&amp;$Z92&amp;$AA92&amp;$AB92&amp;$AC92&amp;$AD92&amp;$AE92&amp;$AF92&amp;$AG92&amp;$AH92&amp;$AI92&amp;$AJ92))))</f>
        <v/>
      </c>
      <c r="M92" s="373" t="n"/>
      <c r="Q92">
        <f>IF(TRIM($C92)="","enunciado","")</f>
        <v/>
      </c>
      <c r="R92">
        <f>IF(TRIM($K92)="",IF(COUNTIF($Q92:$Q92,"?*")&gt;0,", ","")&amp;"parcial","")</f>
        <v/>
      </c>
      <c r="S92">
        <f>IF(AND(TRIM($K92)&lt;&gt;"",TRIM($K92)&lt;&gt;VALIDACIONES!$G$1),IF(COUNTIF($Q92:$R92,"?*")&gt;0,", ","")&amp;"parcial distinto a "&amp;VALIDACIONES!$G$1,"")</f>
        <v/>
      </c>
      <c r="T92">
        <f>IF(AND(OR($A92="Ítems agrupados por caso clínico o problema",$A92="Subítem de caso o problema",$A92="Emparejamiento Ampliado",$A92="Opción de Emparejamiento Ampliado"),TRIM($B92)=""),IF(COUNTIF($Q92:$S92,"?*")&gt;0,", ","")&amp;"grupo","")</f>
        <v/>
      </c>
      <c r="U92">
        <f>IF(AND(OR($A92="Verdadero o Falso Simple",$A92="Respuesta A/B/Ambas/Ninguna",$A92="Verdadero o Falso Complejas",$A92="Selección de la mejor respuesta",$A92="Subítem de caso o problema",$A92="Opción de Emparejamiento Ampliado"),TRIM($I92)=""),IF(COUNTIF($Q92:$T92,"?*")&gt;0,", ","")&amp;"respuesta_correcta","")</f>
        <v/>
      </c>
      <c r="V92">
        <f>IF(AND(OR($A92="Verdadero o Falso Simple",$A92="Respuesta A/B/Ambas/Ninguna",$A92="Verdadero o Falso Complejas",$A92="Selección de la mejor respuesta",$A92="Subítem de caso o problema",$A92="Opción de Emparejamiento Ampliado"),TRIM($J92)=""),IF(COUNTIF($Q92:$U92,"?*")&gt;0,", ","")&amp;"dificultad","")</f>
        <v/>
      </c>
      <c r="W92">
        <f>IF(AND(OR($A92="Ítems agrupados por caso clínico o problema",$A92="Emparejamiento Ampliado"),TRIM($I92)&lt;&gt;""),IF(COUNTIF($Q92:$V92,"?*")&gt;0,", ","")&amp;"respuesta debe ir vacia","")</f>
        <v/>
      </c>
      <c r="X92">
        <f>IF(AND(OR($A92="Ítems agrupados por caso clínico o problema",$A92="Emparejamiento Ampliado"),TRIM($J92)&lt;&gt;""),IF(COUNTIF($Q92:$W92,"?*")&gt;0,", ","")&amp;"dificultad debe ir vacia","")</f>
        <v/>
      </c>
      <c r="Y92">
        <f>IF(AND($A92="Verdadero o Falso Simple",OR(COUNTIF($D92:$E92,"?*")&lt;2,COUNTIF($F92:$H92,"?*")&gt;0)),IF(COUNTIF($Q92:$X92,"?*")&gt;0,", ","")&amp;"incisos A-B","")</f>
        <v/>
      </c>
      <c r="Z92">
        <f>IF(AND($A92="Verdadero o Falso Simple",TRIM($I92)&lt;&gt;"",NOT(OR(LEFT(TRIM($I92),1)="A",LEFT(TRIM($I92),1)="B"))),IF(COUNTIF($Q92:$Y92,"?*")&gt;0,", ","")&amp;"respuesta A-B","")</f>
        <v/>
      </c>
      <c r="AA92">
        <f>IF(AND($A92="Respuesta A/B/Ambas/Ninguna",COUNTIF($D92:$G92,"?*")&lt;4),IF(COUNTIF($Q92:$Z92,"?*")&gt;0,", ","")&amp;"opciones A-D","")</f>
        <v/>
      </c>
      <c r="AB92">
        <f>IF(AND($A92="Respuesta A/B/Ambas/Ninguna",COUNTIF($H92:$H92,"?*")&gt;0),IF(COUNTIF($Q92:$AA92,"?*")&gt;0,", ","")&amp;"opcion E deshabilitada","")</f>
        <v/>
      </c>
      <c r="AC92">
        <f>IF(AND($A92="Respuesta A/B/Ambas/Ninguna",TRIM($I92)&lt;&gt;"",NOT(OR(LEFT(TRIM($I92),1)="A",LEFT(TRIM($I92),1)="B",LEFT(TRIM($I92),1)="C",LEFT(TRIM($I92),1)="D"))),IF(COUNTIF($Q92:$AB92,"?*")&gt;0,", ","")&amp;"respuesta A-D","")</f>
        <v/>
      </c>
      <c r="AD92">
        <f>IF(AND($A92="Verdadero o Falso Complejas",OR(LEN(TRIM(SUBSTITUTE($D92,"1.","")))=0,LEN(TRIM(SUBSTITUTE($E92,"2.","")))=0,LEN(TRIM(SUBSTITUTE($F92,"3.","")))=0,LEN(TRIM(SUBSTITUTE($G92,"4.","")))=0)),IF(COUNTIF($Q92:$AC92,"?*")&gt;0,", ","")&amp;"incisos 1-4","")</f>
        <v/>
      </c>
      <c r="AE92">
        <f>IF(AND($A92="Verdadero o Falso Complejas",COUNTIF($H92:$H92,"?*")&gt;0),IF(COUNTIF($Q92:$AD92,"?*")&gt;0,", ","")&amp;"opcion E deshabilitada","")</f>
        <v/>
      </c>
      <c r="AF92">
        <f>IF(AND($A92="Verdadero o Falso Complejas",TRIM($I92)&lt;&gt;"",NOT(OR(LEFT(TRIM($I92),1)="A",LEFT(TRIM($I92),1)="B",LEFT(TRIM($I92),1)="C",LEFT(TRIM($I92),1)="D",LEFT(TRIM($I92),1)="E"))),IF(COUNTIF($Q92:$AE92,"?*")&gt;0,", ","")&amp;"respuesta A-E","")</f>
        <v/>
      </c>
      <c r="AG92">
        <f>IF(AND(OR($A92="Selección de la mejor respuesta",$A92="Subítem de caso o problema"),COUNTA($D92:$H92)&lt;5),IF(COUNTIF($Q92:$AF92,"?*")&gt;0,", ","")&amp;"incisos A-E","")</f>
        <v/>
      </c>
      <c r="AH92">
        <f>IF(AND(OR($A92="Selección de la mejor respuesta",$A92="Subítem de caso o problema"),TRIM($I92)&lt;&gt;"",NOT(OR(LEFT(TRIM($I92),1)="A",LEFT(TRIM($I92),1)="B",LEFT(TRIM($I92),1)="C",LEFT(TRIM($I92),1)="D",LEFT(TRIM($I92),1)="E"))),IF(COUNTIF($Q92:$AG92,"?*")&gt;0,", ","")&amp;"respuesta A-E","")</f>
        <v/>
      </c>
      <c r="AI92">
        <f>IF(AND(OR($A92="Ítems agrupados por caso clínico o problema",$A92="Opción de Emparejamiento Ampliado"),COUNTIF($D92:$H92,"?*")&gt;0),IF(COUNTIF($Q92:$AH92,"?*")&gt;0,", ","")&amp;"sin incisos","")</f>
        <v/>
      </c>
      <c r="AJ92">
        <f>IF(AND($A92="Emparejamiento Ampliado",COUNTIF($D92:$H92,"?*")&lt;2),IF(COUNTIF($Q92:$AI92,"?*")&gt;0,", ","")&amp;"minimo 2 claves","")</f>
        <v/>
      </c>
      <c r="AK92">
        <f>IF(AND($A92="Opción de Emparejamiento Ampliado",NOT(OR(LEFT(TRIM($I92),1)="A",LEFT(TRIM($I92),1)="B",LEFT(TRIM($I92),1)="C",LEFT(TRIM($I92),1)="D",LEFT(TRIM($I92),1)="E"))),IF(COUNTIF($Q92:$AJ92,"?*")&gt;0,", ","")&amp;"respuesta A-E","")</f>
        <v/>
      </c>
      <c r="AL92">
        <f>IF(TRIM($K92)="",IF(COUNTIF($M92:$M92,"?*")&gt;0,", ","")&amp;"parcial","")</f>
        <v/>
      </c>
      <c r="AM92">
        <f>IF(AND(TRIM($K92)&lt;&gt;"",TRIM($K92)&lt;&gt;VALIDACIONES!$G$1),IF(COUNTIF($M92:$N92,"?*")&gt;0,", ","")&amp;"parcial distinto a "&amp;VALIDACIONES!$G$1,"")</f>
        <v/>
      </c>
    </row>
    <row r="93" ht="20" customHeight="1">
      <c r="A93" s="371" t="n"/>
      <c r="B93" s="371" t="n"/>
      <c r="C93" s="371" t="n"/>
      <c r="D93" s="371">
        <f>IF($A93="Verdadero o Falso Simple","Verdadero",IF($A93="Respuesta A/B/Ambas/Ninguna","A. Si la primera es verdadera",IF($A93="Verdadero o Falso Complejas","1. ","")))</f>
        <v/>
      </c>
      <c r="E93" s="371">
        <f>IF($A93="Verdadero o Falso Simple","Falso",IF($A93="Respuesta A/B/Ambas/Ninguna","B. Si la segunda es verdadera",IF($A93="Verdadero o Falso Complejas","2. ","")))</f>
        <v/>
      </c>
      <c r="F93" s="371">
        <f>IF($A93="Respuesta A/B/Ambas/Ninguna","C. Si ambas son verdaderas",IF($A93="Verdadero o Falso Complejas","3. ",""))</f>
        <v/>
      </c>
      <c r="G93" s="371">
        <f>IF($A93="Respuesta A/B/Ambas/Ninguna","D. Si ninguna es verdadera",IF($A93="Verdadero o Falso Complejas","4. ",""))</f>
        <v/>
      </c>
      <c r="H93" s="371">
        <f>IF($A93="Verdadero o Falso Simple","",IF($A93="Respuesta A/B/Ambas/Ninguna","",IF($A93="Verdadero o Falso Complejas","","")))</f>
        <v/>
      </c>
      <c r="I93" s="371" t="n"/>
      <c r="J93" s="372" t="n"/>
      <c r="K93" s="372">
        <f>IF(TRIM($A93)="","",VALIDACIONES!$G$1)</f>
        <v/>
      </c>
      <c r="L93" s="371">
        <f>IF(TRIM($A93)="","",IF(OR($A93="Selección de la mejor respuesta",$A93="SELECCION_MEJOR_RESPUESTA",$A93="Subítem de caso o problema",$A93="SUBITEM_CASO"),IF(TRIM($C93)="","Completar enunciado",IF(SUMPRODUCT(--(LEN(TRIM($D93:$H93&amp;""))&gt;0))&lt;5,"Completar opciones A-E",IF(AND(TRIM($I93)&lt;&gt;"",OR(LEFT(TRIM($I93),1)="A",LEFT(TRIM($I93),1)="B",LEFT(TRIM($I93),1)="C",LEFT(TRIM($I93),1)="D",LEFT(TRIM($I93),1)="E")),"OK","Completar respuesta correcta A-E"))),IF(TRIM($A93)="","",IF(COUNTIF($Q93:$AJ93,"?*")=0,"OK","Falta revisar: "&amp;$Q93&amp;$R93&amp;$S93&amp;$T93&amp;$U93&amp;$V93&amp;$W93&amp;$X93&amp;$Y93&amp;$Z93&amp;$AA93&amp;$AB93&amp;$AC93&amp;$AD93&amp;$AE93&amp;$AF93&amp;$AG93&amp;$AH93&amp;$AI93&amp;$AJ93))))</f>
        <v/>
      </c>
      <c r="M93" s="373" t="n"/>
      <c r="Q93">
        <f>IF(TRIM($C93)="","enunciado","")</f>
        <v/>
      </c>
      <c r="R93">
        <f>IF(TRIM($K93)="",IF(COUNTIF($Q93:$Q93,"?*")&gt;0,", ","")&amp;"parcial","")</f>
        <v/>
      </c>
      <c r="S93">
        <f>IF(AND(TRIM($K93)&lt;&gt;"",TRIM($K93)&lt;&gt;VALIDACIONES!$G$1),IF(COUNTIF($Q93:$R93,"?*")&gt;0,", ","")&amp;"parcial distinto a "&amp;VALIDACIONES!$G$1,"")</f>
        <v/>
      </c>
      <c r="T93">
        <f>IF(AND(OR($A93="Ítems agrupados por caso clínico o problema",$A93="Subítem de caso o problema",$A93="Emparejamiento Ampliado",$A93="Opción de Emparejamiento Ampliado"),TRIM($B93)=""),IF(COUNTIF($Q93:$S93,"?*")&gt;0,", ","")&amp;"grupo","")</f>
        <v/>
      </c>
      <c r="U93">
        <f>IF(AND(OR($A93="Verdadero o Falso Simple",$A93="Respuesta A/B/Ambas/Ninguna",$A93="Verdadero o Falso Complejas",$A93="Selección de la mejor respuesta",$A93="Subítem de caso o problema",$A93="Opción de Emparejamiento Ampliado"),TRIM($I93)=""),IF(COUNTIF($Q93:$T93,"?*")&gt;0,", ","")&amp;"respuesta_correcta","")</f>
        <v/>
      </c>
      <c r="V93">
        <f>IF(AND(OR($A93="Verdadero o Falso Simple",$A93="Respuesta A/B/Ambas/Ninguna",$A93="Verdadero o Falso Complejas",$A93="Selección de la mejor respuesta",$A93="Subítem de caso o problema",$A93="Opción de Emparejamiento Ampliado"),TRIM($J93)=""),IF(COUNTIF($Q93:$U93,"?*")&gt;0,", ","")&amp;"dificultad","")</f>
        <v/>
      </c>
      <c r="W93">
        <f>IF(AND(OR($A93="Ítems agrupados por caso clínico o problema",$A93="Emparejamiento Ampliado"),TRIM($I93)&lt;&gt;""),IF(COUNTIF($Q93:$V93,"?*")&gt;0,", ","")&amp;"respuesta debe ir vacia","")</f>
        <v/>
      </c>
      <c r="X93">
        <f>IF(AND(OR($A93="Ítems agrupados por caso clínico o problema",$A93="Emparejamiento Ampliado"),TRIM($J93)&lt;&gt;""),IF(COUNTIF($Q93:$W93,"?*")&gt;0,", ","")&amp;"dificultad debe ir vacia","")</f>
        <v/>
      </c>
      <c r="Y93">
        <f>IF(AND($A93="Verdadero o Falso Simple",OR(COUNTIF($D93:$E93,"?*")&lt;2,COUNTIF($F93:$H93,"?*")&gt;0)),IF(COUNTIF($Q93:$X93,"?*")&gt;0,", ","")&amp;"incisos A-B","")</f>
        <v/>
      </c>
      <c r="Z93">
        <f>IF(AND($A93="Verdadero o Falso Simple",TRIM($I93)&lt;&gt;"",NOT(OR(LEFT(TRIM($I93),1)="A",LEFT(TRIM($I93),1)="B"))),IF(COUNTIF($Q93:$Y93,"?*")&gt;0,", ","")&amp;"respuesta A-B","")</f>
        <v/>
      </c>
      <c r="AA93">
        <f>IF(AND($A93="Respuesta A/B/Ambas/Ninguna",COUNTIF($D93:$G93,"?*")&lt;4),IF(COUNTIF($Q93:$Z93,"?*")&gt;0,", ","")&amp;"opciones A-D","")</f>
        <v/>
      </c>
      <c r="AB93">
        <f>IF(AND($A93="Respuesta A/B/Ambas/Ninguna",COUNTIF($H93:$H93,"?*")&gt;0),IF(COUNTIF($Q93:$AA93,"?*")&gt;0,", ","")&amp;"opcion E deshabilitada","")</f>
        <v/>
      </c>
      <c r="AC93">
        <f>IF(AND($A93="Respuesta A/B/Ambas/Ninguna",TRIM($I93)&lt;&gt;"",NOT(OR(LEFT(TRIM($I93),1)="A",LEFT(TRIM($I93),1)="B",LEFT(TRIM($I93),1)="C",LEFT(TRIM($I93),1)="D"))),IF(COUNTIF($Q93:$AB93,"?*")&gt;0,", ","")&amp;"respuesta A-D","")</f>
        <v/>
      </c>
      <c r="AD93">
        <f>IF(AND($A93="Verdadero o Falso Complejas",OR(LEN(TRIM(SUBSTITUTE($D93,"1.","")))=0,LEN(TRIM(SUBSTITUTE($E93,"2.","")))=0,LEN(TRIM(SUBSTITUTE($F93,"3.","")))=0,LEN(TRIM(SUBSTITUTE($G93,"4.","")))=0)),IF(COUNTIF($Q93:$AC93,"?*")&gt;0,", ","")&amp;"incisos 1-4","")</f>
        <v/>
      </c>
      <c r="AE93">
        <f>IF(AND($A93="Verdadero o Falso Complejas",COUNTIF($H93:$H93,"?*")&gt;0),IF(COUNTIF($Q93:$AD93,"?*")&gt;0,", ","")&amp;"opcion E deshabilitada","")</f>
        <v/>
      </c>
      <c r="AF93">
        <f>IF(AND($A93="Verdadero o Falso Complejas",TRIM($I93)&lt;&gt;"",NOT(OR(LEFT(TRIM($I93),1)="A",LEFT(TRIM($I93),1)="B",LEFT(TRIM($I93),1)="C",LEFT(TRIM($I93),1)="D",LEFT(TRIM($I93),1)="E"))),IF(COUNTIF($Q93:$AE93,"?*")&gt;0,", ","")&amp;"respuesta A-E","")</f>
        <v/>
      </c>
      <c r="AG93">
        <f>IF(AND(OR($A93="Selección de la mejor respuesta",$A93="Subítem de caso o problema"),COUNTA($D93:$H93)&lt;5),IF(COUNTIF($Q93:$AF93,"?*")&gt;0,", ","")&amp;"incisos A-E","")</f>
        <v/>
      </c>
      <c r="AH93">
        <f>IF(AND(OR($A93="Selección de la mejor respuesta",$A93="Subítem de caso o problema"),TRIM($I93)&lt;&gt;"",NOT(OR(LEFT(TRIM($I93),1)="A",LEFT(TRIM($I93),1)="B",LEFT(TRIM($I93),1)="C",LEFT(TRIM($I93),1)="D",LEFT(TRIM($I93),1)="E"))),IF(COUNTIF($Q93:$AG93,"?*")&gt;0,", ","")&amp;"respuesta A-E","")</f>
        <v/>
      </c>
      <c r="AI93">
        <f>IF(AND(OR($A93="Ítems agrupados por caso clínico o problema",$A93="Opción de Emparejamiento Ampliado"),COUNTIF($D93:$H93,"?*")&gt;0),IF(COUNTIF($Q93:$AH93,"?*")&gt;0,", ","")&amp;"sin incisos","")</f>
        <v/>
      </c>
      <c r="AJ93">
        <f>IF(AND($A93="Emparejamiento Ampliado",COUNTIF($D93:$H93,"?*")&lt;2),IF(COUNTIF($Q93:$AI93,"?*")&gt;0,", ","")&amp;"minimo 2 claves","")</f>
        <v/>
      </c>
      <c r="AK93">
        <f>IF(AND($A93="Opción de Emparejamiento Ampliado",NOT(OR(LEFT(TRIM($I93),1)="A",LEFT(TRIM($I93),1)="B",LEFT(TRIM($I93),1)="C",LEFT(TRIM($I93),1)="D",LEFT(TRIM($I93),1)="E"))),IF(COUNTIF($Q93:$AJ93,"?*")&gt;0,", ","")&amp;"respuesta A-E","")</f>
        <v/>
      </c>
      <c r="AL93">
        <f>IF(TRIM($K93)="",IF(COUNTIF($M93:$M93,"?*")&gt;0,", ","")&amp;"parcial","")</f>
        <v/>
      </c>
      <c r="AM93">
        <f>IF(AND(TRIM($K93)&lt;&gt;"",TRIM($K93)&lt;&gt;VALIDACIONES!$G$1),IF(COUNTIF($M93:$N93,"?*")&gt;0,", ","")&amp;"parcial distinto a "&amp;VALIDACIONES!$G$1,"")</f>
        <v/>
      </c>
    </row>
    <row r="94" ht="20" customHeight="1">
      <c r="A94" s="371" t="n"/>
      <c r="B94" s="371" t="n"/>
      <c r="C94" s="371" t="n"/>
      <c r="D94" s="371">
        <f>IF($A94="Verdadero o Falso Simple","Verdadero",IF($A94="Respuesta A/B/Ambas/Ninguna","A. Si la primera es verdadera",IF($A94="Verdadero o Falso Complejas","1. ","")))</f>
        <v/>
      </c>
      <c r="E94" s="371">
        <f>IF($A94="Verdadero o Falso Simple","Falso",IF($A94="Respuesta A/B/Ambas/Ninguna","B. Si la segunda es verdadera",IF($A94="Verdadero o Falso Complejas","2. ","")))</f>
        <v/>
      </c>
      <c r="F94" s="371">
        <f>IF($A94="Respuesta A/B/Ambas/Ninguna","C. Si ambas son verdaderas",IF($A94="Verdadero o Falso Complejas","3. ",""))</f>
        <v/>
      </c>
      <c r="G94" s="371">
        <f>IF($A94="Respuesta A/B/Ambas/Ninguna","D. Si ninguna es verdadera",IF($A94="Verdadero o Falso Complejas","4. ",""))</f>
        <v/>
      </c>
      <c r="H94" s="371">
        <f>IF($A94="Verdadero o Falso Simple","",IF($A94="Respuesta A/B/Ambas/Ninguna","",IF($A94="Verdadero o Falso Complejas","","")))</f>
        <v/>
      </c>
      <c r="I94" s="371" t="n"/>
      <c r="J94" s="372" t="n"/>
      <c r="K94" s="372">
        <f>IF(TRIM($A94)="","",VALIDACIONES!$G$1)</f>
        <v/>
      </c>
      <c r="L94" s="371">
        <f>IF(TRIM($A94)="","",IF(OR($A94="Selección de la mejor respuesta",$A94="SELECCION_MEJOR_RESPUESTA",$A94="Subítem de caso o problema",$A94="SUBITEM_CASO"),IF(TRIM($C94)="","Completar enunciado",IF(SUMPRODUCT(--(LEN(TRIM($D94:$H94&amp;""))&gt;0))&lt;5,"Completar opciones A-E",IF(AND(TRIM($I94)&lt;&gt;"",OR(LEFT(TRIM($I94),1)="A",LEFT(TRIM($I94),1)="B",LEFT(TRIM($I94),1)="C",LEFT(TRIM($I94),1)="D",LEFT(TRIM($I94),1)="E")),"OK","Completar respuesta correcta A-E"))),IF(TRIM($A94)="","",IF(COUNTIF($Q94:$AJ94,"?*")=0,"OK","Falta revisar: "&amp;$Q94&amp;$R94&amp;$S94&amp;$T94&amp;$U94&amp;$V94&amp;$W94&amp;$X94&amp;$Y94&amp;$Z94&amp;$AA94&amp;$AB94&amp;$AC94&amp;$AD94&amp;$AE94&amp;$AF94&amp;$AG94&amp;$AH94&amp;$AI94&amp;$AJ94))))</f>
        <v/>
      </c>
      <c r="M94" s="373" t="n"/>
      <c r="Q94">
        <f>IF(TRIM($C94)="","enunciado","")</f>
        <v/>
      </c>
      <c r="R94">
        <f>IF(TRIM($K94)="",IF(COUNTIF($Q94:$Q94,"?*")&gt;0,", ","")&amp;"parcial","")</f>
        <v/>
      </c>
      <c r="S94">
        <f>IF(AND(TRIM($K94)&lt;&gt;"",TRIM($K94)&lt;&gt;VALIDACIONES!$G$1),IF(COUNTIF($Q94:$R94,"?*")&gt;0,", ","")&amp;"parcial distinto a "&amp;VALIDACIONES!$G$1,"")</f>
        <v/>
      </c>
      <c r="T94">
        <f>IF(AND(OR($A94="Ítems agrupados por caso clínico o problema",$A94="Subítem de caso o problema",$A94="Emparejamiento Ampliado",$A94="Opción de Emparejamiento Ampliado"),TRIM($B94)=""),IF(COUNTIF($Q94:$S94,"?*")&gt;0,", ","")&amp;"grupo","")</f>
        <v/>
      </c>
      <c r="U94">
        <f>IF(AND(OR($A94="Verdadero o Falso Simple",$A94="Respuesta A/B/Ambas/Ninguna",$A94="Verdadero o Falso Complejas",$A94="Selección de la mejor respuesta",$A94="Subítem de caso o problema",$A94="Opción de Emparejamiento Ampliado"),TRIM($I94)=""),IF(COUNTIF($Q94:$T94,"?*")&gt;0,", ","")&amp;"respuesta_correcta","")</f>
        <v/>
      </c>
      <c r="V94">
        <f>IF(AND(OR($A94="Verdadero o Falso Simple",$A94="Respuesta A/B/Ambas/Ninguna",$A94="Verdadero o Falso Complejas",$A94="Selección de la mejor respuesta",$A94="Subítem de caso o problema",$A94="Opción de Emparejamiento Ampliado"),TRIM($J94)=""),IF(COUNTIF($Q94:$U94,"?*")&gt;0,", ","")&amp;"dificultad","")</f>
        <v/>
      </c>
      <c r="W94">
        <f>IF(AND(OR($A94="Ítems agrupados por caso clínico o problema",$A94="Emparejamiento Ampliado"),TRIM($I94)&lt;&gt;""),IF(COUNTIF($Q94:$V94,"?*")&gt;0,", ","")&amp;"respuesta debe ir vacia","")</f>
        <v/>
      </c>
      <c r="X94">
        <f>IF(AND(OR($A94="Ítems agrupados por caso clínico o problema",$A94="Emparejamiento Ampliado"),TRIM($J94)&lt;&gt;""),IF(COUNTIF($Q94:$W94,"?*")&gt;0,", ","")&amp;"dificultad debe ir vacia","")</f>
        <v/>
      </c>
      <c r="Y94">
        <f>IF(AND($A94="Verdadero o Falso Simple",OR(COUNTIF($D94:$E94,"?*")&lt;2,COUNTIF($F94:$H94,"?*")&gt;0)),IF(COUNTIF($Q94:$X94,"?*")&gt;0,", ","")&amp;"incisos A-B","")</f>
        <v/>
      </c>
      <c r="Z94">
        <f>IF(AND($A94="Verdadero o Falso Simple",TRIM($I94)&lt;&gt;"",NOT(OR(LEFT(TRIM($I94),1)="A",LEFT(TRIM($I94),1)="B"))),IF(COUNTIF($Q94:$Y94,"?*")&gt;0,", ","")&amp;"respuesta A-B","")</f>
        <v/>
      </c>
      <c r="AA94">
        <f>IF(AND($A94="Respuesta A/B/Ambas/Ninguna",COUNTIF($D94:$G94,"?*")&lt;4),IF(COUNTIF($Q94:$Z94,"?*")&gt;0,", ","")&amp;"opciones A-D","")</f>
        <v/>
      </c>
      <c r="AB94">
        <f>IF(AND($A94="Respuesta A/B/Ambas/Ninguna",COUNTIF($H94:$H94,"?*")&gt;0),IF(COUNTIF($Q94:$AA94,"?*")&gt;0,", ","")&amp;"opcion E deshabilitada","")</f>
        <v/>
      </c>
      <c r="AC94">
        <f>IF(AND($A94="Respuesta A/B/Ambas/Ninguna",TRIM($I94)&lt;&gt;"",NOT(OR(LEFT(TRIM($I94),1)="A",LEFT(TRIM($I94),1)="B",LEFT(TRIM($I94),1)="C",LEFT(TRIM($I94),1)="D"))),IF(COUNTIF($Q94:$AB94,"?*")&gt;0,", ","")&amp;"respuesta A-D","")</f>
        <v/>
      </c>
      <c r="AD94">
        <f>IF(AND($A94="Verdadero o Falso Complejas",OR(LEN(TRIM(SUBSTITUTE($D94,"1.","")))=0,LEN(TRIM(SUBSTITUTE($E94,"2.","")))=0,LEN(TRIM(SUBSTITUTE($F94,"3.","")))=0,LEN(TRIM(SUBSTITUTE($G94,"4.","")))=0)),IF(COUNTIF($Q94:$AC94,"?*")&gt;0,", ","")&amp;"incisos 1-4","")</f>
        <v/>
      </c>
      <c r="AE94">
        <f>IF(AND($A94="Verdadero o Falso Complejas",COUNTIF($H94:$H94,"?*")&gt;0),IF(COUNTIF($Q94:$AD94,"?*")&gt;0,", ","")&amp;"opcion E deshabilitada","")</f>
        <v/>
      </c>
      <c r="AF94">
        <f>IF(AND($A94="Verdadero o Falso Complejas",TRIM($I94)&lt;&gt;"",NOT(OR(LEFT(TRIM($I94),1)="A",LEFT(TRIM($I94),1)="B",LEFT(TRIM($I94),1)="C",LEFT(TRIM($I94),1)="D",LEFT(TRIM($I94),1)="E"))),IF(COUNTIF($Q94:$AE94,"?*")&gt;0,", ","")&amp;"respuesta A-E","")</f>
        <v/>
      </c>
      <c r="AG94">
        <f>IF(AND(OR($A94="Selección de la mejor respuesta",$A94="Subítem de caso o problema"),COUNTA($D94:$H94)&lt;5),IF(COUNTIF($Q94:$AF94,"?*")&gt;0,", ","")&amp;"incisos A-E","")</f>
        <v/>
      </c>
      <c r="AH94">
        <f>IF(AND(OR($A94="Selección de la mejor respuesta",$A94="Subítem de caso o problema"),TRIM($I94)&lt;&gt;"",NOT(OR(LEFT(TRIM($I94),1)="A",LEFT(TRIM($I94),1)="B",LEFT(TRIM($I94),1)="C",LEFT(TRIM($I94),1)="D",LEFT(TRIM($I94),1)="E"))),IF(COUNTIF($Q94:$AG94,"?*")&gt;0,", ","")&amp;"respuesta A-E","")</f>
        <v/>
      </c>
      <c r="AI94">
        <f>IF(AND(OR($A94="Ítems agrupados por caso clínico o problema",$A94="Opción de Emparejamiento Ampliado"),COUNTIF($D94:$H94,"?*")&gt;0),IF(COUNTIF($Q94:$AH94,"?*")&gt;0,", ","")&amp;"sin incisos","")</f>
        <v/>
      </c>
      <c r="AJ94">
        <f>IF(AND($A94="Emparejamiento Ampliado",COUNTIF($D94:$H94,"?*")&lt;2),IF(COUNTIF($Q94:$AI94,"?*")&gt;0,", ","")&amp;"minimo 2 claves","")</f>
        <v/>
      </c>
      <c r="AK94">
        <f>IF(AND($A94="Opción de Emparejamiento Ampliado",NOT(OR(LEFT(TRIM($I94),1)="A",LEFT(TRIM($I94),1)="B",LEFT(TRIM($I94),1)="C",LEFT(TRIM($I94),1)="D",LEFT(TRIM($I94),1)="E"))),IF(COUNTIF($Q94:$AJ94,"?*")&gt;0,", ","")&amp;"respuesta A-E","")</f>
        <v/>
      </c>
      <c r="AL94">
        <f>IF(TRIM($K94)="",IF(COUNTIF($M94:$M94,"?*")&gt;0,", ","")&amp;"parcial","")</f>
        <v/>
      </c>
      <c r="AM94">
        <f>IF(AND(TRIM($K94)&lt;&gt;"",TRIM($K94)&lt;&gt;VALIDACIONES!$G$1),IF(COUNTIF($M94:$N94,"?*")&gt;0,", ","")&amp;"parcial distinto a "&amp;VALIDACIONES!$G$1,"")</f>
        <v/>
      </c>
    </row>
    <row r="95" ht="20" customHeight="1">
      <c r="A95" s="371" t="n"/>
      <c r="B95" s="371" t="n"/>
      <c r="C95" s="371" t="n"/>
      <c r="D95" s="371">
        <f>IF($A95="Verdadero o Falso Simple","Verdadero",IF($A95="Respuesta A/B/Ambas/Ninguna","A. Si la primera es verdadera",IF($A95="Verdadero o Falso Complejas","1. ","")))</f>
        <v/>
      </c>
      <c r="E95" s="371">
        <f>IF($A95="Verdadero o Falso Simple","Falso",IF($A95="Respuesta A/B/Ambas/Ninguna","B. Si la segunda es verdadera",IF($A95="Verdadero o Falso Complejas","2. ","")))</f>
        <v/>
      </c>
      <c r="F95" s="371">
        <f>IF($A95="Respuesta A/B/Ambas/Ninguna","C. Si ambas son verdaderas",IF($A95="Verdadero o Falso Complejas","3. ",""))</f>
        <v/>
      </c>
      <c r="G95" s="371">
        <f>IF($A95="Respuesta A/B/Ambas/Ninguna","D. Si ninguna es verdadera",IF($A95="Verdadero o Falso Complejas","4. ",""))</f>
        <v/>
      </c>
      <c r="H95" s="371">
        <f>IF($A95="Verdadero o Falso Simple","",IF($A95="Respuesta A/B/Ambas/Ninguna","",IF($A95="Verdadero o Falso Complejas","","")))</f>
        <v/>
      </c>
      <c r="I95" s="371" t="n"/>
      <c r="J95" s="372" t="n"/>
      <c r="K95" s="372">
        <f>IF(TRIM($A95)="","",VALIDACIONES!$G$1)</f>
        <v/>
      </c>
      <c r="L95" s="371">
        <f>IF(TRIM($A95)="","",IF(OR($A95="Selección de la mejor respuesta",$A95="SELECCION_MEJOR_RESPUESTA",$A95="Subítem de caso o problema",$A95="SUBITEM_CASO"),IF(TRIM($C95)="","Completar enunciado",IF(SUMPRODUCT(--(LEN(TRIM($D95:$H95&amp;""))&gt;0))&lt;5,"Completar opciones A-E",IF(AND(TRIM($I95)&lt;&gt;"",OR(LEFT(TRIM($I95),1)="A",LEFT(TRIM($I95),1)="B",LEFT(TRIM($I95),1)="C",LEFT(TRIM($I95),1)="D",LEFT(TRIM($I95),1)="E")),"OK","Completar respuesta correcta A-E"))),IF(TRIM($A95)="","",IF(COUNTIF($Q95:$AJ95,"?*")=0,"OK","Falta revisar: "&amp;$Q95&amp;$R95&amp;$S95&amp;$T95&amp;$U95&amp;$V95&amp;$W95&amp;$X95&amp;$Y95&amp;$Z95&amp;$AA95&amp;$AB95&amp;$AC95&amp;$AD95&amp;$AE95&amp;$AF95&amp;$AG95&amp;$AH95&amp;$AI95&amp;$AJ95))))</f>
        <v/>
      </c>
      <c r="M95" s="373" t="n"/>
      <c r="Q95">
        <f>IF(TRIM($C95)="","enunciado","")</f>
        <v/>
      </c>
      <c r="R95">
        <f>IF(TRIM($K95)="",IF(COUNTIF($Q95:$Q95,"?*")&gt;0,", ","")&amp;"parcial","")</f>
        <v/>
      </c>
      <c r="S95">
        <f>IF(AND(TRIM($K95)&lt;&gt;"",TRIM($K95)&lt;&gt;VALIDACIONES!$G$1),IF(COUNTIF($Q95:$R95,"?*")&gt;0,", ","")&amp;"parcial distinto a "&amp;VALIDACIONES!$G$1,"")</f>
        <v/>
      </c>
      <c r="T95">
        <f>IF(AND(OR($A95="Ítems agrupados por caso clínico o problema",$A95="Subítem de caso o problema",$A95="Emparejamiento Ampliado",$A95="Opción de Emparejamiento Ampliado"),TRIM($B95)=""),IF(COUNTIF($Q95:$S95,"?*")&gt;0,", ","")&amp;"grupo","")</f>
        <v/>
      </c>
      <c r="U95">
        <f>IF(AND(OR($A95="Verdadero o Falso Simple",$A95="Respuesta A/B/Ambas/Ninguna",$A95="Verdadero o Falso Complejas",$A95="Selección de la mejor respuesta",$A95="Subítem de caso o problema",$A95="Opción de Emparejamiento Ampliado"),TRIM($I95)=""),IF(COUNTIF($Q95:$T95,"?*")&gt;0,", ","")&amp;"respuesta_correcta","")</f>
        <v/>
      </c>
      <c r="V95">
        <f>IF(AND(OR($A95="Verdadero o Falso Simple",$A95="Respuesta A/B/Ambas/Ninguna",$A95="Verdadero o Falso Complejas",$A95="Selección de la mejor respuesta",$A95="Subítem de caso o problema",$A95="Opción de Emparejamiento Ampliado"),TRIM($J95)=""),IF(COUNTIF($Q95:$U95,"?*")&gt;0,", ","")&amp;"dificultad","")</f>
        <v/>
      </c>
      <c r="W95">
        <f>IF(AND(OR($A95="Ítems agrupados por caso clínico o problema",$A95="Emparejamiento Ampliado"),TRIM($I95)&lt;&gt;""),IF(COUNTIF($Q95:$V95,"?*")&gt;0,", ","")&amp;"respuesta debe ir vacia","")</f>
        <v/>
      </c>
      <c r="X95">
        <f>IF(AND(OR($A95="Ítems agrupados por caso clínico o problema",$A95="Emparejamiento Ampliado"),TRIM($J95)&lt;&gt;""),IF(COUNTIF($Q95:$W95,"?*")&gt;0,", ","")&amp;"dificultad debe ir vacia","")</f>
        <v/>
      </c>
      <c r="Y95">
        <f>IF(AND($A95="Verdadero o Falso Simple",OR(COUNTIF($D95:$E95,"?*")&lt;2,COUNTIF($F95:$H95,"?*")&gt;0)),IF(COUNTIF($Q95:$X95,"?*")&gt;0,", ","")&amp;"incisos A-B","")</f>
        <v/>
      </c>
      <c r="Z95">
        <f>IF(AND($A95="Verdadero o Falso Simple",TRIM($I95)&lt;&gt;"",NOT(OR(LEFT(TRIM($I95),1)="A",LEFT(TRIM($I95),1)="B"))),IF(COUNTIF($Q95:$Y95,"?*")&gt;0,", ","")&amp;"respuesta A-B","")</f>
        <v/>
      </c>
      <c r="AA95">
        <f>IF(AND($A95="Respuesta A/B/Ambas/Ninguna",COUNTIF($D95:$G95,"?*")&lt;4),IF(COUNTIF($Q95:$Z95,"?*")&gt;0,", ","")&amp;"opciones A-D","")</f>
        <v/>
      </c>
      <c r="AB95">
        <f>IF(AND($A95="Respuesta A/B/Ambas/Ninguna",COUNTIF($H95:$H95,"?*")&gt;0),IF(COUNTIF($Q95:$AA95,"?*")&gt;0,", ","")&amp;"opcion E deshabilitada","")</f>
        <v/>
      </c>
      <c r="AC95">
        <f>IF(AND($A95="Respuesta A/B/Ambas/Ninguna",TRIM($I95)&lt;&gt;"",NOT(OR(LEFT(TRIM($I95),1)="A",LEFT(TRIM($I95),1)="B",LEFT(TRIM($I95),1)="C",LEFT(TRIM($I95),1)="D"))),IF(COUNTIF($Q95:$AB95,"?*")&gt;0,", ","")&amp;"respuesta A-D","")</f>
        <v/>
      </c>
      <c r="AD95">
        <f>IF(AND($A95="Verdadero o Falso Complejas",OR(LEN(TRIM(SUBSTITUTE($D95,"1.","")))=0,LEN(TRIM(SUBSTITUTE($E95,"2.","")))=0,LEN(TRIM(SUBSTITUTE($F95,"3.","")))=0,LEN(TRIM(SUBSTITUTE($G95,"4.","")))=0)),IF(COUNTIF($Q95:$AC95,"?*")&gt;0,", ","")&amp;"incisos 1-4","")</f>
        <v/>
      </c>
      <c r="AE95">
        <f>IF(AND($A95="Verdadero o Falso Complejas",COUNTIF($H95:$H95,"?*")&gt;0),IF(COUNTIF($Q95:$AD95,"?*")&gt;0,", ","")&amp;"opcion E deshabilitada","")</f>
        <v/>
      </c>
      <c r="AF95">
        <f>IF(AND($A95="Verdadero o Falso Complejas",TRIM($I95)&lt;&gt;"",NOT(OR(LEFT(TRIM($I95),1)="A",LEFT(TRIM($I95),1)="B",LEFT(TRIM($I95),1)="C",LEFT(TRIM($I95),1)="D",LEFT(TRIM($I95),1)="E"))),IF(COUNTIF($Q95:$AE95,"?*")&gt;0,", ","")&amp;"respuesta A-E","")</f>
        <v/>
      </c>
      <c r="AG95">
        <f>IF(AND(OR($A95="Selección de la mejor respuesta",$A95="Subítem de caso o problema"),COUNTA($D95:$H95)&lt;5),IF(COUNTIF($Q95:$AF95,"?*")&gt;0,", ","")&amp;"incisos A-E","")</f>
        <v/>
      </c>
      <c r="AH95">
        <f>IF(AND(OR($A95="Selección de la mejor respuesta",$A95="Subítem de caso o problema"),TRIM($I95)&lt;&gt;"",NOT(OR(LEFT(TRIM($I95),1)="A",LEFT(TRIM($I95),1)="B",LEFT(TRIM($I95),1)="C",LEFT(TRIM($I95),1)="D",LEFT(TRIM($I95),1)="E"))),IF(COUNTIF($Q95:$AG95,"?*")&gt;0,", ","")&amp;"respuesta A-E","")</f>
        <v/>
      </c>
      <c r="AI95">
        <f>IF(AND(OR($A95="Ítems agrupados por caso clínico o problema",$A95="Opción de Emparejamiento Ampliado"),COUNTIF($D95:$H95,"?*")&gt;0),IF(COUNTIF($Q95:$AH95,"?*")&gt;0,", ","")&amp;"sin incisos","")</f>
        <v/>
      </c>
      <c r="AJ95">
        <f>IF(AND($A95="Emparejamiento Ampliado",COUNTIF($D95:$H95,"?*")&lt;2),IF(COUNTIF($Q95:$AI95,"?*")&gt;0,", ","")&amp;"minimo 2 claves","")</f>
        <v/>
      </c>
      <c r="AK95">
        <f>IF(AND($A95="Opción de Emparejamiento Ampliado",NOT(OR(LEFT(TRIM($I95),1)="A",LEFT(TRIM($I95),1)="B",LEFT(TRIM($I95),1)="C",LEFT(TRIM($I95),1)="D",LEFT(TRIM($I95),1)="E"))),IF(COUNTIF($Q95:$AJ95,"?*")&gt;0,", ","")&amp;"respuesta A-E","")</f>
        <v/>
      </c>
      <c r="AL95">
        <f>IF(TRIM($K95)="",IF(COUNTIF($M95:$M95,"?*")&gt;0,", ","")&amp;"parcial","")</f>
        <v/>
      </c>
      <c r="AM95">
        <f>IF(AND(TRIM($K95)&lt;&gt;"",TRIM($K95)&lt;&gt;VALIDACIONES!$G$1),IF(COUNTIF($M95:$N95,"?*")&gt;0,", ","")&amp;"parcial distinto a "&amp;VALIDACIONES!$G$1,"")</f>
        <v/>
      </c>
    </row>
    <row r="96" ht="20" customHeight="1">
      <c r="A96" s="371" t="n"/>
      <c r="B96" s="371" t="n"/>
      <c r="C96" s="371" t="n"/>
      <c r="D96" s="371">
        <f>IF($A96="Verdadero o Falso Simple","Verdadero",IF($A96="Respuesta A/B/Ambas/Ninguna","A. Si la primera es verdadera",IF($A96="Verdadero o Falso Complejas","1. ","")))</f>
        <v/>
      </c>
      <c r="E96" s="371">
        <f>IF($A96="Verdadero o Falso Simple","Falso",IF($A96="Respuesta A/B/Ambas/Ninguna","B. Si la segunda es verdadera",IF($A96="Verdadero o Falso Complejas","2. ","")))</f>
        <v/>
      </c>
      <c r="F96" s="371">
        <f>IF($A96="Respuesta A/B/Ambas/Ninguna","C. Si ambas son verdaderas",IF($A96="Verdadero o Falso Complejas","3. ",""))</f>
        <v/>
      </c>
      <c r="G96" s="371">
        <f>IF($A96="Respuesta A/B/Ambas/Ninguna","D. Si ninguna es verdadera",IF($A96="Verdadero o Falso Complejas","4. ",""))</f>
        <v/>
      </c>
      <c r="H96" s="371">
        <f>IF($A96="Verdadero o Falso Simple","",IF($A96="Respuesta A/B/Ambas/Ninguna","",IF($A96="Verdadero o Falso Complejas","","")))</f>
        <v/>
      </c>
      <c r="I96" s="371" t="n"/>
      <c r="J96" s="372" t="n"/>
      <c r="K96" s="372">
        <f>IF(TRIM($A96)="","",VALIDACIONES!$G$1)</f>
        <v/>
      </c>
      <c r="L96" s="371">
        <f>IF(TRIM($A96)="","",IF(OR($A96="Selección de la mejor respuesta",$A96="SELECCION_MEJOR_RESPUESTA",$A96="Subítem de caso o problema",$A96="SUBITEM_CASO"),IF(TRIM($C96)="","Completar enunciado",IF(SUMPRODUCT(--(LEN(TRIM($D96:$H96&amp;""))&gt;0))&lt;5,"Completar opciones A-E",IF(AND(TRIM($I96)&lt;&gt;"",OR(LEFT(TRIM($I96),1)="A",LEFT(TRIM($I96),1)="B",LEFT(TRIM($I96),1)="C",LEFT(TRIM($I96),1)="D",LEFT(TRIM($I96),1)="E")),"OK","Completar respuesta correcta A-E"))),IF(TRIM($A96)="","",IF(COUNTIF($Q96:$AJ96,"?*")=0,"OK","Falta revisar: "&amp;$Q96&amp;$R96&amp;$S96&amp;$T96&amp;$U96&amp;$V96&amp;$W96&amp;$X96&amp;$Y96&amp;$Z96&amp;$AA96&amp;$AB96&amp;$AC96&amp;$AD96&amp;$AE96&amp;$AF96&amp;$AG96&amp;$AH96&amp;$AI96&amp;$AJ96))))</f>
        <v/>
      </c>
      <c r="M96" s="373" t="n"/>
      <c r="Q96">
        <f>IF(TRIM($C96)="","enunciado","")</f>
        <v/>
      </c>
      <c r="R96">
        <f>IF(TRIM($K96)="",IF(COUNTIF($Q96:$Q96,"?*")&gt;0,", ","")&amp;"parcial","")</f>
        <v/>
      </c>
      <c r="S96">
        <f>IF(AND(TRIM($K96)&lt;&gt;"",TRIM($K96)&lt;&gt;VALIDACIONES!$G$1),IF(COUNTIF($Q96:$R96,"?*")&gt;0,", ","")&amp;"parcial distinto a "&amp;VALIDACIONES!$G$1,"")</f>
        <v/>
      </c>
      <c r="T96">
        <f>IF(AND(OR($A96="Ítems agrupados por caso clínico o problema",$A96="Subítem de caso o problema",$A96="Emparejamiento Ampliado",$A96="Opción de Emparejamiento Ampliado"),TRIM($B96)=""),IF(COUNTIF($Q96:$S96,"?*")&gt;0,", ","")&amp;"grupo","")</f>
        <v/>
      </c>
      <c r="U96">
        <f>IF(AND(OR($A96="Verdadero o Falso Simple",$A96="Respuesta A/B/Ambas/Ninguna",$A96="Verdadero o Falso Complejas",$A96="Selección de la mejor respuesta",$A96="Subítem de caso o problema",$A96="Opción de Emparejamiento Ampliado"),TRIM($I96)=""),IF(COUNTIF($Q96:$T96,"?*")&gt;0,", ","")&amp;"respuesta_correcta","")</f>
        <v/>
      </c>
      <c r="V96">
        <f>IF(AND(OR($A96="Verdadero o Falso Simple",$A96="Respuesta A/B/Ambas/Ninguna",$A96="Verdadero o Falso Complejas",$A96="Selección de la mejor respuesta",$A96="Subítem de caso o problema",$A96="Opción de Emparejamiento Ampliado"),TRIM($J96)=""),IF(COUNTIF($Q96:$U96,"?*")&gt;0,", ","")&amp;"dificultad","")</f>
        <v/>
      </c>
      <c r="W96">
        <f>IF(AND(OR($A96="Ítems agrupados por caso clínico o problema",$A96="Emparejamiento Ampliado"),TRIM($I96)&lt;&gt;""),IF(COUNTIF($Q96:$V96,"?*")&gt;0,", ","")&amp;"respuesta debe ir vacia","")</f>
        <v/>
      </c>
      <c r="X96">
        <f>IF(AND(OR($A96="Ítems agrupados por caso clínico o problema",$A96="Emparejamiento Ampliado"),TRIM($J96)&lt;&gt;""),IF(COUNTIF($Q96:$W96,"?*")&gt;0,", ","")&amp;"dificultad debe ir vacia","")</f>
        <v/>
      </c>
      <c r="Y96">
        <f>IF(AND($A96="Verdadero o Falso Simple",OR(COUNTIF($D96:$E96,"?*")&lt;2,COUNTIF($F96:$H96,"?*")&gt;0)),IF(COUNTIF($Q96:$X96,"?*")&gt;0,", ","")&amp;"incisos A-B","")</f>
        <v/>
      </c>
      <c r="Z96">
        <f>IF(AND($A96="Verdadero o Falso Simple",TRIM($I96)&lt;&gt;"",NOT(OR(LEFT(TRIM($I96),1)="A",LEFT(TRIM($I96),1)="B"))),IF(COUNTIF($Q96:$Y96,"?*")&gt;0,", ","")&amp;"respuesta A-B","")</f>
        <v/>
      </c>
      <c r="AA96">
        <f>IF(AND($A96="Respuesta A/B/Ambas/Ninguna",COUNTIF($D96:$G96,"?*")&lt;4),IF(COUNTIF($Q96:$Z96,"?*")&gt;0,", ","")&amp;"opciones A-D","")</f>
        <v/>
      </c>
      <c r="AB96">
        <f>IF(AND($A96="Respuesta A/B/Ambas/Ninguna",COUNTIF($H96:$H96,"?*")&gt;0),IF(COUNTIF($Q96:$AA96,"?*")&gt;0,", ","")&amp;"opcion E deshabilitada","")</f>
        <v/>
      </c>
      <c r="AC96">
        <f>IF(AND($A96="Respuesta A/B/Ambas/Ninguna",TRIM($I96)&lt;&gt;"",NOT(OR(LEFT(TRIM($I96),1)="A",LEFT(TRIM($I96),1)="B",LEFT(TRIM($I96),1)="C",LEFT(TRIM($I96),1)="D"))),IF(COUNTIF($Q96:$AB96,"?*")&gt;0,", ","")&amp;"respuesta A-D","")</f>
        <v/>
      </c>
      <c r="AD96">
        <f>IF(AND($A96="Verdadero o Falso Complejas",OR(LEN(TRIM(SUBSTITUTE($D96,"1.","")))=0,LEN(TRIM(SUBSTITUTE($E96,"2.","")))=0,LEN(TRIM(SUBSTITUTE($F96,"3.","")))=0,LEN(TRIM(SUBSTITUTE($G96,"4.","")))=0)),IF(COUNTIF($Q96:$AC96,"?*")&gt;0,", ","")&amp;"incisos 1-4","")</f>
        <v/>
      </c>
      <c r="AE96">
        <f>IF(AND($A96="Verdadero o Falso Complejas",COUNTIF($H96:$H96,"?*")&gt;0),IF(COUNTIF($Q96:$AD96,"?*")&gt;0,", ","")&amp;"opcion E deshabilitada","")</f>
        <v/>
      </c>
      <c r="AF96">
        <f>IF(AND($A96="Verdadero o Falso Complejas",TRIM($I96)&lt;&gt;"",NOT(OR(LEFT(TRIM($I96),1)="A",LEFT(TRIM($I96),1)="B",LEFT(TRIM($I96),1)="C",LEFT(TRIM($I96),1)="D",LEFT(TRIM($I96),1)="E"))),IF(COUNTIF($Q96:$AE96,"?*")&gt;0,", ","")&amp;"respuesta A-E","")</f>
        <v/>
      </c>
      <c r="AG96">
        <f>IF(AND(OR($A96="Selección de la mejor respuesta",$A96="Subítem de caso o problema"),COUNTA($D96:$H96)&lt;5),IF(COUNTIF($Q96:$AF96,"?*")&gt;0,", ","")&amp;"incisos A-E","")</f>
        <v/>
      </c>
      <c r="AH96">
        <f>IF(AND(OR($A96="Selección de la mejor respuesta",$A96="Subítem de caso o problema"),TRIM($I96)&lt;&gt;"",NOT(OR(LEFT(TRIM($I96),1)="A",LEFT(TRIM($I96),1)="B",LEFT(TRIM($I96),1)="C",LEFT(TRIM($I96),1)="D",LEFT(TRIM($I96),1)="E"))),IF(COUNTIF($Q96:$AG96,"?*")&gt;0,", ","")&amp;"respuesta A-E","")</f>
        <v/>
      </c>
      <c r="AI96">
        <f>IF(AND(OR($A96="Ítems agrupados por caso clínico o problema",$A96="Opción de Emparejamiento Ampliado"),COUNTIF($D96:$H96,"?*")&gt;0),IF(COUNTIF($Q96:$AH96,"?*")&gt;0,", ","")&amp;"sin incisos","")</f>
        <v/>
      </c>
      <c r="AJ96">
        <f>IF(AND($A96="Emparejamiento Ampliado",COUNTIF($D96:$H96,"?*")&lt;2),IF(COUNTIF($Q96:$AI96,"?*")&gt;0,", ","")&amp;"minimo 2 claves","")</f>
        <v/>
      </c>
      <c r="AK96">
        <f>IF(AND($A96="Opción de Emparejamiento Ampliado",NOT(OR(LEFT(TRIM($I96),1)="A",LEFT(TRIM($I96),1)="B",LEFT(TRIM($I96),1)="C",LEFT(TRIM($I96),1)="D",LEFT(TRIM($I96),1)="E"))),IF(COUNTIF($Q96:$AJ96,"?*")&gt;0,", ","")&amp;"respuesta A-E","")</f>
        <v/>
      </c>
      <c r="AL96">
        <f>IF(TRIM($K96)="",IF(COUNTIF($M96:$M96,"?*")&gt;0,", ","")&amp;"parcial","")</f>
        <v/>
      </c>
      <c r="AM96">
        <f>IF(AND(TRIM($K96)&lt;&gt;"",TRIM($K96)&lt;&gt;VALIDACIONES!$G$1),IF(COUNTIF($M96:$N96,"?*")&gt;0,", ","")&amp;"parcial distinto a "&amp;VALIDACIONES!$G$1,"")</f>
        <v/>
      </c>
    </row>
    <row r="97" ht="20" customHeight="1">
      <c r="A97" s="371" t="n"/>
      <c r="B97" s="371" t="n"/>
      <c r="C97" s="371" t="n"/>
      <c r="D97" s="371">
        <f>IF($A97="Verdadero o Falso Simple","Verdadero",IF($A97="Respuesta A/B/Ambas/Ninguna","A. Si la primera es verdadera",IF($A97="Verdadero o Falso Complejas","1. ","")))</f>
        <v/>
      </c>
      <c r="E97" s="371">
        <f>IF($A97="Verdadero o Falso Simple","Falso",IF($A97="Respuesta A/B/Ambas/Ninguna","B. Si la segunda es verdadera",IF($A97="Verdadero o Falso Complejas","2. ","")))</f>
        <v/>
      </c>
      <c r="F97" s="371">
        <f>IF($A97="Respuesta A/B/Ambas/Ninguna","C. Si ambas son verdaderas",IF($A97="Verdadero o Falso Complejas","3. ",""))</f>
        <v/>
      </c>
      <c r="G97" s="371">
        <f>IF($A97="Respuesta A/B/Ambas/Ninguna","D. Si ninguna es verdadera",IF($A97="Verdadero o Falso Complejas","4. ",""))</f>
        <v/>
      </c>
      <c r="H97" s="371">
        <f>IF($A97="Verdadero o Falso Simple","",IF($A97="Respuesta A/B/Ambas/Ninguna","",IF($A97="Verdadero o Falso Complejas","","")))</f>
        <v/>
      </c>
      <c r="I97" s="371" t="n"/>
      <c r="J97" s="372" t="n"/>
      <c r="K97" s="372">
        <f>IF(TRIM($A97)="","",VALIDACIONES!$G$1)</f>
        <v/>
      </c>
      <c r="L97" s="371">
        <f>IF(TRIM($A97)="","",IF(OR($A97="Selección de la mejor respuesta",$A97="SELECCION_MEJOR_RESPUESTA",$A97="Subítem de caso o problema",$A97="SUBITEM_CASO"),IF(TRIM($C97)="","Completar enunciado",IF(SUMPRODUCT(--(LEN(TRIM($D97:$H97&amp;""))&gt;0))&lt;5,"Completar opciones A-E",IF(AND(TRIM($I97)&lt;&gt;"",OR(LEFT(TRIM($I97),1)="A",LEFT(TRIM($I97),1)="B",LEFT(TRIM($I97),1)="C",LEFT(TRIM($I97),1)="D",LEFT(TRIM($I97),1)="E")),"OK","Completar respuesta correcta A-E"))),IF(TRIM($A97)="","",IF(COUNTIF($Q97:$AJ97,"?*")=0,"OK","Falta revisar: "&amp;$Q97&amp;$R97&amp;$S97&amp;$T97&amp;$U97&amp;$V97&amp;$W97&amp;$X97&amp;$Y97&amp;$Z97&amp;$AA97&amp;$AB97&amp;$AC97&amp;$AD97&amp;$AE97&amp;$AF97&amp;$AG97&amp;$AH97&amp;$AI97&amp;$AJ97))))</f>
        <v/>
      </c>
      <c r="M97" s="373" t="n"/>
      <c r="Q97">
        <f>IF(TRIM($C97)="","enunciado","")</f>
        <v/>
      </c>
      <c r="R97">
        <f>IF(TRIM($K97)="",IF(COUNTIF($Q97:$Q97,"?*")&gt;0,", ","")&amp;"parcial","")</f>
        <v/>
      </c>
      <c r="S97">
        <f>IF(AND(TRIM($K97)&lt;&gt;"",TRIM($K97)&lt;&gt;VALIDACIONES!$G$1),IF(COUNTIF($Q97:$R97,"?*")&gt;0,", ","")&amp;"parcial distinto a "&amp;VALIDACIONES!$G$1,"")</f>
        <v/>
      </c>
      <c r="T97">
        <f>IF(AND(OR($A97="Ítems agrupados por caso clínico o problema",$A97="Subítem de caso o problema",$A97="Emparejamiento Ampliado",$A97="Opción de Emparejamiento Ampliado"),TRIM($B97)=""),IF(COUNTIF($Q97:$S97,"?*")&gt;0,", ","")&amp;"grupo","")</f>
        <v/>
      </c>
      <c r="U97">
        <f>IF(AND(OR($A97="Verdadero o Falso Simple",$A97="Respuesta A/B/Ambas/Ninguna",$A97="Verdadero o Falso Complejas",$A97="Selección de la mejor respuesta",$A97="Subítem de caso o problema",$A97="Opción de Emparejamiento Ampliado"),TRIM($I97)=""),IF(COUNTIF($Q97:$T97,"?*")&gt;0,", ","")&amp;"respuesta_correcta","")</f>
        <v/>
      </c>
      <c r="V97">
        <f>IF(AND(OR($A97="Verdadero o Falso Simple",$A97="Respuesta A/B/Ambas/Ninguna",$A97="Verdadero o Falso Complejas",$A97="Selección de la mejor respuesta",$A97="Subítem de caso o problema",$A97="Opción de Emparejamiento Ampliado"),TRIM($J97)=""),IF(COUNTIF($Q97:$U97,"?*")&gt;0,", ","")&amp;"dificultad","")</f>
        <v/>
      </c>
      <c r="W97">
        <f>IF(AND(OR($A97="Ítems agrupados por caso clínico o problema",$A97="Emparejamiento Ampliado"),TRIM($I97)&lt;&gt;""),IF(COUNTIF($Q97:$V97,"?*")&gt;0,", ","")&amp;"respuesta debe ir vacia","")</f>
        <v/>
      </c>
      <c r="X97">
        <f>IF(AND(OR($A97="Ítems agrupados por caso clínico o problema",$A97="Emparejamiento Ampliado"),TRIM($J97)&lt;&gt;""),IF(COUNTIF($Q97:$W97,"?*")&gt;0,", ","")&amp;"dificultad debe ir vacia","")</f>
        <v/>
      </c>
      <c r="Y97">
        <f>IF(AND($A97="Verdadero o Falso Simple",OR(COUNTIF($D97:$E97,"?*")&lt;2,COUNTIF($F97:$H97,"?*")&gt;0)),IF(COUNTIF($Q97:$X97,"?*")&gt;0,", ","")&amp;"incisos A-B","")</f>
        <v/>
      </c>
      <c r="Z97">
        <f>IF(AND($A97="Verdadero o Falso Simple",TRIM($I97)&lt;&gt;"",NOT(OR(LEFT(TRIM($I97),1)="A",LEFT(TRIM($I97),1)="B"))),IF(COUNTIF($Q97:$Y97,"?*")&gt;0,", ","")&amp;"respuesta A-B","")</f>
        <v/>
      </c>
      <c r="AA97">
        <f>IF(AND($A97="Respuesta A/B/Ambas/Ninguna",COUNTIF($D97:$G97,"?*")&lt;4),IF(COUNTIF($Q97:$Z97,"?*")&gt;0,", ","")&amp;"opciones A-D","")</f>
        <v/>
      </c>
      <c r="AB97">
        <f>IF(AND($A97="Respuesta A/B/Ambas/Ninguna",COUNTIF($H97:$H97,"?*")&gt;0),IF(COUNTIF($Q97:$AA97,"?*")&gt;0,", ","")&amp;"opcion E deshabilitada","")</f>
        <v/>
      </c>
      <c r="AC97">
        <f>IF(AND($A97="Respuesta A/B/Ambas/Ninguna",TRIM($I97)&lt;&gt;"",NOT(OR(LEFT(TRIM($I97),1)="A",LEFT(TRIM($I97),1)="B",LEFT(TRIM($I97),1)="C",LEFT(TRIM($I97),1)="D"))),IF(COUNTIF($Q97:$AB97,"?*")&gt;0,", ","")&amp;"respuesta A-D","")</f>
        <v/>
      </c>
      <c r="AD97">
        <f>IF(AND($A97="Verdadero o Falso Complejas",OR(LEN(TRIM(SUBSTITUTE($D97,"1.","")))=0,LEN(TRIM(SUBSTITUTE($E97,"2.","")))=0,LEN(TRIM(SUBSTITUTE($F97,"3.","")))=0,LEN(TRIM(SUBSTITUTE($G97,"4.","")))=0)),IF(COUNTIF($Q97:$AC97,"?*")&gt;0,", ","")&amp;"incisos 1-4","")</f>
        <v/>
      </c>
      <c r="AE97">
        <f>IF(AND($A97="Verdadero o Falso Complejas",COUNTIF($H97:$H97,"?*")&gt;0),IF(COUNTIF($Q97:$AD97,"?*")&gt;0,", ","")&amp;"opcion E deshabilitada","")</f>
        <v/>
      </c>
      <c r="AF97">
        <f>IF(AND($A97="Verdadero o Falso Complejas",TRIM($I97)&lt;&gt;"",NOT(OR(LEFT(TRIM($I97),1)="A",LEFT(TRIM($I97),1)="B",LEFT(TRIM($I97),1)="C",LEFT(TRIM($I97),1)="D",LEFT(TRIM($I97),1)="E"))),IF(COUNTIF($Q97:$AE97,"?*")&gt;0,", ","")&amp;"respuesta A-E","")</f>
        <v/>
      </c>
      <c r="AG97">
        <f>IF(AND(OR($A97="Selección de la mejor respuesta",$A97="Subítem de caso o problema"),COUNTA($D97:$H97)&lt;5),IF(COUNTIF($Q97:$AF97,"?*")&gt;0,", ","")&amp;"incisos A-E","")</f>
        <v/>
      </c>
      <c r="AH97">
        <f>IF(AND(OR($A97="Selección de la mejor respuesta",$A97="Subítem de caso o problema"),TRIM($I97)&lt;&gt;"",NOT(OR(LEFT(TRIM($I97),1)="A",LEFT(TRIM($I97),1)="B",LEFT(TRIM($I97),1)="C",LEFT(TRIM($I97),1)="D",LEFT(TRIM($I97),1)="E"))),IF(COUNTIF($Q97:$AG97,"?*")&gt;0,", ","")&amp;"respuesta A-E","")</f>
        <v/>
      </c>
      <c r="AI97">
        <f>IF(AND(OR($A97="Ítems agrupados por caso clínico o problema",$A97="Opción de Emparejamiento Ampliado"),COUNTIF($D97:$H97,"?*")&gt;0),IF(COUNTIF($Q97:$AH97,"?*")&gt;0,", ","")&amp;"sin incisos","")</f>
        <v/>
      </c>
      <c r="AJ97">
        <f>IF(AND($A97="Emparejamiento Ampliado",COUNTIF($D97:$H97,"?*")&lt;2),IF(COUNTIF($Q97:$AI97,"?*")&gt;0,", ","")&amp;"minimo 2 claves","")</f>
        <v/>
      </c>
      <c r="AK97">
        <f>IF(AND($A97="Opción de Emparejamiento Ampliado",NOT(OR(LEFT(TRIM($I97),1)="A",LEFT(TRIM($I97),1)="B",LEFT(TRIM($I97),1)="C",LEFT(TRIM($I97),1)="D",LEFT(TRIM($I97),1)="E"))),IF(COUNTIF($Q97:$AJ97,"?*")&gt;0,", ","")&amp;"respuesta A-E","")</f>
        <v/>
      </c>
      <c r="AL97">
        <f>IF(TRIM($K97)="",IF(COUNTIF($M97:$M97,"?*")&gt;0,", ","")&amp;"parcial","")</f>
        <v/>
      </c>
      <c r="AM97">
        <f>IF(AND(TRIM($K97)&lt;&gt;"",TRIM($K97)&lt;&gt;VALIDACIONES!$G$1),IF(COUNTIF($M97:$N97,"?*")&gt;0,", ","")&amp;"parcial distinto a "&amp;VALIDACIONES!$G$1,"")</f>
        <v/>
      </c>
    </row>
    <row r="98" ht="20" customHeight="1">
      <c r="A98" s="371" t="n"/>
      <c r="B98" s="371" t="n"/>
      <c r="C98" s="371" t="n"/>
      <c r="D98" s="371">
        <f>IF($A98="Verdadero o Falso Simple","Verdadero",IF($A98="Respuesta A/B/Ambas/Ninguna","A. Si la primera es verdadera",IF($A98="Verdadero o Falso Complejas","1. ","")))</f>
        <v/>
      </c>
      <c r="E98" s="371">
        <f>IF($A98="Verdadero o Falso Simple","Falso",IF($A98="Respuesta A/B/Ambas/Ninguna","B. Si la segunda es verdadera",IF($A98="Verdadero o Falso Complejas","2. ","")))</f>
        <v/>
      </c>
      <c r="F98" s="371">
        <f>IF($A98="Respuesta A/B/Ambas/Ninguna","C. Si ambas son verdaderas",IF($A98="Verdadero o Falso Complejas","3. ",""))</f>
        <v/>
      </c>
      <c r="G98" s="371">
        <f>IF($A98="Respuesta A/B/Ambas/Ninguna","D. Si ninguna es verdadera",IF($A98="Verdadero o Falso Complejas","4. ",""))</f>
        <v/>
      </c>
      <c r="H98" s="371">
        <f>IF($A98="Verdadero o Falso Simple","",IF($A98="Respuesta A/B/Ambas/Ninguna","",IF($A98="Verdadero o Falso Complejas","","")))</f>
        <v/>
      </c>
      <c r="I98" s="371" t="n"/>
      <c r="J98" s="372" t="n"/>
      <c r="K98" s="372">
        <f>IF(TRIM($A98)="","",VALIDACIONES!$G$1)</f>
        <v/>
      </c>
      <c r="L98" s="371">
        <f>IF(TRIM($A98)="","",IF(OR($A98="Selección de la mejor respuesta",$A98="SELECCION_MEJOR_RESPUESTA",$A98="Subítem de caso o problema",$A98="SUBITEM_CASO"),IF(TRIM($C98)="","Completar enunciado",IF(SUMPRODUCT(--(LEN(TRIM($D98:$H98&amp;""))&gt;0))&lt;5,"Completar opciones A-E",IF(AND(TRIM($I98)&lt;&gt;"",OR(LEFT(TRIM($I98),1)="A",LEFT(TRIM($I98),1)="B",LEFT(TRIM($I98),1)="C",LEFT(TRIM($I98),1)="D",LEFT(TRIM($I98),1)="E")),"OK","Completar respuesta correcta A-E"))),IF(TRIM($A98)="","",IF(COUNTIF($Q98:$AJ98,"?*")=0,"OK","Falta revisar: "&amp;$Q98&amp;$R98&amp;$S98&amp;$T98&amp;$U98&amp;$V98&amp;$W98&amp;$X98&amp;$Y98&amp;$Z98&amp;$AA98&amp;$AB98&amp;$AC98&amp;$AD98&amp;$AE98&amp;$AF98&amp;$AG98&amp;$AH98&amp;$AI98&amp;$AJ98))))</f>
        <v/>
      </c>
      <c r="M98" s="373" t="n"/>
      <c r="Q98">
        <f>IF(TRIM($C98)="","enunciado","")</f>
        <v/>
      </c>
      <c r="R98">
        <f>IF(TRIM($K98)="",IF(COUNTIF($Q98:$Q98,"?*")&gt;0,", ","")&amp;"parcial","")</f>
        <v/>
      </c>
      <c r="S98">
        <f>IF(AND(TRIM($K98)&lt;&gt;"",TRIM($K98)&lt;&gt;VALIDACIONES!$G$1),IF(COUNTIF($Q98:$R98,"?*")&gt;0,", ","")&amp;"parcial distinto a "&amp;VALIDACIONES!$G$1,"")</f>
        <v/>
      </c>
      <c r="T98">
        <f>IF(AND(OR($A98="Ítems agrupados por caso clínico o problema",$A98="Subítem de caso o problema",$A98="Emparejamiento Ampliado",$A98="Opción de Emparejamiento Ampliado"),TRIM($B98)=""),IF(COUNTIF($Q98:$S98,"?*")&gt;0,", ","")&amp;"grupo","")</f>
        <v/>
      </c>
      <c r="U98">
        <f>IF(AND(OR($A98="Verdadero o Falso Simple",$A98="Respuesta A/B/Ambas/Ninguna",$A98="Verdadero o Falso Complejas",$A98="Selección de la mejor respuesta",$A98="Subítem de caso o problema",$A98="Opción de Emparejamiento Ampliado"),TRIM($I98)=""),IF(COUNTIF($Q98:$T98,"?*")&gt;0,", ","")&amp;"respuesta_correcta","")</f>
        <v/>
      </c>
      <c r="V98">
        <f>IF(AND(OR($A98="Verdadero o Falso Simple",$A98="Respuesta A/B/Ambas/Ninguna",$A98="Verdadero o Falso Complejas",$A98="Selección de la mejor respuesta",$A98="Subítem de caso o problema",$A98="Opción de Emparejamiento Ampliado"),TRIM($J98)=""),IF(COUNTIF($Q98:$U98,"?*")&gt;0,", ","")&amp;"dificultad","")</f>
        <v/>
      </c>
      <c r="W98">
        <f>IF(AND(OR($A98="Ítems agrupados por caso clínico o problema",$A98="Emparejamiento Ampliado"),TRIM($I98)&lt;&gt;""),IF(COUNTIF($Q98:$V98,"?*")&gt;0,", ","")&amp;"respuesta debe ir vacia","")</f>
        <v/>
      </c>
      <c r="X98">
        <f>IF(AND(OR($A98="Ítems agrupados por caso clínico o problema",$A98="Emparejamiento Ampliado"),TRIM($J98)&lt;&gt;""),IF(COUNTIF($Q98:$W98,"?*")&gt;0,", ","")&amp;"dificultad debe ir vacia","")</f>
        <v/>
      </c>
      <c r="Y98">
        <f>IF(AND($A98="Verdadero o Falso Simple",OR(COUNTIF($D98:$E98,"?*")&lt;2,COUNTIF($F98:$H98,"?*")&gt;0)),IF(COUNTIF($Q98:$X98,"?*")&gt;0,", ","")&amp;"incisos A-B","")</f>
        <v/>
      </c>
      <c r="Z98">
        <f>IF(AND($A98="Verdadero o Falso Simple",TRIM($I98)&lt;&gt;"",NOT(OR(LEFT(TRIM($I98),1)="A",LEFT(TRIM($I98),1)="B"))),IF(COUNTIF($Q98:$Y98,"?*")&gt;0,", ","")&amp;"respuesta A-B","")</f>
        <v/>
      </c>
      <c r="AA98">
        <f>IF(AND($A98="Respuesta A/B/Ambas/Ninguna",COUNTIF($D98:$G98,"?*")&lt;4),IF(COUNTIF($Q98:$Z98,"?*")&gt;0,", ","")&amp;"opciones A-D","")</f>
        <v/>
      </c>
      <c r="AB98">
        <f>IF(AND($A98="Respuesta A/B/Ambas/Ninguna",COUNTIF($H98:$H98,"?*")&gt;0),IF(COUNTIF($Q98:$AA98,"?*")&gt;0,", ","")&amp;"opcion E deshabilitada","")</f>
        <v/>
      </c>
      <c r="AC98">
        <f>IF(AND($A98="Respuesta A/B/Ambas/Ninguna",TRIM($I98)&lt;&gt;"",NOT(OR(LEFT(TRIM($I98),1)="A",LEFT(TRIM($I98),1)="B",LEFT(TRIM($I98),1)="C",LEFT(TRIM($I98),1)="D"))),IF(COUNTIF($Q98:$AB98,"?*")&gt;0,", ","")&amp;"respuesta A-D","")</f>
        <v/>
      </c>
      <c r="AD98">
        <f>IF(AND($A98="Verdadero o Falso Complejas",OR(LEN(TRIM(SUBSTITUTE($D98,"1.","")))=0,LEN(TRIM(SUBSTITUTE($E98,"2.","")))=0,LEN(TRIM(SUBSTITUTE($F98,"3.","")))=0,LEN(TRIM(SUBSTITUTE($G98,"4.","")))=0)),IF(COUNTIF($Q98:$AC98,"?*")&gt;0,", ","")&amp;"incisos 1-4","")</f>
        <v/>
      </c>
      <c r="AE98">
        <f>IF(AND($A98="Verdadero o Falso Complejas",COUNTIF($H98:$H98,"?*")&gt;0),IF(COUNTIF($Q98:$AD98,"?*")&gt;0,", ","")&amp;"opcion E deshabilitada","")</f>
        <v/>
      </c>
      <c r="AF98">
        <f>IF(AND($A98="Verdadero o Falso Complejas",TRIM($I98)&lt;&gt;"",NOT(OR(LEFT(TRIM($I98),1)="A",LEFT(TRIM($I98),1)="B",LEFT(TRIM($I98),1)="C",LEFT(TRIM($I98),1)="D",LEFT(TRIM($I98),1)="E"))),IF(COUNTIF($Q98:$AE98,"?*")&gt;0,", ","")&amp;"respuesta A-E","")</f>
        <v/>
      </c>
      <c r="AG98">
        <f>IF(AND(OR($A98="Selección de la mejor respuesta",$A98="Subítem de caso o problema"),COUNTA($D98:$H98)&lt;5),IF(COUNTIF($Q98:$AF98,"?*")&gt;0,", ","")&amp;"incisos A-E","")</f>
        <v/>
      </c>
      <c r="AH98">
        <f>IF(AND(OR($A98="Selección de la mejor respuesta",$A98="Subítem de caso o problema"),TRIM($I98)&lt;&gt;"",NOT(OR(LEFT(TRIM($I98),1)="A",LEFT(TRIM($I98),1)="B",LEFT(TRIM($I98),1)="C",LEFT(TRIM($I98),1)="D",LEFT(TRIM($I98),1)="E"))),IF(COUNTIF($Q98:$AG98,"?*")&gt;0,", ","")&amp;"respuesta A-E","")</f>
        <v/>
      </c>
      <c r="AI98">
        <f>IF(AND(OR($A98="Ítems agrupados por caso clínico o problema",$A98="Opción de Emparejamiento Ampliado"),COUNTIF($D98:$H98,"?*")&gt;0),IF(COUNTIF($Q98:$AH98,"?*")&gt;0,", ","")&amp;"sin incisos","")</f>
        <v/>
      </c>
      <c r="AJ98">
        <f>IF(AND($A98="Emparejamiento Ampliado",COUNTIF($D98:$H98,"?*")&lt;2),IF(COUNTIF($Q98:$AI98,"?*")&gt;0,", ","")&amp;"minimo 2 claves","")</f>
        <v/>
      </c>
      <c r="AK98">
        <f>IF(AND($A98="Opción de Emparejamiento Ampliado",NOT(OR(LEFT(TRIM($I98),1)="A",LEFT(TRIM($I98),1)="B",LEFT(TRIM($I98),1)="C",LEFT(TRIM($I98),1)="D",LEFT(TRIM($I98),1)="E"))),IF(COUNTIF($Q98:$AJ98,"?*")&gt;0,", ","")&amp;"respuesta A-E","")</f>
        <v/>
      </c>
      <c r="AL98">
        <f>IF(TRIM($K98)="",IF(COUNTIF($M98:$M98,"?*")&gt;0,", ","")&amp;"parcial","")</f>
        <v/>
      </c>
      <c r="AM98">
        <f>IF(AND(TRIM($K98)&lt;&gt;"",TRIM($K98)&lt;&gt;VALIDACIONES!$G$1),IF(COUNTIF($M98:$N98,"?*")&gt;0,", ","")&amp;"parcial distinto a "&amp;VALIDACIONES!$G$1,"")</f>
        <v/>
      </c>
    </row>
    <row r="99" ht="20" customHeight="1">
      <c r="A99" s="371" t="n"/>
      <c r="B99" s="371" t="n"/>
      <c r="C99" s="371" t="n"/>
      <c r="D99" s="371">
        <f>IF($A99="Verdadero o Falso Simple","Verdadero",IF($A99="Respuesta A/B/Ambas/Ninguna","A. Si la primera es verdadera",IF($A99="Verdadero o Falso Complejas","1. ","")))</f>
        <v/>
      </c>
      <c r="E99" s="371">
        <f>IF($A99="Verdadero o Falso Simple","Falso",IF($A99="Respuesta A/B/Ambas/Ninguna","B. Si la segunda es verdadera",IF($A99="Verdadero o Falso Complejas","2. ","")))</f>
        <v/>
      </c>
      <c r="F99" s="371">
        <f>IF($A99="Respuesta A/B/Ambas/Ninguna","C. Si ambas son verdaderas",IF($A99="Verdadero o Falso Complejas","3. ",""))</f>
        <v/>
      </c>
      <c r="G99" s="371">
        <f>IF($A99="Respuesta A/B/Ambas/Ninguna","D. Si ninguna es verdadera",IF($A99="Verdadero o Falso Complejas","4. ",""))</f>
        <v/>
      </c>
      <c r="H99" s="371">
        <f>IF($A99="Verdadero o Falso Simple","",IF($A99="Respuesta A/B/Ambas/Ninguna","",IF($A99="Verdadero o Falso Complejas","","")))</f>
        <v/>
      </c>
      <c r="I99" s="371" t="n"/>
      <c r="J99" s="372" t="n"/>
      <c r="K99" s="372">
        <f>IF(TRIM($A99)="","",VALIDACIONES!$G$1)</f>
        <v/>
      </c>
      <c r="L99" s="371">
        <f>IF(TRIM($A99)="","",IF(OR($A99="Selección de la mejor respuesta",$A99="SELECCION_MEJOR_RESPUESTA",$A99="Subítem de caso o problema",$A99="SUBITEM_CASO"),IF(TRIM($C99)="","Completar enunciado",IF(SUMPRODUCT(--(LEN(TRIM($D99:$H99&amp;""))&gt;0))&lt;5,"Completar opciones A-E",IF(AND(TRIM($I99)&lt;&gt;"",OR(LEFT(TRIM($I99),1)="A",LEFT(TRIM($I99),1)="B",LEFT(TRIM($I99),1)="C",LEFT(TRIM($I99),1)="D",LEFT(TRIM($I99),1)="E")),"OK","Completar respuesta correcta A-E"))),IF(TRIM($A99)="","",IF(COUNTIF($Q99:$AJ99,"?*")=0,"OK","Falta revisar: "&amp;$Q99&amp;$R99&amp;$S99&amp;$T99&amp;$U99&amp;$V99&amp;$W99&amp;$X99&amp;$Y99&amp;$Z99&amp;$AA99&amp;$AB99&amp;$AC99&amp;$AD99&amp;$AE99&amp;$AF99&amp;$AG99&amp;$AH99&amp;$AI99&amp;$AJ99))))</f>
        <v/>
      </c>
      <c r="M99" s="373" t="n"/>
      <c r="Q99">
        <f>IF(TRIM($C99)="","enunciado","")</f>
        <v/>
      </c>
      <c r="R99">
        <f>IF(TRIM($K99)="",IF(COUNTIF($Q99:$Q99,"?*")&gt;0,", ","")&amp;"parcial","")</f>
        <v/>
      </c>
      <c r="S99">
        <f>IF(AND(TRIM($K99)&lt;&gt;"",TRIM($K99)&lt;&gt;VALIDACIONES!$G$1),IF(COUNTIF($Q99:$R99,"?*")&gt;0,", ","")&amp;"parcial distinto a "&amp;VALIDACIONES!$G$1,"")</f>
        <v/>
      </c>
      <c r="T99">
        <f>IF(AND(OR($A99="Ítems agrupados por caso clínico o problema",$A99="Subítem de caso o problema",$A99="Emparejamiento Ampliado",$A99="Opción de Emparejamiento Ampliado"),TRIM($B99)=""),IF(COUNTIF($Q99:$S99,"?*")&gt;0,", ","")&amp;"grupo","")</f>
        <v/>
      </c>
      <c r="U99">
        <f>IF(AND(OR($A99="Verdadero o Falso Simple",$A99="Respuesta A/B/Ambas/Ninguna",$A99="Verdadero o Falso Complejas",$A99="Selección de la mejor respuesta",$A99="Subítem de caso o problema",$A99="Opción de Emparejamiento Ampliado"),TRIM($I99)=""),IF(COUNTIF($Q99:$T99,"?*")&gt;0,", ","")&amp;"respuesta_correcta","")</f>
        <v/>
      </c>
      <c r="V99">
        <f>IF(AND(OR($A99="Verdadero o Falso Simple",$A99="Respuesta A/B/Ambas/Ninguna",$A99="Verdadero o Falso Complejas",$A99="Selección de la mejor respuesta",$A99="Subítem de caso o problema",$A99="Opción de Emparejamiento Ampliado"),TRIM($J99)=""),IF(COUNTIF($Q99:$U99,"?*")&gt;0,", ","")&amp;"dificultad","")</f>
        <v/>
      </c>
      <c r="W99">
        <f>IF(AND(OR($A99="Ítems agrupados por caso clínico o problema",$A99="Emparejamiento Ampliado"),TRIM($I99)&lt;&gt;""),IF(COUNTIF($Q99:$V99,"?*")&gt;0,", ","")&amp;"respuesta debe ir vacia","")</f>
        <v/>
      </c>
      <c r="X99">
        <f>IF(AND(OR($A99="Ítems agrupados por caso clínico o problema",$A99="Emparejamiento Ampliado"),TRIM($J99)&lt;&gt;""),IF(COUNTIF($Q99:$W99,"?*")&gt;0,", ","")&amp;"dificultad debe ir vacia","")</f>
        <v/>
      </c>
      <c r="Y99">
        <f>IF(AND($A99="Verdadero o Falso Simple",OR(COUNTIF($D99:$E99,"?*")&lt;2,COUNTIF($F99:$H99,"?*")&gt;0)),IF(COUNTIF($Q99:$X99,"?*")&gt;0,", ","")&amp;"incisos A-B","")</f>
        <v/>
      </c>
      <c r="Z99">
        <f>IF(AND($A99="Verdadero o Falso Simple",TRIM($I99)&lt;&gt;"",NOT(OR(LEFT(TRIM($I99),1)="A",LEFT(TRIM($I99),1)="B"))),IF(COUNTIF($Q99:$Y99,"?*")&gt;0,", ","")&amp;"respuesta A-B","")</f>
        <v/>
      </c>
      <c r="AA99">
        <f>IF(AND($A99="Respuesta A/B/Ambas/Ninguna",COUNTIF($D99:$G99,"?*")&lt;4),IF(COUNTIF($Q99:$Z99,"?*")&gt;0,", ","")&amp;"opciones A-D","")</f>
        <v/>
      </c>
      <c r="AB99">
        <f>IF(AND($A99="Respuesta A/B/Ambas/Ninguna",COUNTIF($H99:$H99,"?*")&gt;0),IF(COUNTIF($Q99:$AA99,"?*")&gt;0,", ","")&amp;"opcion E deshabilitada","")</f>
        <v/>
      </c>
      <c r="AC99">
        <f>IF(AND($A99="Respuesta A/B/Ambas/Ninguna",TRIM($I99)&lt;&gt;"",NOT(OR(LEFT(TRIM($I99),1)="A",LEFT(TRIM($I99),1)="B",LEFT(TRIM($I99),1)="C",LEFT(TRIM($I99),1)="D"))),IF(COUNTIF($Q99:$AB99,"?*")&gt;0,", ","")&amp;"respuesta A-D","")</f>
        <v/>
      </c>
      <c r="AD99">
        <f>IF(AND($A99="Verdadero o Falso Complejas",OR(LEN(TRIM(SUBSTITUTE($D99,"1.","")))=0,LEN(TRIM(SUBSTITUTE($E99,"2.","")))=0,LEN(TRIM(SUBSTITUTE($F99,"3.","")))=0,LEN(TRIM(SUBSTITUTE($G99,"4.","")))=0)),IF(COUNTIF($Q99:$AC99,"?*")&gt;0,", ","")&amp;"incisos 1-4","")</f>
        <v/>
      </c>
      <c r="AE99">
        <f>IF(AND($A99="Verdadero o Falso Complejas",COUNTIF($H99:$H99,"?*")&gt;0),IF(COUNTIF($Q99:$AD99,"?*")&gt;0,", ","")&amp;"opcion E deshabilitada","")</f>
        <v/>
      </c>
      <c r="AF99">
        <f>IF(AND($A99="Verdadero o Falso Complejas",TRIM($I99)&lt;&gt;"",NOT(OR(LEFT(TRIM($I99),1)="A",LEFT(TRIM($I99),1)="B",LEFT(TRIM($I99),1)="C",LEFT(TRIM($I99),1)="D",LEFT(TRIM($I99),1)="E"))),IF(COUNTIF($Q99:$AE99,"?*")&gt;0,", ","")&amp;"respuesta A-E","")</f>
        <v/>
      </c>
      <c r="AG99">
        <f>IF(AND(OR($A99="Selección de la mejor respuesta",$A99="Subítem de caso o problema"),COUNTA($D99:$H99)&lt;5),IF(COUNTIF($Q99:$AF99,"?*")&gt;0,", ","")&amp;"incisos A-E","")</f>
        <v/>
      </c>
      <c r="AH99">
        <f>IF(AND(OR($A99="Selección de la mejor respuesta",$A99="Subítem de caso o problema"),TRIM($I99)&lt;&gt;"",NOT(OR(LEFT(TRIM($I99),1)="A",LEFT(TRIM($I99),1)="B",LEFT(TRIM($I99),1)="C",LEFT(TRIM($I99),1)="D",LEFT(TRIM($I99),1)="E"))),IF(COUNTIF($Q99:$AG99,"?*")&gt;0,", ","")&amp;"respuesta A-E","")</f>
        <v/>
      </c>
      <c r="AI99">
        <f>IF(AND(OR($A99="Ítems agrupados por caso clínico o problema",$A99="Opción de Emparejamiento Ampliado"),COUNTIF($D99:$H99,"?*")&gt;0),IF(COUNTIF($Q99:$AH99,"?*")&gt;0,", ","")&amp;"sin incisos","")</f>
        <v/>
      </c>
      <c r="AJ99">
        <f>IF(AND($A99="Emparejamiento Ampliado",COUNTIF($D99:$H99,"?*")&lt;2),IF(COUNTIF($Q99:$AI99,"?*")&gt;0,", ","")&amp;"minimo 2 claves","")</f>
        <v/>
      </c>
      <c r="AK99">
        <f>IF(AND($A99="Opción de Emparejamiento Ampliado",NOT(OR(LEFT(TRIM($I99),1)="A",LEFT(TRIM($I99),1)="B",LEFT(TRIM($I99),1)="C",LEFT(TRIM($I99),1)="D",LEFT(TRIM($I99),1)="E"))),IF(COUNTIF($Q99:$AJ99,"?*")&gt;0,", ","")&amp;"respuesta A-E","")</f>
        <v/>
      </c>
      <c r="AL99">
        <f>IF(TRIM($K99)="",IF(COUNTIF($M99:$M99,"?*")&gt;0,", ","")&amp;"parcial","")</f>
        <v/>
      </c>
      <c r="AM99">
        <f>IF(AND(TRIM($K99)&lt;&gt;"",TRIM($K99)&lt;&gt;VALIDACIONES!$G$1),IF(COUNTIF($M99:$N99,"?*")&gt;0,", ","")&amp;"parcial distinto a "&amp;VALIDACIONES!$G$1,"")</f>
        <v/>
      </c>
    </row>
    <row r="100" ht="20" customHeight="1">
      <c r="A100" s="371" t="n"/>
      <c r="B100" s="371" t="n"/>
      <c r="C100" s="371" t="n"/>
      <c r="D100" s="371">
        <f>IF($A100="Verdadero o Falso Simple","Verdadero",IF($A100="Respuesta A/B/Ambas/Ninguna","A. Si la primera es verdadera",IF($A100="Verdadero o Falso Complejas","1. ","")))</f>
        <v/>
      </c>
      <c r="E100" s="371">
        <f>IF($A100="Verdadero o Falso Simple","Falso",IF($A100="Respuesta A/B/Ambas/Ninguna","B. Si la segunda es verdadera",IF($A100="Verdadero o Falso Complejas","2. ","")))</f>
        <v/>
      </c>
      <c r="F100" s="371">
        <f>IF($A100="Respuesta A/B/Ambas/Ninguna","C. Si ambas son verdaderas",IF($A100="Verdadero o Falso Complejas","3. ",""))</f>
        <v/>
      </c>
      <c r="G100" s="371">
        <f>IF($A100="Respuesta A/B/Ambas/Ninguna","D. Si ninguna es verdadera",IF($A100="Verdadero o Falso Complejas","4. ",""))</f>
        <v/>
      </c>
      <c r="H100" s="371">
        <f>IF($A100="Verdadero o Falso Simple","",IF($A100="Respuesta A/B/Ambas/Ninguna","",IF($A100="Verdadero o Falso Complejas","","")))</f>
        <v/>
      </c>
      <c r="I100" s="371" t="n"/>
      <c r="J100" s="372" t="n"/>
      <c r="K100" s="372">
        <f>IF(TRIM($A100)="","",VALIDACIONES!$G$1)</f>
        <v/>
      </c>
      <c r="L100" s="371">
        <f>IF(TRIM($A100)="","",IF(OR($A100="Selección de la mejor respuesta",$A100="SELECCION_MEJOR_RESPUESTA",$A100="Subítem de caso o problema",$A100="SUBITEM_CASO"),IF(TRIM($C100)="","Completar enunciado",IF(SUMPRODUCT(--(LEN(TRIM($D100:$H100&amp;""))&gt;0))&lt;5,"Completar opciones A-E",IF(AND(TRIM($I100)&lt;&gt;"",OR(LEFT(TRIM($I100),1)="A",LEFT(TRIM($I100),1)="B",LEFT(TRIM($I100),1)="C",LEFT(TRIM($I100),1)="D",LEFT(TRIM($I100),1)="E")),"OK","Completar respuesta correcta A-E"))),IF(TRIM($A100)="","",IF(COUNTIF($Q100:$AJ100,"?*")=0,"OK","Falta revisar: "&amp;$Q100&amp;$R100&amp;$S100&amp;$T100&amp;$U100&amp;$V100&amp;$W100&amp;$X100&amp;$Y100&amp;$Z100&amp;$AA100&amp;$AB100&amp;$AC100&amp;$AD100&amp;$AE100&amp;$AF100&amp;$AG100&amp;$AH100&amp;$AI100&amp;$AJ100))))</f>
        <v/>
      </c>
      <c r="M100" s="373" t="n"/>
      <c r="Q100">
        <f>IF(TRIM($C100)="","enunciado","")</f>
        <v/>
      </c>
      <c r="R100">
        <f>IF(TRIM($K100)="",IF(COUNTIF($Q100:$Q100,"?*")&gt;0,", ","")&amp;"parcial","")</f>
        <v/>
      </c>
      <c r="S100">
        <f>IF(AND(TRIM($K100)&lt;&gt;"",TRIM($K100)&lt;&gt;VALIDACIONES!$G$1),IF(COUNTIF($Q100:$R100,"?*")&gt;0,", ","")&amp;"parcial distinto a "&amp;VALIDACIONES!$G$1,"")</f>
        <v/>
      </c>
      <c r="T100">
        <f>IF(AND(OR($A100="Ítems agrupados por caso clínico o problema",$A100="Subítem de caso o problema",$A100="Emparejamiento Ampliado",$A100="Opción de Emparejamiento Ampliado"),TRIM($B100)=""),IF(COUNTIF($Q100:$S100,"?*")&gt;0,", ","")&amp;"grupo","")</f>
        <v/>
      </c>
      <c r="U100">
        <f>IF(AND(OR($A100="Verdadero o Falso Simple",$A100="Respuesta A/B/Ambas/Ninguna",$A100="Verdadero o Falso Complejas",$A100="Selección de la mejor respuesta",$A100="Subítem de caso o problema",$A100="Opción de Emparejamiento Ampliado"),TRIM($I100)=""),IF(COUNTIF($Q100:$T100,"?*")&gt;0,", ","")&amp;"respuesta_correcta","")</f>
        <v/>
      </c>
      <c r="V100">
        <f>IF(AND(OR($A100="Verdadero o Falso Simple",$A100="Respuesta A/B/Ambas/Ninguna",$A100="Verdadero o Falso Complejas",$A100="Selección de la mejor respuesta",$A100="Subítem de caso o problema",$A100="Opción de Emparejamiento Ampliado"),TRIM($J100)=""),IF(COUNTIF($Q100:$U100,"?*")&gt;0,", ","")&amp;"dificultad","")</f>
        <v/>
      </c>
      <c r="W100">
        <f>IF(AND(OR($A100="Ítems agrupados por caso clínico o problema",$A100="Emparejamiento Ampliado"),TRIM($I100)&lt;&gt;""),IF(COUNTIF($Q100:$V100,"?*")&gt;0,", ","")&amp;"respuesta debe ir vacia","")</f>
        <v/>
      </c>
      <c r="X100">
        <f>IF(AND(OR($A100="Ítems agrupados por caso clínico o problema",$A100="Emparejamiento Ampliado"),TRIM($J100)&lt;&gt;""),IF(COUNTIF($Q100:$W100,"?*")&gt;0,", ","")&amp;"dificultad debe ir vacia","")</f>
        <v/>
      </c>
      <c r="Y100">
        <f>IF(AND($A100="Verdadero o Falso Simple",OR(COUNTIF($D100:$E100,"?*")&lt;2,COUNTIF($F100:$H100,"?*")&gt;0)),IF(COUNTIF($Q100:$X100,"?*")&gt;0,", ","")&amp;"incisos A-B","")</f>
        <v/>
      </c>
      <c r="Z100">
        <f>IF(AND($A100="Verdadero o Falso Simple",TRIM($I100)&lt;&gt;"",NOT(OR(LEFT(TRIM($I100),1)="A",LEFT(TRIM($I100),1)="B"))),IF(COUNTIF($Q100:$Y100,"?*")&gt;0,", ","")&amp;"respuesta A-B","")</f>
        <v/>
      </c>
      <c r="AA100">
        <f>IF(AND($A100="Respuesta A/B/Ambas/Ninguna",COUNTIF($D100:$G100,"?*")&lt;4),IF(COUNTIF($Q100:$Z100,"?*")&gt;0,", ","")&amp;"opciones A-D","")</f>
        <v/>
      </c>
      <c r="AB100">
        <f>IF(AND($A100="Respuesta A/B/Ambas/Ninguna",COUNTIF($H100:$H100,"?*")&gt;0),IF(COUNTIF($Q100:$AA100,"?*")&gt;0,", ","")&amp;"opcion E deshabilitada","")</f>
        <v/>
      </c>
      <c r="AC100">
        <f>IF(AND($A100="Respuesta A/B/Ambas/Ninguna",TRIM($I100)&lt;&gt;"",NOT(OR(LEFT(TRIM($I100),1)="A",LEFT(TRIM($I100),1)="B",LEFT(TRIM($I100),1)="C",LEFT(TRIM($I100),1)="D"))),IF(COUNTIF($Q100:$AB100,"?*")&gt;0,", ","")&amp;"respuesta A-D","")</f>
        <v/>
      </c>
      <c r="AD100">
        <f>IF(AND($A100="Verdadero o Falso Complejas",OR(LEN(TRIM(SUBSTITUTE($D100,"1.","")))=0,LEN(TRIM(SUBSTITUTE($E100,"2.","")))=0,LEN(TRIM(SUBSTITUTE($F100,"3.","")))=0,LEN(TRIM(SUBSTITUTE($G100,"4.","")))=0)),IF(COUNTIF($Q100:$AC100,"?*")&gt;0,", ","")&amp;"incisos 1-4","")</f>
        <v/>
      </c>
      <c r="AE100">
        <f>IF(AND($A100="Verdadero o Falso Complejas",COUNTIF($H100:$H100,"?*")&gt;0),IF(COUNTIF($Q100:$AD100,"?*")&gt;0,", ","")&amp;"opcion E deshabilitada","")</f>
        <v/>
      </c>
      <c r="AF100">
        <f>IF(AND($A100="Verdadero o Falso Complejas",TRIM($I100)&lt;&gt;"",NOT(OR(LEFT(TRIM($I100),1)="A",LEFT(TRIM($I100),1)="B",LEFT(TRIM($I100),1)="C",LEFT(TRIM($I100),1)="D",LEFT(TRIM($I100),1)="E"))),IF(COUNTIF($Q100:$AE100,"?*")&gt;0,", ","")&amp;"respuesta A-E","")</f>
        <v/>
      </c>
      <c r="AG100">
        <f>IF(AND(OR($A100="Selección de la mejor respuesta",$A100="Subítem de caso o problema"),COUNTA($D100:$H100)&lt;5),IF(COUNTIF($Q100:$AF100,"?*")&gt;0,", ","")&amp;"incisos A-E","")</f>
        <v/>
      </c>
      <c r="AH100">
        <f>IF(AND(OR($A100="Selección de la mejor respuesta",$A100="Subítem de caso o problema"),TRIM($I100)&lt;&gt;"",NOT(OR(LEFT(TRIM($I100),1)="A",LEFT(TRIM($I100),1)="B",LEFT(TRIM($I100),1)="C",LEFT(TRIM($I100),1)="D",LEFT(TRIM($I100),1)="E"))),IF(COUNTIF($Q100:$AG100,"?*")&gt;0,", ","")&amp;"respuesta A-E","")</f>
        <v/>
      </c>
      <c r="AI100">
        <f>IF(AND(OR($A100="Ítems agrupados por caso clínico o problema",$A100="Opción de Emparejamiento Ampliado"),COUNTIF($D100:$H100,"?*")&gt;0),IF(COUNTIF($Q100:$AH100,"?*")&gt;0,", ","")&amp;"sin incisos","")</f>
        <v/>
      </c>
      <c r="AJ100">
        <f>IF(AND($A100="Emparejamiento Ampliado",COUNTIF($D100:$H100,"?*")&lt;2),IF(COUNTIF($Q100:$AI100,"?*")&gt;0,", ","")&amp;"minimo 2 claves","")</f>
        <v/>
      </c>
      <c r="AK100">
        <f>IF(AND($A100="Opción de Emparejamiento Ampliado",NOT(OR(LEFT(TRIM($I100),1)="A",LEFT(TRIM($I100),1)="B",LEFT(TRIM($I100),1)="C",LEFT(TRIM($I100),1)="D",LEFT(TRIM($I100),1)="E"))),IF(COUNTIF($Q100:$AJ100,"?*")&gt;0,", ","")&amp;"respuesta A-E","")</f>
        <v/>
      </c>
      <c r="AL100">
        <f>IF(TRIM($K100)="",IF(COUNTIF($M100:$M100,"?*")&gt;0,", ","")&amp;"parcial","")</f>
        <v/>
      </c>
      <c r="AM100">
        <f>IF(AND(TRIM($K100)&lt;&gt;"",TRIM($K100)&lt;&gt;VALIDACIONES!$G$1),IF(COUNTIF($M100:$N100,"?*")&gt;0,", ","")&amp;"parcial distinto a "&amp;VALIDACIONES!$G$1,"")</f>
        <v/>
      </c>
    </row>
    <row r="101" ht="20" customHeight="1">
      <c r="A101" s="371" t="n"/>
      <c r="B101" s="371" t="n"/>
      <c r="C101" s="371" t="n"/>
      <c r="D101" s="371">
        <f>IF($A101="Verdadero o Falso Simple","Verdadero",IF($A101="Respuesta A/B/Ambas/Ninguna","A. Si la primera es verdadera",IF($A101="Verdadero o Falso Complejas","1. ","")))</f>
        <v/>
      </c>
      <c r="E101" s="371">
        <f>IF($A101="Verdadero o Falso Simple","Falso",IF($A101="Respuesta A/B/Ambas/Ninguna","B. Si la segunda es verdadera",IF($A101="Verdadero o Falso Complejas","2. ","")))</f>
        <v/>
      </c>
      <c r="F101" s="371">
        <f>IF($A101="Respuesta A/B/Ambas/Ninguna","C. Si ambas son verdaderas",IF($A101="Verdadero o Falso Complejas","3. ",""))</f>
        <v/>
      </c>
      <c r="G101" s="371">
        <f>IF($A101="Respuesta A/B/Ambas/Ninguna","D. Si ninguna es verdadera",IF($A101="Verdadero o Falso Complejas","4. ",""))</f>
        <v/>
      </c>
      <c r="H101" s="371">
        <f>IF($A101="Verdadero o Falso Simple","",IF($A101="Respuesta A/B/Ambas/Ninguna","",IF($A101="Verdadero o Falso Complejas","","")))</f>
        <v/>
      </c>
      <c r="I101" s="371" t="n"/>
      <c r="J101" s="372" t="n"/>
      <c r="K101" s="372">
        <f>IF(TRIM($A101)="","",VALIDACIONES!$G$1)</f>
        <v/>
      </c>
      <c r="L101" s="371">
        <f>IF(TRIM($A101)="","",IF(OR($A101="Selección de la mejor respuesta",$A101="SELECCION_MEJOR_RESPUESTA",$A101="Subítem de caso o problema",$A101="SUBITEM_CASO"),IF(TRIM($C101)="","Completar enunciado",IF(SUMPRODUCT(--(LEN(TRIM($D101:$H101&amp;""))&gt;0))&lt;5,"Completar opciones A-E",IF(AND(TRIM($I101)&lt;&gt;"",OR(LEFT(TRIM($I101),1)="A",LEFT(TRIM($I101),1)="B",LEFT(TRIM($I101),1)="C",LEFT(TRIM($I101),1)="D",LEFT(TRIM($I101),1)="E")),"OK","Completar respuesta correcta A-E"))),IF(TRIM($A101)="","",IF(COUNTIF($Q101:$AJ101,"?*")=0,"OK","Falta revisar: "&amp;$Q101&amp;$R101&amp;$S101&amp;$T101&amp;$U101&amp;$V101&amp;$W101&amp;$X101&amp;$Y101&amp;$Z101&amp;$AA101&amp;$AB101&amp;$AC101&amp;$AD101&amp;$AE101&amp;$AF101&amp;$AG101&amp;$AH101&amp;$AI101&amp;$AJ101))))</f>
        <v/>
      </c>
      <c r="M101" s="373" t="n"/>
      <c r="Q101">
        <f>IF(TRIM($C101)="","enunciado","")</f>
        <v/>
      </c>
      <c r="R101">
        <f>IF(TRIM($K101)="",IF(COUNTIF($Q101:$Q101,"?*")&gt;0,", ","")&amp;"parcial","")</f>
        <v/>
      </c>
      <c r="S101">
        <f>IF(AND(TRIM($K101)&lt;&gt;"",TRIM($K101)&lt;&gt;VALIDACIONES!$G$1),IF(COUNTIF($Q101:$R101,"?*")&gt;0,", ","")&amp;"parcial distinto a "&amp;VALIDACIONES!$G$1,"")</f>
        <v/>
      </c>
      <c r="T101">
        <f>IF(AND(OR($A101="Ítems agrupados por caso clínico o problema",$A101="Subítem de caso o problema",$A101="Emparejamiento Ampliado",$A101="Opción de Emparejamiento Ampliado"),TRIM($B101)=""),IF(COUNTIF($Q101:$S101,"?*")&gt;0,", ","")&amp;"grupo","")</f>
        <v/>
      </c>
      <c r="U101">
        <f>IF(AND(OR($A101="Verdadero o Falso Simple",$A101="Respuesta A/B/Ambas/Ninguna",$A101="Verdadero o Falso Complejas",$A101="Selección de la mejor respuesta",$A101="Subítem de caso o problema",$A101="Opción de Emparejamiento Ampliado"),TRIM($I101)=""),IF(COUNTIF($Q101:$T101,"?*")&gt;0,", ","")&amp;"respuesta_correcta","")</f>
        <v/>
      </c>
      <c r="V101">
        <f>IF(AND(OR($A101="Verdadero o Falso Simple",$A101="Respuesta A/B/Ambas/Ninguna",$A101="Verdadero o Falso Complejas",$A101="Selección de la mejor respuesta",$A101="Subítem de caso o problema",$A101="Opción de Emparejamiento Ampliado"),TRIM($J101)=""),IF(COUNTIF($Q101:$U101,"?*")&gt;0,", ","")&amp;"dificultad","")</f>
        <v/>
      </c>
      <c r="W101">
        <f>IF(AND(OR($A101="Ítems agrupados por caso clínico o problema",$A101="Emparejamiento Ampliado"),TRIM($I101)&lt;&gt;""),IF(COUNTIF($Q101:$V101,"?*")&gt;0,", ","")&amp;"respuesta debe ir vacia","")</f>
        <v/>
      </c>
      <c r="X101">
        <f>IF(AND(OR($A101="Ítems agrupados por caso clínico o problema",$A101="Emparejamiento Ampliado"),TRIM($J101)&lt;&gt;""),IF(COUNTIF($Q101:$W101,"?*")&gt;0,", ","")&amp;"dificultad debe ir vacia","")</f>
        <v/>
      </c>
      <c r="Y101">
        <f>IF(AND($A101="Verdadero o Falso Simple",OR(COUNTIF($D101:$E101,"?*")&lt;2,COUNTIF($F101:$H101,"?*")&gt;0)),IF(COUNTIF($Q101:$X101,"?*")&gt;0,", ","")&amp;"incisos A-B","")</f>
        <v/>
      </c>
      <c r="Z101">
        <f>IF(AND($A101="Verdadero o Falso Simple",TRIM($I101)&lt;&gt;"",NOT(OR(LEFT(TRIM($I101),1)="A",LEFT(TRIM($I101),1)="B"))),IF(COUNTIF($Q101:$Y101,"?*")&gt;0,", ","")&amp;"respuesta A-B","")</f>
        <v/>
      </c>
      <c r="AA101">
        <f>IF(AND($A101="Respuesta A/B/Ambas/Ninguna",COUNTIF($D101:$G101,"?*")&lt;4),IF(COUNTIF($Q101:$Z101,"?*")&gt;0,", ","")&amp;"opciones A-D","")</f>
        <v/>
      </c>
      <c r="AB101">
        <f>IF(AND($A101="Respuesta A/B/Ambas/Ninguna",COUNTIF($H101:$H101,"?*")&gt;0),IF(COUNTIF($Q101:$AA101,"?*")&gt;0,", ","")&amp;"opcion E deshabilitada","")</f>
        <v/>
      </c>
      <c r="AC101">
        <f>IF(AND($A101="Respuesta A/B/Ambas/Ninguna",TRIM($I101)&lt;&gt;"",NOT(OR(LEFT(TRIM($I101),1)="A",LEFT(TRIM($I101),1)="B",LEFT(TRIM($I101),1)="C",LEFT(TRIM($I101),1)="D"))),IF(COUNTIF($Q101:$AB101,"?*")&gt;0,", ","")&amp;"respuesta A-D","")</f>
        <v/>
      </c>
      <c r="AD101">
        <f>IF(AND($A101="Verdadero o Falso Complejas",OR(LEN(TRIM(SUBSTITUTE($D101,"1.","")))=0,LEN(TRIM(SUBSTITUTE($E101,"2.","")))=0,LEN(TRIM(SUBSTITUTE($F101,"3.","")))=0,LEN(TRIM(SUBSTITUTE($G101,"4.","")))=0)),IF(COUNTIF($Q101:$AC101,"?*")&gt;0,", ","")&amp;"incisos 1-4","")</f>
        <v/>
      </c>
      <c r="AE101">
        <f>IF(AND($A101="Verdadero o Falso Complejas",COUNTIF($H101:$H101,"?*")&gt;0),IF(COUNTIF($Q101:$AD101,"?*")&gt;0,", ","")&amp;"opcion E deshabilitada","")</f>
        <v/>
      </c>
      <c r="AF101">
        <f>IF(AND($A101="Verdadero o Falso Complejas",TRIM($I101)&lt;&gt;"",NOT(OR(LEFT(TRIM($I101),1)="A",LEFT(TRIM($I101),1)="B",LEFT(TRIM($I101),1)="C",LEFT(TRIM($I101),1)="D",LEFT(TRIM($I101),1)="E"))),IF(COUNTIF($Q101:$AE101,"?*")&gt;0,", ","")&amp;"respuesta A-E","")</f>
        <v/>
      </c>
      <c r="AG101">
        <f>IF(AND(OR($A101="Selección de la mejor respuesta",$A101="Subítem de caso o problema"),COUNTA($D101:$H101)&lt;5),IF(COUNTIF($Q101:$AF101,"?*")&gt;0,", ","")&amp;"incisos A-E","")</f>
        <v/>
      </c>
      <c r="AH101">
        <f>IF(AND(OR($A101="Selección de la mejor respuesta",$A101="Subítem de caso o problema"),TRIM($I101)&lt;&gt;"",NOT(OR(LEFT(TRIM($I101),1)="A",LEFT(TRIM($I101),1)="B",LEFT(TRIM($I101),1)="C",LEFT(TRIM($I101),1)="D",LEFT(TRIM($I101),1)="E"))),IF(COUNTIF($Q101:$AG101,"?*")&gt;0,", ","")&amp;"respuesta A-E","")</f>
        <v/>
      </c>
      <c r="AI101">
        <f>IF(AND(OR($A101="Ítems agrupados por caso clínico o problema",$A101="Opción de Emparejamiento Ampliado"),COUNTIF($D101:$H101,"?*")&gt;0),IF(COUNTIF($Q101:$AH101,"?*")&gt;0,", ","")&amp;"sin incisos","")</f>
        <v/>
      </c>
      <c r="AJ101">
        <f>IF(AND($A101="Emparejamiento Ampliado",COUNTIF($D101:$H101,"?*")&lt;2),IF(COUNTIF($Q101:$AI101,"?*")&gt;0,", ","")&amp;"minimo 2 claves","")</f>
        <v/>
      </c>
      <c r="AK101">
        <f>IF(AND($A101="Opción de Emparejamiento Ampliado",NOT(OR(LEFT(TRIM($I101),1)="A",LEFT(TRIM($I101),1)="B",LEFT(TRIM($I101),1)="C",LEFT(TRIM($I101),1)="D",LEFT(TRIM($I101),1)="E"))),IF(COUNTIF($Q101:$AJ101,"?*")&gt;0,", ","")&amp;"respuesta A-E","")</f>
        <v/>
      </c>
      <c r="AL101">
        <f>IF(TRIM($K101)="",IF(COUNTIF($M101:$M101,"?*")&gt;0,", ","")&amp;"parcial","")</f>
        <v/>
      </c>
      <c r="AM101">
        <f>IF(AND(TRIM($K101)&lt;&gt;"",TRIM($K101)&lt;&gt;VALIDACIONES!$G$1),IF(COUNTIF($M101:$N101,"?*")&gt;0,", ","")&amp;"parcial distinto a "&amp;VALIDACIONES!$G$1,"")</f>
        <v/>
      </c>
    </row>
    <row r="102" ht="24" customHeight="1">
      <c r="S102">
        <f>IF(AND(TRIM($K102)&lt;&gt;"",TRIM($K102)&lt;&gt;VALIDACIONES!$G$1),IF(COUNTIF($Q102:$R102,"?*")&gt;0,", ","")&amp;"parcial distinto a "&amp;VALIDACIONES!$G$1,"")</f>
        <v/>
      </c>
      <c r="AM102">
        <f>IF(AND(TRIM($K102)&lt;&gt;"",TRIM($K102)&lt;&gt;VALIDACIONES!$G$1),IF(COUNTIF($M102:$N102,"?*")&gt;0,", ","")&amp;"parcial distinto a "&amp;VALIDACIONES!$G$1,"")</f>
        <v/>
      </c>
    </row>
    <row r="103" ht="24" customHeight="1">
      <c r="S103">
        <f>IF(AND(TRIM($K103)&lt;&gt;"",TRIM($K103)&lt;&gt;VALIDACIONES!$G$1),IF(COUNTIF($Q103:$R103,"?*")&gt;0,", ","")&amp;"parcial distinto a "&amp;VALIDACIONES!$G$1,"")</f>
        <v/>
      </c>
      <c r="AM103">
        <f>IF(AND(TRIM($K103)&lt;&gt;"",TRIM($K103)&lt;&gt;VALIDACIONES!$G$1),IF(COUNTIF($M103:$N103,"?*")&gt;0,", ","")&amp;"parcial distinto a "&amp;VALIDACIONES!$G$1,"")</f>
        <v/>
      </c>
    </row>
    <row r="104" ht="24" customHeight="1">
      <c r="S104">
        <f>IF(AND(TRIM($K104)&lt;&gt;"",TRIM($K104)&lt;&gt;VALIDACIONES!$G$1),IF(COUNTIF($Q104:$R104,"?*")&gt;0,", ","")&amp;"parcial distinto a "&amp;VALIDACIONES!$G$1,"")</f>
        <v/>
      </c>
      <c r="AM104">
        <f>IF(AND(TRIM($K104)&lt;&gt;"",TRIM($K104)&lt;&gt;VALIDACIONES!$G$1),IF(COUNTIF($M104:$N104,"?*")&gt;0,", ","")&amp;"parcial distinto a "&amp;VALIDACIONES!$G$1,"")</f>
        <v/>
      </c>
    </row>
    <row r="105" ht="24" customHeight="1">
      <c r="S105">
        <f>IF(AND(TRIM($K105)&lt;&gt;"",TRIM($K105)&lt;&gt;VALIDACIONES!$G$1),IF(COUNTIF($Q105:$R105,"?*")&gt;0,", ","")&amp;"parcial distinto a "&amp;VALIDACIONES!$G$1,"")</f>
        <v/>
      </c>
      <c r="AM105">
        <f>IF(AND(TRIM($K105)&lt;&gt;"",TRIM($K105)&lt;&gt;VALIDACIONES!$G$1),IF(COUNTIF($M105:$N105,"?*")&gt;0,", ","")&amp;"parcial distinto a "&amp;VALIDACIONES!$G$1,"")</f>
        <v/>
      </c>
    </row>
    <row r="106" ht="24" customHeight="1">
      <c r="S106">
        <f>IF(AND(TRIM($K106)&lt;&gt;"",TRIM($K106)&lt;&gt;VALIDACIONES!$G$1),IF(COUNTIF($Q106:$R106,"?*")&gt;0,", ","")&amp;"parcial distinto a "&amp;VALIDACIONES!$G$1,"")</f>
        <v/>
      </c>
      <c r="AM106">
        <f>IF(AND(TRIM($K106)&lt;&gt;"",TRIM($K106)&lt;&gt;VALIDACIONES!$G$1),IF(COUNTIF($M106:$N106,"?*")&gt;0,", ","")&amp;"parcial distinto a "&amp;VALIDACIONES!$G$1,"")</f>
        <v/>
      </c>
    </row>
    <row r="107" ht="24" customHeight="1">
      <c r="S107">
        <f>IF(AND(TRIM($K107)&lt;&gt;"",TRIM($K107)&lt;&gt;VALIDACIONES!$G$1),IF(COUNTIF($Q107:$R107,"?*")&gt;0,", ","")&amp;"parcial distinto a "&amp;VALIDACIONES!$G$1,"")</f>
        <v/>
      </c>
      <c r="AM107">
        <f>IF(AND(TRIM($K107)&lt;&gt;"",TRIM($K107)&lt;&gt;VALIDACIONES!$G$1),IF(COUNTIF($M107:$N107,"?*")&gt;0,", ","")&amp;"parcial distinto a "&amp;VALIDACIONES!$G$1,"")</f>
        <v/>
      </c>
    </row>
    <row r="108" ht="24" customHeight="1">
      <c r="S108">
        <f>IF(AND(TRIM($K108)&lt;&gt;"",TRIM($K108)&lt;&gt;VALIDACIONES!$G$1),IF(COUNTIF($Q108:$R108,"?*")&gt;0,", ","")&amp;"parcial distinto a "&amp;VALIDACIONES!$G$1,"")</f>
        <v/>
      </c>
      <c r="AM108">
        <f>IF(AND(TRIM($K108)&lt;&gt;"",TRIM($K108)&lt;&gt;VALIDACIONES!$G$1),IF(COUNTIF($M108:$N108,"?*")&gt;0,", ","")&amp;"parcial distinto a "&amp;VALIDACIONES!$G$1,"")</f>
        <v/>
      </c>
    </row>
    <row r="109" ht="24" customHeight="1">
      <c r="S109">
        <f>IF(AND(TRIM($K109)&lt;&gt;"",TRIM($K109)&lt;&gt;VALIDACIONES!$G$1),IF(COUNTIF($Q109:$R109,"?*")&gt;0,", ","")&amp;"parcial distinto a "&amp;VALIDACIONES!$G$1,"")</f>
        <v/>
      </c>
      <c r="AM109">
        <f>IF(AND(TRIM($K109)&lt;&gt;"",TRIM($K109)&lt;&gt;VALIDACIONES!$G$1),IF(COUNTIF($M109:$N109,"?*")&gt;0,", ","")&amp;"parcial distinto a "&amp;VALIDACIONES!$G$1,"")</f>
        <v/>
      </c>
    </row>
    <row r="110" ht="24" customHeight="1">
      <c r="S110">
        <f>IF(AND(TRIM($K110)&lt;&gt;"",TRIM($K110)&lt;&gt;VALIDACIONES!$G$1),IF(COUNTIF($Q110:$R110,"?*")&gt;0,", ","")&amp;"parcial distinto a "&amp;VALIDACIONES!$G$1,"")</f>
        <v/>
      </c>
      <c r="AM110">
        <f>IF(AND(TRIM($K110)&lt;&gt;"",TRIM($K110)&lt;&gt;VALIDACIONES!$G$1),IF(COUNTIF($M110:$N110,"?*")&gt;0,", ","")&amp;"parcial distinto a "&amp;VALIDACIONES!$G$1,"")</f>
        <v/>
      </c>
    </row>
    <row r="111" ht="24" customHeight="1">
      <c r="S111">
        <f>IF(AND(TRIM($K111)&lt;&gt;"",TRIM($K111)&lt;&gt;VALIDACIONES!$G$1),IF(COUNTIF($Q111:$R111,"?*")&gt;0,", ","")&amp;"parcial distinto a "&amp;VALIDACIONES!$G$1,"")</f>
        <v/>
      </c>
      <c r="AM111">
        <f>IF(AND(TRIM($K111)&lt;&gt;"",TRIM($K111)&lt;&gt;VALIDACIONES!$G$1),IF(COUNTIF($M111:$N111,"?*")&gt;0,", ","")&amp;"parcial distinto a "&amp;VALIDACIONES!$G$1,"")</f>
        <v/>
      </c>
    </row>
    <row r="112" ht="24" customHeight="1">
      <c r="S112">
        <f>IF(AND(TRIM($K112)&lt;&gt;"",TRIM($K112)&lt;&gt;VALIDACIONES!$G$1),IF(COUNTIF($Q112:$R112,"?*")&gt;0,", ","")&amp;"parcial distinto a "&amp;VALIDACIONES!$G$1,"")</f>
        <v/>
      </c>
      <c r="AM112">
        <f>IF(AND(TRIM($K112)&lt;&gt;"",TRIM($K112)&lt;&gt;VALIDACIONES!$G$1),IF(COUNTIF($M112:$N112,"?*")&gt;0,", ","")&amp;"parcial distinto a "&amp;VALIDACIONES!$G$1,"")</f>
        <v/>
      </c>
    </row>
    <row r="113" ht="24" customHeight="1">
      <c r="S113">
        <f>IF(AND(TRIM($K113)&lt;&gt;"",TRIM($K113)&lt;&gt;VALIDACIONES!$G$1),IF(COUNTIF($Q113:$R113,"?*")&gt;0,", ","")&amp;"parcial distinto a "&amp;VALIDACIONES!$G$1,"")</f>
        <v/>
      </c>
      <c r="AM113">
        <f>IF(AND(TRIM($K113)&lt;&gt;"",TRIM($K113)&lt;&gt;VALIDACIONES!$G$1),IF(COUNTIF($M113:$N113,"?*")&gt;0,", ","")&amp;"parcial distinto a "&amp;VALIDACIONES!$G$1,"")</f>
        <v/>
      </c>
    </row>
    <row r="114" ht="24" customHeight="1">
      <c r="S114">
        <f>IF(AND(TRIM($K114)&lt;&gt;"",TRIM($K114)&lt;&gt;VALIDACIONES!$G$1),IF(COUNTIF($Q114:$R114,"?*")&gt;0,", ","")&amp;"parcial distinto a "&amp;VALIDACIONES!$G$1,"")</f>
        <v/>
      </c>
      <c r="AM114">
        <f>IF(AND(TRIM($K114)&lt;&gt;"",TRIM($K114)&lt;&gt;VALIDACIONES!$G$1),IF(COUNTIF($M114:$N114,"?*")&gt;0,", ","")&amp;"parcial distinto a "&amp;VALIDACIONES!$G$1,"")</f>
        <v/>
      </c>
    </row>
    <row r="115" ht="24" customHeight="1">
      <c r="S115">
        <f>IF(AND(TRIM($K115)&lt;&gt;"",TRIM($K115)&lt;&gt;VALIDACIONES!$G$1),IF(COUNTIF($Q115:$R115,"?*")&gt;0,", ","")&amp;"parcial distinto a "&amp;VALIDACIONES!$G$1,"")</f>
        <v/>
      </c>
      <c r="AM115">
        <f>IF(AND(TRIM($K115)&lt;&gt;"",TRIM($K115)&lt;&gt;VALIDACIONES!$G$1),IF(COUNTIF($M115:$N115,"?*")&gt;0,", ","")&amp;"parcial distinto a "&amp;VALIDACIONES!$G$1,"")</f>
        <v/>
      </c>
    </row>
    <row r="116" ht="24" customHeight="1">
      <c r="S116">
        <f>IF(AND(TRIM($K116)&lt;&gt;"",TRIM($K116)&lt;&gt;VALIDACIONES!$G$1),IF(COUNTIF($Q116:$R116,"?*")&gt;0,", ","")&amp;"parcial distinto a "&amp;VALIDACIONES!$G$1,"")</f>
        <v/>
      </c>
      <c r="AM116">
        <f>IF(AND(TRIM($K116)&lt;&gt;"",TRIM($K116)&lt;&gt;VALIDACIONES!$G$1),IF(COUNTIF($M116:$N116,"?*")&gt;0,", ","")&amp;"parcial distinto a "&amp;VALIDACIONES!$G$1,"")</f>
        <v/>
      </c>
    </row>
    <row r="117" ht="24" customHeight="1">
      <c r="S117">
        <f>IF(AND(TRIM($K117)&lt;&gt;"",TRIM($K117)&lt;&gt;VALIDACIONES!$G$1),IF(COUNTIF($Q117:$R117,"?*")&gt;0,", ","")&amp;"parcial distinto a "&amp;VALIDACIONES!$G$1,"")</f>
        <v/>
      </c>
      <c r="AM117">
        <f>IF(AND(TRIM($K117)&lt;&gt;"",TRIM($K117)&lt;&gt;VALIDACIONES!$G$1),IF(COUNTIF($M117:$N117,"?*")&gt;0,", ","")&amp;"parcial distinto a "&amp;VALIDACIONES!$G$1,"")</f>
        <v/>
      </c>
    </row>
    <row r="118" ht="24" customHeight="1">
      <c r="S118">
        <f>IF(AND(TRIM($K118)&lt;&gt;"",TRIM($K118)&lt;&gt;VALIDACIONES!$G$1),IF(COUNTIF($Q118:$R118,"?*")&gt;0,", ","")&amp;"parcial distinto a "&amp;VALIDACIONES!$G$1,"")</f>
        <v/>
      </c>
      <c r="AM118">
        <f>IF(AND(TRIM($K118)&lt;&gt;"",TRIM($K118)&lt;&gt;VALIDACIONES!$G$1),IF(COUNTIF($M118:$N118,"?*")&gt;0,", ","")&amp;"parcial distinto a "&amp;VALIDACIONES!$G$1,"")</f>
        <v/>
      </c>
    </row>
    <row r="119" ht="24" customHeight="1">
      <c r="S119">
        <f>IF(AND(TRIM($K119)&lt;&gt;"",TRIM($K119)&lt;&gt;VALIDACIONES!$G$1),IF(COUNTIF($Q119:$R119,"?*")&gt;0,", ","")&amp;"parcial distinto a "&amp;VALIDACIONES!$G$1,"")</f>
        <v/>
      </c>
      <c r="AM119">
        <f>IF(AND(TRIM($K119)&lt;&gt;"",TRIM($K119)&lt;&gt;VALIDACIONES!$G$1),IF(COUNTIF($M119:$N119,"?*")&gt;0,", ","")&amp;"parcial distinto a "&amp;VALIDACIONES!$G$1,"")</f>
        <v/>
      </c>
    </row>
    <row r="120" ht="24" customHeight="1">
      <c r="S120">
        <f>IF(AND(TRIM($K120)&lt;&gt;"",TRIM($K120)&lt;&gt;VALIDACIONES!$G$1),IF(COUNTIF($Q120:$R120,"?*")&gt;0,", ","")&amp;"parcial distinto a "&amp;VALIDACIONES!$G$1,"")</f>
        <v/>
      </c>
      <c r="AM120">
        <f>IF(AND(TRIM($K120)&lt;&gt;"",TRIM($K120)&lt;&gt;VALIDACIONES!$G$1),IF(COUNTIF($M120:$N120,"?*")&gt;0,", ","")&amp;"parcial distinto a "&amp;VALIDACIONES!$G$1,"")</f>
        <v/>
      </c>
    </row>
    <row r="121" ht="24" customHeight="1">
      <c r="S121">
        <f>IF(AND(TRIM($K121)&lt;&gt;"",TRIM($K121)&lt;&gt;VALIDACIONES!$G$1),IF(COUNTIF($Q121:$R121,"?*")&gt;0,", ","")&amp;"parcial distinto a "&amp;VALIDACIONES!$G$1,"")</f>
        <v/>
      </c>
      <c r="AM121">
        <f>IF(AND(TRIM($K121)&lt;&gt;"",TRIM($K121)&lt;&gt;VALIDACIONES!$G$1),IF(COUNTIF($M121:$N121,"?*")&gt;0,", ","")&amp;"parcial distinto a "&amp;VALIDACIONES!$G$1,"")</f>
        <v/>
      </c>
    </row>
    <row r="122" ht="28" customHeight="1">
      <c r="S122">
        <f>IF(AND(TRIM($K122)&lt;&gt;"",TRIM($K122)&lt;&gt;VALIDACIONES!$G$1),IF(COUNTIF($Q122:$R122,"?*")&gt;0,", ","")&amp;"parcial distinto a "&amp;VALIDACIONES!$G$1,"")</f>
        <v/>
      </c>
      <c r="AM122">
        <f>IF(AND(TRIM($K122)&lt;&gt;"",TRIM($K122)&lt;&gt;VALIDACIONES!$G$1),IF(COUNTIF($M122:$N122,"?*")&gt;0,", ","")&amp;"parcial distinto a "&amp;VALIDACIONES!$G$1,"")</f>
        <v/>
      </c>
    </row>
    <row r="123" ht="20" customHeight="1">
      <c r="S123">
        <f>IF(AND(TRIM($K123)&lt;&gt;"",TRIM($K123)&lt;&gt;VALIDACIONES!$G$1),IF(COUNTIF($Q123:$R123,"?*")&gt;0,", ","")&amp;"parcial distinto a "&amp;VALIDACIONES!$G$1,"")</f>
        <v/>
      </c>
      <c r="AM123">
        <f>IF(AND(TRIM($K123)&lt;&gt;"",TRIM($K123)&lt;&gt;VALIDACIONES!$G$1),IF(COUNTIF($M123:$N123,"?*")&gt;0,", ","")&amp;"parcial distinto a "&amp;VALIDACIONES!$G$1,"")</f>
        <v/>
      </c>
    </row>
    <row r="124" ht="20" customHeight="1">
      <c r="S124">
        <f>IF(AND(TRIM($K124)&lt;&gt;"",TRIM($K124)&lt;&gt;VALIDACIONES!$G$1),IF(COUNTIF($Q124:$R124,"?*")&gt;0,", ","")&amp;"parcial distinto a "&amp;VALIDACIONES!$G$1,"")</f>
        <v/>
      </c>
      <c r="AM124">
        <f>IF(AND(TRIM($K124)&lt;&gt;"",TRIM($K124)&lt;&gt;VALIDACIONES!$G$1),IF(COUNTIF($M124:$N124,"?*")&gt;0,", ","")&amp;"parcial distinto a "&amp;VALIDACIONES!$G$1,"")</f>
        <v/>
      </c>
    </row>
    <row r="125" ht="20" customHeight="1">
      <c r="S125">
        <f>IF(AND(TRIM($K125)&lt;&gt;"",TRIM($K125)&lt;&gt;VALIDACIONES!$G$1),IF(COUNTIF($Q125:$R125,"?*")&gt;0,", ","")&amp;"parcial distinto a "&amp;VALIDACIONES!$G$1,"")</f>
        <v/>
      </c>
      <c r="AM125">
        <f>IF(AND(TRIM($K125)&lt;&gt;"",TRIM($K125)&lt;&gt;VALIDACIONES!$G$1),IF(COUNTIF($M125:$N125,"?*")&gt;0,", ","")&amp;"parcial distinto a "&amp;VALIDACIONES!$G$1,"")</f>
        <v/>
      </c>
    </row>
    <row r="126">
      <c r="S126">
        <f>IF(AND(TRIM($K126)&lt;&gt;"",TRIM($K126)&lt;&gt;VALIDACIONES!$G$1),IF(COUNTIF($Q126:$R126,"?*")&gt;0,", ","")&amp;"parcial distinto a "&amp;VALIDACIONES!$G$1,"")</f>
        <v/>
      </c>
      <c r="AM126">
        <f>IF(AND(TRIM($K126)&lt;&gt;"",TRIM($K126)&lt;&gt;VALIDACIONES!$G$1),IF(COUNTIF($M126:$N126,"?*")&gt;0,", ","")&amp;"parcial distinto a "&amp;VALIDACIONES!$G$1,"")</f>
        <v/>
      </c>
    </row>
    <row r="127">
      <c r="S127">
        <f>IF(AND(TRIM($K127)&lt;&gt;"",TRIM($K127)&lt;&gt;VALIDACIONES!$G$1),IF(COUNTIF($Q127:$R127,"?*")&gt;0,", ","")&amp;"parcial distinto a "&amp;VALIDACIONES!$G$1,"")</f>
        <v/>
      </c>
      <c r="AM127">
        <f>IF(AND(TRIM($K127)&lt;&gt;"",TRIM($K127)&lt;&gt;VALIDACIONES!$G$1),IF(COUNTIF($M127:$N127,"?*")&gt;0,", ","")&amp;"parcial distinto a "&amp;VALIDACIONES!$G$1,"")</f>
        <v/>
      </c>
    </row>
    <row r="128">
      <c r="S128">
        <f>IF(AND(TRIM($K128)&lt;&gt;"",TRIM($K128)&lt;&gt;VALIDACIONES!$G$1),IF(COUNTIF($Q128:$R128,"?*")&gt;0,", ","")&amp;"parcial distinto a "&amp;VALIDACIONES!$G$1,"")</f>
        <v/>
      </c>
      <c r="AM128">
        <f>IF(AND(TRIM($K128)&lt;&gt;"",TRIM($K128)&lt;&gt;VALIDACIONES!$G$1),IF(COUNTIF($M128:$N128,"?*")&gt;0,", ","")&amp;"parcial distinto a "&amp;VALIDACIONES!$G$1,"")</f>
        <v/>
      </c>
    </row>
    <row r="129">
      <c r="S129">
        <f>IF(AND(TRIM($K129)&lt;&gt;"",TRIM($K129)&lt;&gt;VALIDACIONES!$G$1),IF(COUNTIF($Q129:$R129,"?*")&gt;0,", ","")&amp;"parcial distinto a "&amp;VALIDACIONES!$G$1,"")</f>
        <v/>
      </c>
      <c r="AM129">
        <f>IF(AND(TRIM($K129)&lt;&gt;"",TRIM($K129)&lt;&gt;VALIDACIONES!$G$1),IF(COUNTIF($M129:$N129,"?*")&gt;0,", ","")&amp;"parcial distinto a "&amp;VALIDACIONES!$G$1,"")</f>
        <v/>
      </c>
    </row>
    <row r="130">
      <c r="S130">
        <f>IF(AND(TRIM($K130)&lt;&gt;"",TRIM($K130)&lt;&gt;VALIDACIONES!$G$1),IF(COUNTIF($Q130:$R130,"?*")&gt;0,", ","")&amp;"parcial distinto a "&amp;VALIDACIONES!$G$1,"")</f>
        <v/>
      </c>
      <c r="AM130">
        <f>IF(AND(TRIM($K130)&lt;&gt;"",TRIM($K130)&lt;&gt;VALIDACIONES!$G$1),IF(COUNTIF($M130:$N130,"?*")&gt;0,", ","")&amp;"parcial distinto a "&amp;VALIDACIONES!$G$1,"")</f>
        <v/>
      </c>
    </row>
    <row r="131">
      <c r="S131">
        <f>IF(AND(TRIM($K131)&lt;&gt;"",TRIM($K131)&lt;&gt;VALIDACIONES!$G$1),IF(COUNTIF($Q131:$R131,"?*")&gt;0,", ","")&amp;"parcial distinto a "&amp;VALIDACIONES!$G$1,"")</f>
        <v/>
      </c>
      <c r="AM131">
        <f>IF(AND(TRIM($K131)&lt;&gt;"",TRIM($K131)&lt;&gt;VALIDACIONES!$G$1),IF(COUNTIF($M131:$N131,"?*")&gt;0,", ","")&amp;"parcial distinto a "&amp;VALIDACIONES!$G$1,"")</f>
        <v/>
      </c>
    </row>
    <row r="132">
      <c r="S132">
        <f>IF(AND(TRIM($K132)&lt;&gt;"",TRIM($K132)&lt;&gt;VALIDACIONES!$G$1),IF(COUNTIF($Q132:$R132,"?*")&gt;0,", ","")&amp;"parcial distinto a "&amp;VALIDACIONES!$G$1,"")</f>
        <v/>
      </c>
      <c r="AM132">
        <f>IF(AND(TRIM($K132)&lt;&gt;"",TRIM($K132)&lt;&gt;VALIDACIONES!$G$1),IF(COUNTIF($M132:$N132,"?*")&gt;0,", ","")&amp;"parcial distinto a "&amp;VALIDACIONES!$G$1,"")</f>
        <v/>
      </c>
    </row>
    <row r="133">
      <c r="S133">
        <f>IF(AND(TRIM($K133)&lt;&gt;"",TRIM($K133)&lt;&gt;VALIDACIONES!$G$1),IF(COUNTIF($Q133:$R133,"?*")&gt;0,", ","")&amp;"parcial distinto a "&amp;VALIDACIONES!$G$1,"")</f>
        <v/>
      </c>
      <c r="AM133">
        <f>IF(AND(TRIM($K133)&lt;&gt;"",TRIM($K133)&lt;&gt;VALIDACIONES!$G$1),IF(COUNTIF($M133:$N133,"?*")&gt;0,", ","")&amp;"parcial distinto a "&amp;VALIDACIONES!$G$1,"")</f>
        <v/>
      </c>
    </row>
    <row r="134">
      <c r="S134">
        <f>IF(AND(TRIM($K134)&lt;&gt;"",TRIM($K134)&lt;&gt;VALIDACIONES!$G$1),IF(COUNTIF($Q134:$R134,"?*")&gt;0,", ","")&amp;"parcial distinto a "&amp;VALIDACIONES!$G$1,"")</f>
        <v/>
      </c>
      <c r="AM134">
        <f>IF(AND(TRIM($K134)&lt;&gt;"",TRIM($K134)&lt;&gt;VALIDACIONES!$G$1),IF(COUNTIF($M134:$N134,"?*")&gt;0,", ","")&amp;"parcial distinto a "&amp;VALIDACIONES!$G$1,"")</f>
        <v/>
      </c>
    </row>
    <row r="135">
      <c r="S135">
        <f>IF(AND(TRIM($K135)&lt;&gt;"",TRIM($K135)&lt;&gt;VALIDACIONES!$G$1),IF(COUNTIF($Q135:$R135,"?*")&gt;0,", ","")&amp;"parcial distinto a "&amp;VALIDACIONES!$G$1,"")</f>
        <v/>
      </c>
      <c r="AM135">
        <f>IF(AND(TRIM($K135)&lt;&gt;"",TRIM($K135)&lt;&gt;VALIDACIONES!$G$1),IF(COUNTIF($M135:$N135,"?*")&gt;0,", ","")&amp;"parcial distinto a "&amp;VALIDACIONES!$G$1,"")</f>
        <v/>
      </c>
    </row>
    <row r="136">
      <c r="S136">
        <f>IF(AND(TRIM($K136)&lt;&gt;"",TRIM($K136)&lt;&gt;VALIDACIONES!$G$1),IF(COUNTIF($Q136:$R136,"?*")&gt;0,", ","")&amp;"parcial distinto a "&amp;VALIDACIONES!$G$1,"")</f>
        <v/>
      </c>
      <c r="AM136">
        <f>IF(AND(TRIM($K136)&lt;&gt;"",TRIM($K136)&lt;&gt;VALIDACIONES!$G$1),IF(COUNTIF($M136:$N136,"?*")&gt;0,", ","")&amp;"parcial distinto a "&amp;VALIDACIONES!$G$1,"")</f>
        <v/>
      </c>
    </row>
    <row r="137">
      <c r="S137">
        <f>IF(AND(TRIM($K137)&lt;&gt;"",TRIM($K137)&lt;&gt;VALIDACIONES!$G$1),IF(COUNTIF($Q137:$R137,"?*")&gt;0,", ","")&amp;"parcial distinto a "&amp;VALIDACIONES!$G$1,"")</f>
        <v/>
      </c>
      <c r="AM137">
        <f>IF(AND(TRIM($K137)&lt;&gt;"",TRIM($K137)&lt;&gt;VALIDACIONES!$G$1),IF(COUNTIF($M137:$N137,"?*")&gt;0,", ","")&amp;"parcial distinto a "&amp;VALIDACIONES!$G$1,"")</f>
        <v/>
      </c>
    </row>
    <row r="138">
      <c r="S138">
        <f>IF(AND(TRIM($K138)&lt;&gt;"",TRIM($K138)&lt;&gt;VALIDACIONES!$G$1),IF(COUNTIF($Q138:$R138,"?*")&gt;0,", ","")&amp;"parcial distinto a "&amp;VALIDACIONES!$G$1,"")</f>
        <v/>
      </c>
      <c r="AM138">
        <f>IF(AND(TRIM($K138)&lt;&gt;"",TRIM($K138)&lt;&gt;VALIDACIONES!$G$1),IF(COUNTIF($M138:$N138,"?*")&gt;0,", ","")&amp;"parcial distinto a "&amp;VALIDACIONES!$G$1,"")</f>
        <v/>
      </c>
    </row>
    <row r="139">
      <c r="S139">
        <f>IF(AND(TRIM($K139)&lt;&gt;"",TRIM($K139)&lt;&gt;VALIDACIONES!$G$1),IF(COUNTIF($Q139:$R139,"?*")&gt;0,", ","")&amp;"parcial distinto a "&amp;VALIDACIONES!$G$1,"")</f>
        <v/>
      </c>
      <c r="AM139">
        <f>IF(AND(TRIM($K139)&lt;&gt;"",TRIM($K139)&lt;&gt;VALIDACIONES!$G$1),IF(COUNTIF($M139:$N139,"?*")&gt;0,", ","")&amp;"parcial distinto a "&amp;VALIDACIONES!$G$1,"")</f>
        <v/>
      </c>
    </row>
    <row r="140">
      <c r="S140">
        <f>IF(AND(TRIM($K140)&lt;&gt;"",TRIM($K140)&lt;&gt;VALIDACIONES!$G$1),IF(COUNTIF($Q140:$R140,"?*")&gt;0,", ","")&amp;"parcial distinto a "&amp;VALIDACIONES!$G$1,"")</f>
        <v/>
      </c>
      <c r="AM140">
        <f>IF(AND(TRIM($K140)&lt;&gt;"",TRIM($K140)&lt;&gt;VALIDACIONES!$G$1),IF(COUNTIF($M140:$N140,"?*")&gt;0,", ","")&amp;"parcial distinto a "&amp;VALIDACIONES!$G$1,"")</f>
        <v/>
      </c>
    </row>
  </sheetData>
  <mergeCells count="3">
    <mergeCell ref="O122:P122"/>
    <mergeCell ref="AO1:AQ1"/>
    <mergeCell ref="AO8:AQ8"/>
  </mergeCells>
  <conditionalFormatting sqref="D2:H101">
    <cfRule type="expression" priority="1" dxfId="0">
      <formula>OR($A2="Ítems agrupados por caso clínico o problema",$A2="Opción de Emparejamiento Ampliado")</formula>
    </cfRule>
  </conditionalFormatting>
  <conditionalFormatting sqref="F2:H101">
    <cfRule type="expression" priority="2" dxfId="0">
      <formula>$A2="Verdadero o Falso Simple"</formula>
    </cfRule>
  </conditionalFormatting>
  <conditionalFormatting sqref="H2:H101">
    <cfRule type="expression" priority="3" dxfId="0">
      <formula>OR($A2="Respuesta A/B/Ambas/Ninguna",$A2="Verdadero o Falso Complejas")</formula>
    </cfRule>
  </conditionalFormatting>
  <conditionalFormatting sqref="I2:J101">
    <cfRule type="expression" priority="4" dxfId="0">
      <formula>OR($A2="Ítems agrupados por caso clínico o problema",$A2="Emparejamiento Ampliado")</formula>
    </cfRule>
  </conditionalFormatting>
  <conditionalFormatting sqref="L2:L101">
    <cfRule type="expression" priority="5" dxfId="4">
      <formula>LEFT($L2,2)="OK"</formula>
    </cfRule>
    <cfRule type="expression" priority="6" dxfId="5">
      <formula>AND($L2&lt;&gt;"",LEFT($L2,2)&lt;&gt;"OK")</formula>
    </cfRule>
  </conditionalFormatting>
  <dataValidations count="801">
    <dataValidation sqref="B10" showDropDown="0" showInputMessage="0" showErrorMessage="1" allowBlank="1" errorTitle="Grupo invalido" error="El grupo solo se llena en casos/problemas, subitems, emparejamiento ampliado y opciones de emparejamiento." type="custom">
      <formula1>IF(OR(ISNUMBER(MATCH($A10,TIPOS_REQUIEREN_GRUPO,0)),OR($A10="CASO_CLINICO_TRONCO",$A10="CASO_CLINICO",$A10="ITEMS_AGRUPADOS_POR_CASO_CLINICO_O_PROBLEMA",$A10="PROBLEMA",$A10="SUBPROBLEMA",$A10="SUBITEM_CASO",$A10="SUBITEM_DE_CASO_O_PROBLEMA",$A10="EMPAREJAMIENTO_TRONCO",$A10="EMPAREJAMIENTO_AMPLIADO",$A10="EMPAREJAMIENTO_DE_CONCEPTOS",$A10="OPCION_EMPAREJAMIENTO",$A10="OPCION_DE_EMPAREJAMIENTO_AMPLIADO")),LEN(TRIM($B10))&gt;0,LEN(TRIM($B10))=0)</formula1>
    </dataValidation>
    <dataValidation sqref="B11" showDropDown="0" showInputMessage="0" showErrorMessage="1" allowBlank="1" errorTitle="Grupo invalido" error="El grupo solo se llena en casos/problemas, subitems, emparejamiento ampliado y opciones de emparejamiento." type="custom">
      <formula1>IF(OR(ISNUMBER(MATCH($A11,TIPOS_REQUIEREN_GRUPO,0)),OR($A11="CASO_CLINICO_TRONCO",$A11="CASO_CLINICO",$A11="ITEMS_AGRUPADOS_POR_CASO_CLINICO_O_PROBLEMA",$A11="PROBLEMA",$A11="SUBPROBLEMA",$A11="SUBITEM_CASO",$A11="SUBITEM_DE_CASO_O_PROBLEMA",$A11="EMPAREJAMIENTO_TRONCO",$A11="EMPAREJAMIENTO_AMPLIADO",$A11="EMPAREJAMIENTO_DE_CONCEPTOS",$A11="OPCION_EMPAREJAMIENTO",$A11="OPCION_DE_EMPAREJAMIENTO_AMPLIADO")),LEN(TRIM($B11))&gt;0,LEN(TRIM($B11))=0)</formula1>
    </dataValidation>
    <dataValidation sqref="B12" showDropDown="0" showInputMessage="0" showErrorMessage="1" allowBlank="1" errorTitle="Grupo invalido" error="El grupo solo se llena en casos/problemas, subitems, emparejamiento ampliado y opciones de emparejamiento." type="custom">
      <formula1>IF(OR(ISNUMBER(MATCH($A12,TIPOS_REQUIEREN_GRUPO,0)),OR($A12="CASO_CLINICO_TRONCO",$A12="CASO_CLINICO",$A12="ITEMS_AGRUPADOS_POR_CASO_CLINICO_O_PROBLEMA",$A12="PROBLEMA",$A12="SUBPROBLEMA",$A12="SUBITEM_CASO",$A12="SUBITEM_DE_CASO_O_PROBLEMA",$A12="EMPAREJAMIENTO_TRONCO",$A12="EMPAREJAMIENTO_AMPLIADO",$A12="EMPAREJAMIENTO_DE_CONCEPTOS",$A12="OPCION_EMPAREJAMIENTO",$A12="OPCION_DE_EMPAREJAMIENTO_AMPLIADO")),LEN(TRIM($B12))&gt;0,LEN(TRIM($B12))=0)</formula1>
    </dataValidation>
    <dataValidation sqref="B13" showDropDown="0" showInputMessage="0" showErrorMessage="1" allowBlank="1" errorTitle="Grupo invalido" error="El grupo solo se llena en casos/problemas, subitems, emparejamiento ampliado y opciones de emparejamiento." type="custom">
      <formula1>IF(OR(ISNUMBER(MATCH($A13,TIPOS_REQUIEREN_GRUPO,0)),OR($A13="CASO_CLINICO_TRONCO",$A13="CASO_CLINICO",$A13="ITEMS_AGRUPADOS_POR_CASO_CLINICO_O_PROBLEMA",$A13="PROBLEMA",$A13="SUBPROBLEMA",$A13="SUBITEM_CASO",$A13="SUBITEM_DE_CASO_O_PROBLEMA",$A13="EMPAREJAMIENTO_TRONCO",$A13="EMPAREJAMIENTO_AMPLIADO",$A13="EMPAREJAMIENTO_DE_CONCEPTOS",$A13="OPCION_EMPAREJAMIENTO",$A13="OPCION_DE_EMPAREJAMIENTO_AMPLIADO")),LEN(TRIM($B13))&gt;0,LEN(TRIM($B13))=0)</formula1>
    </dataValidation>
    <dataValidation sqref="B14" showDropDown="0" showInputMessage="0" showErrorMessage="1" allowBlank="1" errorTitle="Grupo invalido" error="El grupo solo se llena en casos/problemas, subitems, emparejamiento ampliado y opciones de emparejamiento." type="custom">
      <formula1>IF(OR(ISNUMBER(MATCH($A14,TIPOS_REQUIEREN_GRUPO,0)),OR($A14="CASO_CLINICO_TRONCO",$A14="CASO_CLINICO",$A14="ITEMS_AGRUPADOS_POR_CASO_CLINICO_O_PROBLEMA",$A14="PROBLEMA",$A14="SUBPROBLEMA",$A14="SUBITEM_CASO",$A14="SUBITEM_DE_CASO_O_PROBLEMA",$A14="EMPAREJAMIENTO_TRONCO",$A14="EMPAREJAMIENTO_AMPLIADO",$A14="EMPAREJAMIENTO_DE_CONCEPTOS",$A14="OPCION_EMPAREJAMIENTO",$A14="OPCION_DE_EMPAREJAMIENTO_AMPLIADO")),LEN(TRIM($B14))&gt;0,LEN(TRIM($B14))=0)</formula1>
    </dataValidation>
    <dataValidation sqref="B15" showDropDown="0" showInputMessage="0" showErrorMessage="1" allowBlank="1" errorTitle="Grupo invalido" error="El grupo solo se llena en casos/problemas, subitems, emparejamiento ampliado y opciones de emparejamiento." type="custom">
      <formula1>IF(OR(ISNUMBER(MATCH($A15,TIPOS_REQUIEREN_GRUPO,0)),OR($A15="CASO_CLINICO_TRONCO",$A15="CASO_CLINICO",$A15="ITEMS_AGRUPADOS_POR_CASO_CLINICO_O_PROBLEMA",$A15="PROBLEMA",$A15="SUBPROBLEMA",$A15="SUBITEM_CASO",$A15="SUBITEM_DE_CASO_O_PROBLEMA",$A15="EMPAREJAMIENTO_TRONCO",$A15="EMPAREJAMIENTO_AMPLIADO",$A15="EMPAREJAMIENTO_DE_CONCEPTOS",$A15="OPCION_EMPAREJAMIENTO",$A15="OPCION_DE_EMPAREJAMIENTO_AMPLIADO")),LEN(TRIM($B15))&gt;0,LEN(TRIM($B15))=0)</formula1>
    </dataValidation>
    <dataValidation sqref="B16" showDropDown="0" showInputMessage="0" showErrorMessage="1" allowBlank="1" errorTitle="Grupo invalido" error="El grupo solo se llena en casos/problemas, subitems, emparejamiento ampliado y opciones de emparejamiento." type="custom">
      <formula1>IF(OR(ISNUMBER(MATCH($A16,TIPOS_REQUIEREN_GRUPO,0)),OR($A16="CASO_CLINICO_TRONCO",$A16="CASO_CLINICO",$A16="ITEMS_AGRUPADOS_POR_CASO_CLINICO_O_PROBLEMA",$A16="PROBLEMA",$A16="SUBPROBLEMA",$A16="SUBITEM_CASO",$A16="SUBITEM_DE_CASO_O_PROBLEMA",$A16="EMPAREJAMIENTO_TRONCO",$A16="EMPAREJAMIENTO_AMPLIADO",$A16="EMPAREJAMIENTO_DE_CONCEPTOS",$A16="OPCION_EMPAREJAMIENTO",$A16="OPCION_DE_EMPAREJAMIENTO_AMPLIADO")),LEN(TRIM($B16))&gt;0,LEN(TRIM($B16))=0)</formula1>
    </dataValidation>
    <dataValidation sqref="B17" showDropDown="0" showInputMessage="0" showErrorMessage="1" allowBlank="1" errorTitle="Grupo invalido" error="El grupo solo se llena en casos/problemas, subitems, emparejamiento ampliado y opciones de emparejamiento." type="custom">
      <formula1>IF(OR(ISNUMBER(MATCH($A17,TIPOS_REQUIEREN_GRUPO,0)),OR($A17="CASO_CLINICO_TRONCO",$A17="CASO_CLINICO",$A17="ITEMS_AGRUPADOS_POR_CASO_CLINICO_O_PROBLEMA",$A17="PROBLEMA",$A17="SUBPROBLEMA",$A17="SUBITEM_CASO",$A17="SUBITEM_DE_CASO_O_PROBLEMA",$A17="EMPAREJAMIENTO_TRONCO",$A17="EMPAREJAMIENTO_AMPLIADO",$A17="EMPAREJAMIENTO_DE_CONCEPTOS",$A17="OPCION_EMPAREJAMIENTO",$A17="OPCION_DE_EMPAREJAMIENTO_AMPLIADO")),LEN(TRIM($B17))&gt;0,LEN(TRIM($B17))=0)</formula1>
    </dataValidation>
    <dataValidation sqref="B18" showDropDown="0" showInputMessage="0" showErrorMessage="1" allowBlank="1" errorTitle="Grupo invalido" error="El grupo solo se llena en casos/problemas, subitems, emparejamiento ampliado y opciones de emparejamiento." type="custom">
      <formula1>IF(OR(ISNUMBER(MATCH($A18,TIPOS_REQUIEREN_GRUPO,0)),OR($A18="CASO_CLINICO_TRONCO",$A18="CASO_CLINICO",$A18="ITEMS_AGRUPADOS_POR_CASO_CLINICO_O_PROBLEMA",$A18="PROBLEMA",$A18="SUBPROBLEMA",$A18="SUBITEM_CASO",$A18="SUBITEM_DE_CASO_O_PROBLEMA",$A18="EMPAREJAMIENTO_TRONCO",$A18="EMPAREJAMIENTO_AMPLIADO",$A18="EMPAREJAMIENTO_DE_CONCEPTOS",$A18="OPCION_EMPAREJAMIENTO",$A18="OPCION_DE_EMPAREJAMIENTO_AMPLIADO")),LEN(TRIM($B18))&gt;0,LEN(TRIM($B18))=0)</formula1>
    </dataValidation>
    <dataValidation sqref="B19" showDropDown="0" showInputMessage="0" showErrorMessage="1" allowBlank="1" errorTitle="Grupo invalido" error="El grupo solo se llena en casos/problemas, subitems, emparejamiento ampliado y opciones de emparejamiento." type="custom">
      <formula1>IF(OR(ISNUMBER(MATCH($A19,TIPOS_REQUIEREN_GRUPO,0)),OR($A19="CASO_CLINICO_TRONCO",$A19="CASO_CLINICO",$A19="ITEMS_AGRUPADOS_POR_CASO_CLINICO_O_PROBLEMA",$A19="PROBLEMA",$A19="SUBPROBLEMA",$A19="SUBITEM_CASO",$A19="SUBITEM_DE_CASO_O_PROBLEMA",$A19="EMPAREJAMIENTO_TRONCO",$A19="EMPAREJAMIENTO_AMPLIADO",$A19="EMPAREJAMIENTO_DE_CONCEPTOS",$A19="OPCION_EMPAREJAMIENTO",$A19="OPCION_DE_EMPAREJAMIENTO_AMPLIADO")),LEN(TRIM($B19))&gt;0,LEN(TRIM($B19))=0)</formula1>
    </dataValidation>
    <dataValidation sqref="B2" showDropDown="0" showInputMessage="0" showErrorMessage="1" allowBlank="1" errorTitle="Grupo invalido" error="El grupo solo se llena en casos/problemas, subitems, emparejamiento ampliado y opciones de emparejamiento." type="custom">
      <formula1>IF(OR(ISNUMBER(MATCH($A2,TIPOS_REQUIEREN_GRUPO,0)),OR($A2="CASO_CLINICO_TRONCO",$A2="CASO_CLINICO",$A2="ITEMS_AGRUPADOS_POR_CASO_CLINICO_O_PROBLEMA",$A2="PROBLEMA",$A2="SUBPROBLEMA",$A2="SUBITEM_CASO",$A2="SUBITEM_DE_CASO_O_PROBLEMA",$A2="EMPAREJAMIENTO_TRONCO",$A2="EMPAREJAMIENTO_AMPLIADO",$A2="EMPAREJAMIENTO_DE_CONCEPTOS",$A2="OPCION_EMPAREJAMIENTO",$A2="OPCION_DE_EMPAREJAMIENTO_AMPLIADO")),LEN(TRIM($B2))&gt;0,LEN(TRIM($B2))=0)</formula1>
    </dataValidation>
    <dataValidation sqref="B20" showDropDown="0" showInputMessage="0" showErrorMessage="1" allowBlank="1" errorTitle="Grupo invalido" error="El grupo solo se llena en casos/problemas, subitems, emparejamiento ampliado y opciones de emparejamiento." type="custom">
      <formula1>IF(OR(ISNUMBER(MATCH($A20,TIPOS_REQUIEREN_GRUPO,0)),OR($A20="CASO_CLINICO_TRONCO",$A20="CASO_CLINICO",$A20="ITEMS_AGRUPADOS_POR_CASO_CLINICO_O_PROBLEMA",$A20="PROBLEMA",$A20="SUBPROBLEMA",$A20="SUBITEM_CASO",$A20="SUBITEM_DE_CASO_O_PROBLEMA",$A20="EMPAREJAMIENTO_TRONCO",$A20="EMPAREJAMIENTO_AMPLIADO",$A20="EMPAREJAMIENTO_DE_CONCEPTOS",$A20="OPCION_EMPAREJAMIENTO",$A20="OPCION_DE_EMPAREJAMIENTO_AMPLIADO")),LEN(TRIM($B20))&gt;0,LEN(TRIM($B20))=0)</formula1>
    </dataValidation>
    <dataValidation sqref="B21" showDropDown="0" showInputMessage="0" showErrorMessage="1" allowBlank="1" errorTitle="Grupo invalido" error="El grupo solo se llena en casos/problemas, subitems, emparejamiento ampliado y opciones de emparejamiento." type="custom">
      <formula1>IF(OR(ISNUMBER(MATCH($A21,TIPOS_REQUIEREN_GRUPO,0)),OR($A21="CASO_CLINICO_TRONCO",$A21="CASO_CLINICO",$A21="ITEMS_AGRUPADOS_POR_CASO_CLINICO_O_PROBLEMA",$A21="PROBLEMA",$A21="SUBPROBLEMA",$A21="SUBITEM_CASO",$A21="SUBITEM_DE_CASO_O_PROBLEMA",$A21="EMPAREJAMIENTO_TRONCO",$A21="EMPAREJAMIENTO_AMPLIADO",$A21="EMPAREJAMIENTO_DE_CONCEPTOS",$A21="OPCION_EMPAREJAMIENTO",$A21="OPCION_DE_EMPAREJAMIENTO_AMPLIADO")),LEN(TRIM($B21))&gt;0,LEN(TRIM($B21))=0)</formula1>
    </dataValidation>
    <dataValidation sqref="B22" showDropDown="0" showInputMessage="0" showErrorMessage="1" allowBlank="1" errorTitle="Grupo invalido" error="El grupo solo se llena en casos/problemas, subitems, emparejamiento ampliado y opciones de emparejamiento." type="custom">
      <formula1>IF(OR(ISNUMBER(MATCH($A22,TIPOS_REQUIEREN_GRUPO,0)),OR($A22="CASO_CLINICO_TRONCO",$A22="CASO_CLINICO",$A22="ITEMS_AGRUPADOS_POR_CASO_CLINICO_O_PROBLEMA",$A22="PROBLEMA",$A22="SUBPROBLEMA",$A22="SUBITEM_CASO",$A22="SUBITEM_DE_CASO_O_PROBLEMA",$A22="EMPAREJAMIENTO_TRONCO",$A22="EMPAREJAMIENTO_AMPLIADO",$A22="EMPAREJAMIENTO_DE_CONCEPTOS",$A22="OPCION_EMPAREJAMIENTO",$A22="OPCION_DE_EMPAREJAMIENTO_AMPLIADO")),LEN(TRIM($B22))&gt;0,LEN(TRIM($B22))=0)</formula1>
    </dataValidation>
    <dataValidation sqref="B23" showDropDown="0" showInputMessage="0" showErrorMessage="1" allowBlank="1" errorTitle="Grupo invalido" error="El grupo solo se llena en casos/problemas, subitems, emparejamiento ampliado y opciones de emparejamiento." type="custom">
      <formula1>IF(OR(ISNUMBER(MATCH($A23,TIPOS_REQUIEREN_GRUPO,0)),OR($A23="CASO_CLINICO_TRONCO",$A23="CASO_CLINICO",$A23="ITEMS_AGRUPADOS_POR_CASO_CLINICO_O_PROBLEMA",$A23="PROBLEMA",$A23="SUBPROBLEMA",$A23="SUBITEM_CASO",$A23="SUBITEM_DE_CASO_O_PROBLEMA",$A23="EMPAREJAMIENTO_TRONCO",$A23="EMPAREJAMIENTO_AMPLIADO",$A23="EMPAREJAMIENTO_DE_CONCEPTOS",$A23="OPCION_EMPAREJAMIENTO",$A23="OPCION_DE_EMPAREJAMIENTO_AMPLIADO")),LEN(TRIM($B23))&gt;0,LEN(TRIM($B23))=0)</formula1>
    </dataValidation>
    <dataValidation sqref="B24" showDropDown="0" showInputMessage="0" showErrorMessage="1" allowBlank="1" errorTitle="Grupo invalido" error="El grupo solo se llena en casos/problemas, subitems, emparejamiento ampliado y opciones de emparejamiento." type="custom">
      <formula1>IF(OR(ISNUMBER(MATCH($A24,TIPOS_REQUIEREN_GRUPO,0)),OR($A24="CASO_CLINICO_TRONCO",$A24="CASO_CLINICO",$A24="ITEMS_AGRUPADOS_POR_CASO_CLINICO_O_PROBLEMA",$A24="PROBLEMA",$A24="SUBPROBLEMA",$A24="SUBITEM_CASO",$A24="SUBITEM_DE_CASO_O_PROBLEMA",$A24="EMPAREJAMIENTO_TRONCO",$A24="EMPAREJAMIENTO_AMPLIADO",$A24="EMPAREJAMIENTO_DE_CONCEPTOS",$A24="OPCION_EMPAREJAMIENTO",$A24="OPCION_DE_EMPAREJAMIENTO_AMPLIADO")),LEN(TRIM($B24))&gt;0,LEN(TRIM($B24))=0)</formula1>
    </dataValidation>
    <dataValidation sqref="B25" showDropDown="0" showInputMessage="0" showErrorMessage="1" allowBlank="1" errorTitle="Grupo invalido" error="El grupo solo se llena en casos/problemas, subitems, emparejamiento ampliado y opciones de emparejamiento." type="custom">
      <formula1>IF(OR(ISNUMBER(MATCH($A25,TIPOS_REQUIEREN_GRUPO,0)),OR($A25="CASO_CLINICO_TRONCO",$A25="CASO_CLINICO",$A25="ITEMS_AGRUPADOS_POR_CASO_CLINICO_O_PROBLEMA",$A25="PROBLEMA",$A25="SUBPROBLEMA",$A25="SUBITEM_CASO",$A25="SUBITEM_DE_CASO_O_PROBLEMA",$A25="EMPAREJAMIENTO_TRONCO",$A25="EMPAREJAMIENTO_AMPLIADO",$A25="EMPAREJAMIENTO_DE_CONCEPTOS",$A25="OPCION_EMPAREJAMIENTO",$A25="OPCION_DE_EMPAREJAMIENTO_AMPLIADO")),LEN(TRIM($B25))&gt;0,LEN(TRIM($B25))=0)</formula1>
    </dataValidation>
    <dataValidation sqref="B26" showDropDown="0" showInputMessage="0" showErrorMessage="1" allowBlank="1" errorTitle="Grupo invalido" error="El grupo solo se llena en casos/problemas, subitems, emparejamiento ampliado y opciones de emparejamiento." type="custom">
      <formula1>IF(OR(ISNUMBER(MATCH($A26,TIPOS_REQUIEREN_GRUPO,0)),OR($A26="CASO_CLINICO_TRONCO",$A26="CASO_CLINICO",$A26="ITEMS_AGRUPADOS_POR_CASO_CLINICO_O_PROBLEMA",$A26="PROBLEMA",$A26="SUBPROBLEMA",$A26="SUBITEM_CASO",$A26="SUBITEM_DE_CASO_O_PROBLEMA",$A26="EMPAREJAMIENTO_TRONCO",$A26="EMPAREJAMIENTO_AMPLIADO",$A26="EMPAREJAMIENTO_DE_CONCEPTOS",$A26="OPCION_EMPAREJAMIENTO",$A26="OPCION_DE_EMPAREJAMIENTO_AMPLIADO")),LEN(TRIM($B26))&gt;0,LEN(TRIM($B26))=0)</formula1>
    </dataValidation>
    <dataValidation sqref="B27" showDropDown="0" showInputMessage="0" showErrorMessage="1" allowBlank="1" errorTitle="Grupo invalido" error="El grupo solo se llena en casos/problemas, subitems, emparejamiento ampliado y opciones de emparejamiento." type="custom">
      <formula1>IF(OR(ISNUMBER(MATCH($A27,TIPOS_REQUIEREN_GRUPO,0)),OR($A27="CASO_CLINICO_TRONCO",$A27="CASO_CLINICO",$A27="ITEMS_AGRUPADOS_POR_CASO_CLINICO_O_PROBLEMA",$A27="PROBLEMA",$A27="SUBPROBLEMA",$A27="SUBITEM_CASO",$A27="SUBITEM_DE_CASO_O_PROBLEMA",$A27="EMPAREJAMIENTO_TRONCO",$A27="EMPAREJAMIENTO_AMPLIADO",$A27="EMPAREJAMIENTO_DE_CONCEPTOS",$A27="OPCION_EMPAREJAMIENTO",$A27="OPCION_DE_EMPAREJAMIENTO_AMPLIADO")),LEN(TRIM($B27))&gt;0,LEN(TRIM($B27))=0)</formula1>
    </dataValidation>
    <dataValidation sqref="B28" showDropDown="0" showInputMessage="0" showErrorMessage="1" allowBlank="1" errorTitle="Grupo invalido" error="El grupo solo se llena en casos/problemas, subitems, emparejamiento ampliado y opciones de emparejamiento." type="custom">
      <formula1>IF(OR(ISNUMBER(MATCH($A28,TIPOS_REQUIEREN_GRUPO,0)),OR($A28="CASO_CLINICO_TRONCO",$A28="CASO_CLINICO",$A28="ITEMS_AGRUPADOS_POR_CASO_CLINICO_O_PROBLEMA",$A28="PROBLEMA",$A28="SUBPROBLEMA",$A28="SUBITEM_CASO",$A28="SUBITEM_DE_CASO_O_PROBLEMA",$A28="EMPAREJAMIENTO_TRONCO",$A28="EMPAREJAMIENTO_AMPLIADO",$A28="EMPAREJAMIENTO_DE_CONCEPTOS",$A28="OPCION_EMPAREJAMIENTO",$A28="OPCION_DE_EMPAREJAMIENTO_AMPLIADO")),LEN(TRIM($B28))&gt;0,LEN(TRIM($B28))=0)</formula1>
    </dataValidation>
    <dataValidation sqref="B29" showDropDown="0" showInputMessage="0" showErrorMessage="1" allowBlank="1" errorTitle="Grupo invalido" error="El grupo solo se llena en casos/problemas, subitems, emparejamiento ampliado y opciones de emparejamiento." type="custom">
      <formula1>IF(OR(ISNUMBER(MATCH($A29,TIPOS_REQUIEREN_GRUPO,0)),OR($A29="CASO_CLINICO_TRONCO",$A29="CASO_CLINICO",$A29="ITEMS_AGRUPADOS_POR_CASO_CLINICO_O_PROBLEMA",$A29="PROBLEMA",$A29="SUBPROBLEMA",$A29="SUBITEM_CASO",$A29="SUBITEM_DE_CASO_O_PROBLEMA",$A29="EMPAREJAMIENTO_TRONCO",$A29="EMPAREJAMIENTO_AMPLIADO",$A29="EMPAREJAMIENTO_DE_CONCEPTOS",$A29="OPCION_EMPAREJAMIENTO",$A29="OPCION_DE_EMPAREJAMIENTO_AMPLIADO")),LEN(TRIM($B29))&gt;0,LEN(TRIM($B29))=0)</formula1>
    </dataValidation>
    <dataValidation sqref="B3" showDropDown="0" showInputMessage="0" showErrorMessage="1" allowBlank="1" errorTitle="Grupo invalido" error="El grupo solo se llena en casos/problemas, subitems, emparejamiento ampliado y opciones de emparejamiento." type="custom">
      <formula1>IF(OR(ISNUMBER(MATCH($A3,TIPOS_REQUIEREN_GRUPO,0)),OR($A3="CASO_CLINICO_TRONCO",$A3="CASO_CLINICO",$A3="ITEMS_AGRUPADOS_POR_CASO_CLINICO_O_PROBLEMA",$A3="PROBLEMA",$A3="SUBPROBLEMA",$A3="SUBITEM_CASO",$A3="SUBITEM_DE_CASO_O_PROBLEMA",$A3="EMPAREJAMIENTO_TRONCO",$A3="EMPAREJAMIENTO_AMPLIADO",$A3="EMPAREJAMIENTO_DE_CONCEPTOS",$A3="OPCION_EMPAREJAMIENTO",$A3="OPCION_DE_EMPAREJAMIENTO_AMPLIADO")),LEN(TRIM($B3))&gt;0,LEN(TRIM($B3))=0)</formula1>
    </dataValidation>
    <dataValidation sqref="B30" showDropDown="0" showInputMessage="0" showErrorMessage="1" allowBlank="1" errorTitle="Grupo invalido" error="El grupo solo se llena en casos/problemas, subitems, emparejamiento ampliado y opciones de emparejamiento." type="custom">
      <formula1>IF(OR(ISNUMBER(MATCH($A30,TIPOS_REQUIEREN_GRUPO,0)),OR($A30="CASO_CLINICO_TRONCO",$A30="CASO_CLINICO",$A30="ITEMS_AGRUPADOS_POR_CASO_CLINICO_O_PROBLEMA",$A30="PROBLEMA",$A30="SUBPROBLEMA",$A30="SUBITEM_CASO",$A30="SUBITEM_DE_CASO_O_PROBLEMA",$A30="EMPAREJAMIENTO_TRONCO",$A30="EMPAREJAMIENTO_AMPLIADO",$A30="EMPAREJAMIENTO_DE_CONCEPTOS",$A30="OPCION_EMPAREJAMIENTO",$A30="OPCION_DE_EMPAREJAMIENTO_AMPLIADO")),LEN(TRIM($B30))&gt;0,LEN(TRIM($B30))=0)</formula1>
    </dataValidation>
    <dataValidation sqref="B31" showDropDown="0" showInputMessage="0" showErrorMessage="1" allowBlank="1" errorTitle="Grupo invalido" error="El grupo solo se llena en casos/problemas, subitems, emparejamiento ampliado y opciones de emparejamiento." type="custom">
      <formula1>IF(OR(ISNUMBER(MATCH($A31,TIPOS_REQUIEREN_GRUPO,0)),OR($A31="CASO_CLINICO_TRONCO",$A31="CASO_CLINICO",$A31="ITEMS_AGRUPADOS_POR_CASO_CLINICO_O_PROBLEMA",$A31="PROBLEMA",$A31="SUBPROBLEMA",$A31="SUBITEM_CASO",$A31="SUBITEM_DE_CASO_O_PROBLEMA",$A31="EMPAREJAMIENTO_TRONCO",$A31="EMPAREJAMIENTO_AMPLIADO",$A31="EMPAREJAMIENTO_DE_CONCEPTOS",$A31="OPCION_EMPAREJAMIENTO",$A31="OPCION_DE_EMPAREJAMIENTO_AMPLIADO")),LEN(TRIM($B31))&gt;0,LEN(TRIM($B31))=0)</formula1>
    </dataValidation>
    <dataValidation sqref="B32" showDropDown="0" showInputMessage="0" showErrorMessage="1" allowBlank="1" errorTitle="Grupo invalido" error="El grupo solo se llena en casos/problemas, subitems, emparejamiento ampliado y opciones de emparejamiento." type="custom">
      <formula1>IF(OR(ISNUMBER(MATCH($A32,TIPOS_REQUIEREN_GRUPO,0)),OR($A32="CASO_CLINICO_TRONCO",$A32="CASO_CLINICO",$A32="ITEMS_AGRUPADOS_POR_CASO_CLINICO_O_PROBLEMA",$A32="PROBLEMA",$A32="SUBPROBLEMA",$A32="SUBITEM_CASO",$A32="SUBITEM_DE_CASO_O_PROBLEMA",$A32="EMPAREJAMIENTO_TRONCO",$A32="EMPAREJAMIENTO_AMPLIADO",$A32="EMPAREJAMIENTO_DE_CONCEPTOS",$A32="OPCION_EMPAREJAMIENTO",$A32="OPCION_DE_EMPAREJAMIENTO_AMPLIADO")),LEN(TRIM($B32))&gt;0,LEN(TRIM($B32))=0)</formula1>
    </dataValidation>
    <dataValidation sqref="B33" showDropDown="0" showInputMessage="0" showErrorMessage="1" allowBlank="1" errorTitle="Grupo invalido" error="El grupo solo se llena en casos/problemas, subitems, emparejamiento ampliado y opciones de emparejamiento." type="custom">
      <formula1>IF(OR(ISNUMBER(MATCH($A33,TIPOS_REQUIEREN_GRUPO,0)),OR($A33="CASO_CLINICO_TRONCO",$A33="CASO_CLINICO",$A33="ITEMS_AGRUPADOS_POR_CASO_CLINICO_O_PROBLEMA",$A33="PROBLEMA",$A33="SUBPROBLEMA",$A33="SUBITEM_CASO",$A33="SUBITEM_DE_CASO_O_PROBLEMA",$A33="EMPAREJAMIENTO_TRONCO",$A33="EMPAREJAMIENTO_AMPLIADO",$A33="EMPAREJAMIENTO_DE_CONCEPTOS",$A33="OPCION_EMPAREJAMIENTO",$A33="OPCION_DE_EMPAREJAMIENTO_AMPLIADO")),LEN(TRIM($B33))&gt;0,LEN(TRIM($B33))=0)</formula1>
    </dataValidation>
    <dataValidation sqref="B34" showDropDown="0" showInputMessage="0" showErrorMessage="1" allowBlank="1" errorTitle="Grupo invalido" error="El grupo solo se llena en casos/problemas, subitems, emparejamiento ampliado y opciones de emparejamiento." type="custom">
      <formula1>IF(OR(ISNUMBER(MATCH($A34,TIPOS_REQUIEREN_GRUPO,0)),OR($A34="CASO_CLINICO_TRONCO",$A34="CASO_CLINICO",$A34="ITEMS_AGRUPADOS_POR_CASO_CLINICO_O_PROBLEMA",$A34="PROBLEMA",$A34="SUBPROBLEMA",$A34="SUBITEM_CASO",$A34="SUBITEM_DE_CASO_O_PROBLEMA",$A34="EMPAREJAMIENTO_TRONCO",$A34="EMPAREJAMIENTO_AMPLIADO",$A34="EMPAREJAMIENTO_DE_CONCEPTOS",$A34="OPCION_EMPAREJAMIENTO",$A34="OPCION_DE_EMPAREJAMIENTO_AMPLIADO")),LEN(TRIM($B34))&gt;0,LEN(TRIM($B34))=0)</formula1>
    </dataValidation>
    <dataValidation sqref="B35" showDropDown="0" showInputMessage="0" showErrorMessage="1" allowBlank="1" errorTitle="Grupo invalido" error="El grupo solo se llena en casos/problemas, subitems, emparejamiento ampliado y opciones de emparejamiento." type="custom">
      <formula1>IF(OR(ISNUMBER(MATCH($A35,TIPOS_REQUIEREN_GRUPO,0)),OR($A35="CASO_CLINICO_TRONCO",$A35="CASO_CLINICO",$A35="ITEMS_AGRUPADOS_POR_CASO_CLINICO_O_PROBLEMA",$A35="PROBLEMA",$A35="SUBPROBLEMA",$A35="SUBITEM_CASO",$A35="SUBITEM_DE_CASO_O_PROBLEMA",$A35="EMPAREJAMIENTO_TRONCO",$A35="EMPAREJAMIENTO_AMPLIADO",$A35="EMPAREJAMIENTO_DE_CONCEPTOS",$A35="OPCION_EMPAREJAMIENTO",$A35="OPCION_DE_EMPAREJAMIENTO_AMPLIADO")),LEN(TRIM($B35))&gt;0,LEN(TRIM($B35))=0)</formula1>
    </dataValidation>
    <dataValidation sqref="B36" showDropDown="0" showInputMessage="0" showErrorMessage="1" allowBlank="1" errorTitle="Grupo invalido" error="El grupo solo se llena en casos/problemas, subitems, emparejamiento ampliado y opciones de emparejamiento." type="custom">
      <formula1>IF(OR(ISNUMBER(MATCH($A36,TIPOS_REQUIEREN_GRUPO,0)),OR($A36="CASO_CLINICO_TRONCO",$A36="CASO_CLINICO",$A36="ITEMS_AGRUPADOS_POR_CASO_CLINICO_O_PROBLEMA",$A36="PROBLEMA",$A36="SUBPROBLEMA",$A36="SUBITEM_CASO",$A36="SUBITEM_DE_CASO_O_PROBLEMA",$A36="EMPAREJAMIENTO_TRONCO",$A36="EMPAREJAMIENTO_AMPLIADO",$A36="EMPAREJAMIENTO_DE_CONCEPTOS",$A36="OPCION_EMPAREJAMIENTO",$A36="OPCION_DE_EMPAREJAMIENTO_AMPLIADO")),LEN(TRIM($B36))&gt;0,LEN(TRIM($B36))=0)</formula1>
    </dataValidation>
    <dataValidation sqref="B37" showDropDown="0" showInputMessage="0" showErrorMessage="1" allowBlank="1" errorTitle="Grupo invalido" error="El grupo solo se llena en casos/problemas, subitems, emparejamiento ampliado y opciones de emparejamiento." type="custom">
      <formula1>IF(OR(ISNUMBER(MATCH($A37,TIPOS_REQUIEREN_GRUPO,0)),OR($A37="CASO_CLINICO_TRONCO",$A37="CASO_CLINICO",$A37="ITEMS_AGRUPADOS_POR_CASO_CLINICO_O_PROBLEMA",$A37="PROBLEMA",$A37="SUBPROBLEMA",$A37="SUBITEM_CASO",$A37="SUBITEM_DE_CASO_O_PROBLEMA",$A37="EMPAREJAMIENTO_TRONCO",$A37="EMPAREJAMIENTO_AMPLIADO",$A37="EMPAREJAMIENTO_DE_CONCEPTOS",$A37="OPCION_EMPAREJAMIENTO",$A37="OPCION_DE_EMPAREJAMIENTO_AMPLIADO")),LEN(TRIM($B37))&gt;0,LEN(TRIM($B37))=0)</formula1>
    </dataValidation>
    <dataValidation sqref="B38" showDropDown="0" showInputMessage="0" showErrorMessage="1" allowBlank="1" errorTitle="Grupo invalido" error="El grupo solo se llena en casos/problemas, subitems, emparejamiento ampliado y opciones de emparejamiento." type="custom">
      <formula1>IF(OR(ISNUMBER(MATCH($A38,TIPOS_REQUIEREN_GRUPO,0)),OR($A38="CASO_CLINICO_TRONCO",$A38="CASO_CLINICO",$A38="ITEMS_AGRUPADOS_POR_CASO_CLINICO_O_PROBLEMA",$A38="PROBLEMA",$A38="SUBPROBLEMA",$A38="SUBITEM_CASO",$A38="SUBITEM_DE_CASO_O_PROBLEMA",$A38="EMPAREJAMIENTO_TRONCO",$A38="EMPAREJAMIENTO_AMPLIADO",$A38="EMPAREJAMIENTO_DE_CONCEPTOS",$A38="OPCION_EMPAREJAMIENTO",$A38="OPCION_DE_EMPAREJAMIENTO_AMPLIADO")),LEN(TRIM($B38))&gt;0,LEN(TRIM($B38))=0)</formula1>
    </dataValidation>
    <dataValidation sqref="B39" showDropDown="0" showInputMessage="0" showErrorMessage="1" allowBlank="1" errorTitle="Grupo invalido" error="El grupo solo se llena en casos/problemas, subitems, emparejamiento ampliado y opciones de emparejamiento." type="custom">
      <formula1>IF(OR(ISNUMBER(MATCH($A39,TIPOS_REQUIEREN_GRUPO,0)),OR($A39="CASO_CLINICO_TRONCO",$A39="CASO_CLINICO",$A39="ITEMS_AGRUPADOS_POR_CASO_CLINICO_O_PROBLEMA",$A39="PROBLEMA",$A39="SUBPROBLEMA",$A39="SUBITEM_CASO",$A39="SUBITEM_DE_CASO_O_PROBLEMA",$A39="EMPAREJAMIENTO_TRONCO",$A39="EMPAREJAMIENTO_AMPLIADO",$A39="EMPAREJAMIENTO_DE_CONCEPTOS",$A39="OPCION_EMPAREJAMIENTO",$A39="OPCION_DE_EMPAREJAMIENTO_AMPLIADO")),LEN(TRIM($B39))&gt;0,LEN(TRIM($B39))=0)</formula1>
    </dataValidation>
    <dataValidation sqref="B4" showDropDown="0" showInputMessage="0" showErrorMessage="1" allowBlank="1" errorTitle="Grupo invalido" error="El grupo solo se llena en casos/problemas, subitems, emparejamiento ampliado y opciones de emparejamiento." type="custom">
      <formula1>IF(OR(ISNUMBER(MATCH($A4,TIPOS_REQUIEREN_GRUPO,0)),OR($A4="CASO_CLINICO_TRONCO",$A4="CASO_CLINICO",$A4="ITEMS_AGRUPADOS_POR_CASO_CLINICO_O_PROBLEMA",$A4="PROBLEMA",$A4="SUBPROBLEMA",$A4="SUBITEM_CASO",$A4="SUBITEM_DE_CASO_O_PROBLEMA",$A4="EMPAREJAMIENTO_TRONCO",$A4="EMPAREJAMIENTO_AMPLIADO",$A4="EMPAREJAMIENTO_DE_CONCEPTOS",$A4="OPCION_EMPAREJAMIENTO",$A4="OPCION_DE_EMPAREJAMIENTO_AMPLIADO")),LEN(TRIM($B4))&gt;0,LEN(TRIM($B4))=0)</formula1>
    </dataValidation>
    <dataValidation sqref="B40" showDropDown="0" showInputMessage="0" showErrorMessage="1" allowBlank="1" errorTitle="Grupo invalido" error="El grupo solo se llena en casos/problemas, subitems, emparejamiento ampliado y opciones de emparejamiento." type="custom">
      <formula1>IF(OR(ISNUMBER(MATCH($A40,TIPOS_REQUIEREN_GRUPO,0)),OR($A40="CASO_CLINICO_TRONCO",$A40="CASO_CLINICO",$A40="ITEMS_AGRUPADOS_POR_CASO_CLINICO_O_PROBLEMA",$A40="PROBLEMA",$A40="SUBPROBLEMA",$A40="SUBITEM_CASO",$A40="SUBITEM_DE_CASO_O_PROBLEMA",$A40="EMPAREJAMIENTO_TRONCO",$A40="EMPAREJAMIENTO_AMPLIADO",$A40="EMPAREJAMIENTO_DE_CONCEPTOS",$A40="OPCION_EMPAREJAMIENTO",$A40="OPCION_DE_EMPAREJAMIENTO_AMPLIADO")),LEN(TRIM($B40))&gt;0,LEN(TRIM($B40))=0)</formula1>
    </dataValidation>
    <dataValidation sqref="B41" showDropDown="0" showInputMessage="0" showErrorMessage="1" allowBlank="1" errorTitle="Grupo invalido" error="El grupo solo se llena en casos/problemas, subitems, emparejamiento ampliado y opciones de emparejamiento." type="custom">
      <formula1>IF(OR(ISNUMBER(MATCH($A41,TIPOS_REQUIEREN_GRUPO,0)),OR($A41="CASO_CLINICO_TRONCO",$A41="CASO_CLINICO",$A41="ITEMS_AGRUPADOS_POR_CASO_CLINICO_O_PROBLEMA",$A41="PROBLEMA",$A41="SUBPROBLEMA",$A41="SUBITEM_CASO",$A41="SUBITEM_DE_CASO_O_PROBLEMA",$A41="EMPAREJAMIENTO_TRONCO",$A41="EMPAREJAMIENTO_AMPLIADO",$A41="EMPAREJAMIENTO_DE_CONCEPTOS",$A41="OPCION_EMPAREJAMIENTO",$A41="OPCION_DE_EMPAREJAMIENTO_AMPLIADO")),LEN(TRIM($B41))&gt;0,LEN(TRIM($B41))=0)</formula1>
    </dataValidation>
    <dataValidation sqref="B42" showDropDown="0" showInputMessage="0" showErrorMessage="1" allowBlank="1" errorTitle="Grupo invalido" error="El grupo solo se llena en casos/problemas, subitems, emparejamiento ampliado y opciones de emparejamiento." type="custom">
      <formula1>IF(OR(ISNUMBER(MATCH($A42,TIPOS_REQUIEREN_GRUPO,0)),OR($A42="CASO_CLINICO_TRONCO",$A42="CASO_CLINICO",$A42="ITEMS_AGRUPADOS_POR_CASO_CLINICO_O_PROBLEMA",$A42="PROBLEMA",$A42="SUBPROBLEMA",$A42="SUBITEM_CASO",$A42="SUBITEM_DE_CASO_O_PROBLEMA",$A42="EMPAREJAMIENTO_TRONCO",$A42="EMPAREJAMIENTO_AMPLIADO",$A42="EMPAREJAMIENTO_DE_CONCEPTOS",$A42="OPCION_EMPAREJAMIENTO",$A42="OPCION_DE_EMPAREJAMIENTO_AMPLIADO")),LEN(TRIM($B42))&gt;0,LEN(TRIM($B42))=0)</formula1>
    </dataValidation>
    <dataValidation sqref="B43" showDropDown="0" showInputMessage="0" showErrorMessage="1" allowBlank="1" errorTitle="Grupo invalido" error="El grupo solo se llena en casos/problemas, subitems, emparejamiento ampliado y opciones de emparejamiento." type="custom">
      <formula1>IF(OR(ISNUMBER(MATCH($A43,TIPOS_REQUIEREN_GRUPO,0)),OR($A43="CASO_CLINICO_TRONCO",$A43="CASO_CLINICO",$A43="ITEMS_AGRUPADOS_POR_CASO_CLINICO_O_PROBLEMA",$A43="PROBLEMA",$A43="SUBPROBLEMA",$A43="SUBITEM_CASO",$A43="SUBITEM_DE_CASO_O_PROBLEMA",$A43="EMPAREJAMIENTO_TRONCO",$A43="EMPAREJAMIENTO_AMPLIADO",$A43="EMPAREJAMIENTO_DE_CONCEPTOS",$A43="OPCION_EMPAREJAMIENTO",$A43="OPCION_DE_EMPAREJAMIENTO_AMPLIADO")),LEN(TRIM($B43))&gt;0,LEN(TRIM($B43))=0)</formula1>
    </dataValidation>
    <dataValidation sqref="B44" showDropDown="0" showInputMessage="0" showErrorMessage="1" allowBlank="1" errorTitle="Grupo invalido" error="El grupo solo se llena en casos/problemas, subitems, emparejamiento ampliado y opciones de emparejamiento." type="custom">
      <formula1>IF(OR(ISNUMBER(MATCH($A44,TIPOS_REQUIEREN_GRUPO,0)),OR($A44="CASO_CLINICO_TRONCO",$A44="CASO_CLINICO",$A44="ITEMS_AGRUPADOS_POR_CASO_CLINICO_O_PROBLEMA",$A44="PROBLEMA",$A44="SUBPROBLEMA",$A44="SUBITEM_CASO",$A44="SUBITEM_DE_CASO_O_PROBLEMA",$A44="EMPAREJAMIENTO_TRONCO",$A44="EMPAREJAMIENTO_AMPLIADO",$A44="EMPAREJAMIENTO_DE_CONCEPTOS",$A44="OPCION_EMPAREJAMIENTO",$A44="OPCION_DE_EMPAREJAMIENTO_AMPLIADO")),LEN(TRIM($B44))&gt;0,LEN(TRIM($B44))=0)</formula1>
    </dataValidation>
    <dataValidation sqref="B45" showDropDown="0" showInputMessage="0" showErrorMessage="1" allowBlank="1" errorTitle="Grupo invalido" error="El grupo solo se llena en casos/problemas, subitems, emparejamiento ampliado y opciones de emparejamiento." type="custom">
      <formula1>IF(OR(ISNUMBER(MATCH($A45,TIPOS_REQUIEREN_GRUPO,0)),OR($A45="CASO_CLINICO_TRONCO",$A45="CASO_CLINICO",$A45="ITEMS_AGRUPADOS_POR_CASO_CLINICO_O_PROBLEMA",$A45="PROBLEMA",$A45="SUBPROBLEMA",$A45="SUBITEM_CASO",$A45="SUBITEM_DE_CASO_O_PROBLEMA",$A45="EMPAREJAMIENTO_TRONCO",$A45="EMPAREJAMIENTO_AMPLIADO",$A45="EMPAREJAMIENTO_DE_CONCEPTOS",$A45="OPCION_EMPAREJAMIENTO",$A45="OPCION_DE_EMPAREJAMIENTO_AMPLIADO")),LEN(TRIM($B45))&gt;0,LEN(TRIM($B45))=0)</formula1>
    </dataValidation>
    <dataValidation sqref="B46" showDropDown="0" showInputMessage="0" showErrorMessage="1" allowBlank="1" errorTitle="Grupo invalido" error="El grupo solo se llena en casos/problemas, subitems, emparejamiento ampliado y opciones de emparejamiento." type="custom">
      <formula1>IF(OR(ISNUMBER(MATCH($A46,TIPOS_REQUIEREN_GRUPO,0)),OR($A46="CASO_CLINICO_TRONCO",$A46="CASO_CLINICO",$A46="ITEMS_AGRUPADOS_POR_CASO_CLINICO_O_PROBLEMA",$A46="PROBLEMA",$A46="SUBPROBLEMA",$A46="SUBITEM_CASO",$A46="SUBITEM_DE_CASO_O_PROBLEMA",$A46="EMPAREJAMIENTO_TRONCO",$A46="EMPAREJAMIENTO_AMPLIADO",$A46="EMPAREJAMIENTO_DE_CONCEPTOS",$A46="OPCION_EMPAREJAMIENTO",$A46="OPCION_DE_EMPAREJAMIENTO_AMPLIADO")),LEN(TRIM($B46))&gt;0,LEN(TRIM($B46))=0)</formula1>
    </dataValidation>
    <dataValidation sqref="B47" showDropDown="0" showInputMessage="0" showErrorMessage="1" allowBlank="1" errorTitle="Grupo invalido" error="El grupo solo se llena en casos/problemas, subitems, emparejamiento ampliado y opciones de emparejamiento." type="custom">
      <formula1>IF(OR(ISNUMBER(MATCH($A47,TIPOS_REQUIEREN_GRUPO,0)),OR($A47="CASO_CLINICO_TRONCO",$A47="CASO_CLINICO",$A47="ITEMS_AGRUPADOS_POR_CASO_CLINICO_O_PROBLEMA",$A47="PROBLEMA",$A47="SUBPROBLEMA",$A47="SUBITEM_CASO",$A47="SUBITEM_DE_CASO_O_PROBLEMA",$A47="EMPAREJAMIENTO_TRONCO",$A47="EMPAREJAMIENTO_AMPLIADO",$A47="EMPAREJAMIENTO_DE_CONCEPTOS",$A47="OPCION_EMPAREJAMIENTO",$A47="OPCION_DE_EMPAREJAMIENTO_AMPLIADO")),LEN(TRIM($B47))&gt;0,LEN(TRIM($B47))=0)</formula1>
    </dataValidation>
    <dataValidation sqref="B48" showDropDown="0" showInputMessage="0" showErrorMessage="1" allowBlank="1" errorTitle="Grupo invalido" error="El grupo solo se llena en casos/problemas, subitems, emparejamiento ampliado y opciones de emparejamiento." type="custom">
      <formula1>IF(OR(ISNUMBER(MATCH($A48,TIPOS_REQUIEREN_GRUPO,0)),OR($A48="CASO_CLINICO_TRONCO",$A48="CASO_CLINICO",$A48="ITEMS_AGRUPADOS_POR_CASO_CLINICO_O_PROBLEMA",$A48="PROBLEMA",$A48="SUBPROBLEMA",$A48="SUBITEM_CASO",$A48="SUBITEM_DE_CASO_O_PROBLEMA",$A48="EMPAREJAMIENTO_TRONCO",$A48="EMPAREJAMIENTO_AMPLIADO",$A48="EMPAREJAMIENTO_DE_CONCEPTOS",$A48="OPCION_EMPAREJAMIENTO",$A48="OPCION_DE_EMPAREJAMIENTO_AMPLIADO")),LEN(TRIM($B48))&gt;0,LEN(TRIM($B48))=0)</formula1>
    </dataValidation>
    <dataValidation sqref="B49" showDropDown="0" showInputMessage="0" showErrorMessage="1" allowBlank="1" errorTitle="Grupo invalido" error="El grupo solo se llena en casos/problemas, subitems, emparejamiento ampliado y opciones de emparejamiento." type="custom">
      <formula1>IF(OR(ISNUMBER(MATCH($A49,TIPOS_REQUIEREN_GRUPO,0)),OR($A49="CASO_CLINICO_TRONCO",$A49="CASO_CLINICO",$A49="ITEMS_AGRUPADOS_POR_CASO_CLINICO_O_PROBLEMA",$A49="PROBLEMA",$A49="SUBPROBLEMA",$A49="SUBITEM_CASO",$A49="SUBITEM_DE_CASO_O_PROBLEMA",$A49="EMPAREJAMIENTO_TRONCO",$A49="EMPAREJAMIENTO_AMPLIADO",$A49="EMPAREJAMIENTO_DE_CONCEPTOS",$A49="OPCION_EMPAREJAMIENTO",$A49="OPCION_DE_EMPAREJAMIENTO_AMPLIADO")),LEN(TRIM($B49))&gt;0,LEN(TRIM($B49))=0)</formula1>
    </dataValidation>
    <dataValidation sqref="B5" showDropDown="0" showInputMessage="0" showErrorMessage="1" allowBlank="1" errorTitle="Grupo invalido" error="El grupo solo se llena en casos/problemas, subitems, emparejamiento ampliado y opciones de emparejamiento." type="custom">
      <formula1>IF(OR(ISNUMBER(MATCH($A5,TIPOS_REQUIEREN_GRUPO,0)),OR($A5="CASO_CLINICO_TRONCO",$A5="CASO_CLINICO",$A5="ITEMS_AGRUPADOS_POR_CASO_CLINICO_O_PROBLEMA",$A5="PROBLEMA",$A5="SUBPROBLEMA",$A5="SUBITEM_CASO",$A5="SUBITEM_DE_CASO_O_PROBLEMA",$A5="EMPAREJAMIENTO_TRONCO",$A5="EMPAREJAMIENTO_AMPLIADO",$A5="EMPAREJAMIENTO_DE_CONCEPTOS",$A5="OPCION_EMPAREJAMIENTO",$A5="OPCION_DE_EMPAREJAMIENTO_AMPLIADO")),LEN(TRIM($B5))&gt;0,LEN(TRIM($B5))=0)</formula1>
    </dataValidation>
    <dataValidation sqref="B50" showDropDown="0" showInputMessage="0" showErrorMessage="1" allowBlank="1" errorTitle="Grupo invalido" error="El grupo solo se llena en casos/problemas, subitems, emparejamiento ampliado y opciones de emparejamiento." type="custom">
      <formula1>IF(OR(ISNUMBER(MATCH($A50,TIPOS_REQUIEREN_GRUPO,0)),OR($A50="CASO_CLINICO_TRONCO",$A50="CASO_CLINICO",$A50="ITEMS_AGRUPADOS_POR_CASO_CLINICO_O_PROBLEMA",$A50="PROBLEMA",$A50="SUBPROBLEMA",$A50="SUBITEM_CASO",$A50="SUBITEM_DE_CASO_O_PROBLEMA",$A50="EMPAREJAMIENTO_TRONCO",$A50="EMPAREJAMIENTO_AMPLIADO",$A50="EMPAREJAMIENTO_DE_CONCEPTOS",$A50="OPCION_EMPAREJAMIENTO",$A50="OPCION_DE_EMPAREJAMIENTO_AMPLIADO")),LEN(TRIM($B50))&gt;0,LEN(TRIM($B50))=0)</formula1>
    </dataValidation>
    <dataValidation sqref="B51" showDropDown="0" showInputMessage="0" showErrorMessage="1" allowBlank="1" errorTitle="Grupo invalido" error="El grupo solo se llena en casos/problemas, subitems, emparejamiento ampliado y opciones de emparejamiento." type="custom">
      <formula1>IF(OR(ISNUMBER(MATCH($A51,TIPOS_REQUIEREN_GRUPO,0)),OR($A51="CASO_CLINICO_TRONCO",$A51="CASO_CLINICO",$A51="ITEMS_AGRUPADOS_POR_CASO_CLINICO_O_PROBLEMA",$A51="PROBLEMA",$A51="SUBPROBLEMA",$A51="SUBITEM_CASO",$A51="SUBITEM_DE_CASO_O_PROBLEMA",$A51="EMPAREJAMIENTO_TRONCO",$A51="EMPAREJAMIENTO_AMPLIADO",$A51="EMPAREJAMIENTO_DE_CONCEPTOS",$A51="OPCION_EMPAREJAMIENTO",$A51="OPCION_DE_EMPAREJAMIENTO_AMPLIADO")),LEN(TRIM($B51))&gt;0,LEN(TRIM($B51))=0)</formula1>
    </dataValidation>
    <dataValidation sqref="B52" showDropDown="0" showInputMessage="0" showErrorMessage="1" allowBlank="1" errorTitle="Grupo invalido" error="El grupo solo se llena en casos/problemas, subitems, emparejamiento ampliado y opciones de emparejamiento." type="custom">
      <formula1>IF(OR(ISNUMBER(MATCH($A52,TIPOS_REQUIEREN_GRUPO,0)),OR($A52="CASO_CLINICO_TRONCO",$A52="CASO_CLINICO",$A52="ITEMS_AGRUPADOS_POR_CASO_CLINICO_O_PROBLEMA",$A52="PROBLEMA",$A52="SUBPROBLEMA",$A52="SUBITEM_CASO",$A52="SUBITEM_DE_CASO_O_PROBLEMA",$A52="EMPAREJAMIENTO_TRONCO",$A52="EMPAREJAMIENTO_AMPLIADO",$A52="EMPAREJAMIENTO_DE_CONCEPTOS",$A52="OPCION_EMPAREJAMIENTO",$A52="OPCION_DE_EMPAREJAMIENTO_AMPLIADO")),LEN(TRIM($B52))&gt;0,LEN(TRIM($B52))=0)</formula1>
    </dataValidation>
    <dataValidation sqref="B53" showDropDown="0" showInputMessage="0" showErrorMessage="1" allowBlank="1" errorTitle="Grupo invalido" error="El grupo solo se llena en casos/problemas, subitems, emparejamiento ampliado y opciones de emparejamiento." type="custom">
      <formula1>IF(OR(ISNUMBER(MATCH($A53,TIPOS_REQUIEREN_GRUPO,0)),OR($A53="CASO_CLINICO_TRONCO",$A53="CASO_CLINICO",$A53="ITEMS_AGRUPADOS_POR_CASO_CLINICO_O_PROBLEMA",$A53="PROBLEMA",$A53="SUBPROBLEMA",$A53="SUBITEM_CASO",$A53="SUBITEM_DE_CASO_O_PROBLEMA",$A53="EMPAREJAMIENTO_TRONCO",$A53="EMPAREJAMIENTO_AMPLIADO",$A53="EMPAREJAMIENTO_DE_CONCEPTOS",$A53="OPCION_EMPAREJAMIENTO",$A53="OPCION_DE_EMPAREJAMIENTO_AMPLIADO")),LEN(TRIM($B53))&gt;0,LEN(TRIM($B53))=0)</formula1>
    </dataValidation>
    <dataValidation sqref="B54" showDropDown="0" showInputMessage="0" showErrorMessage="1" allowBlank="1" errorTitle="Grupo invalido" error="El grupo solo se llena en casos/problemas, subitems, emparejamiento ampliado y opciones de emparejamiento." type="custom">
      <formula1>IF(OR(ISNUMBER(MATCH($A54,TIPOS_REQUIEREN_GRUPO,0)),OR($A54="CASO_CLINICO_TRONCO",$A54="CASO_CLINICO",$A54="ITEMS_AGRUPADOS_POR_CASO_CLINICO_O_PROBLEMA",$A54="PROBLEMA",$A54="SUBPROBLEMA",$A54="SUBITEM_CASO",$A54="SUBITEM_DE_CASO_O_PROBLEMA",$A54="EMPAREJAMIENTO_TRONCO",$A54="EMPAREJAMIENTO_AMPLIADO",$A54="EMPAREJAMIENTO_DE_CONCEPTOS",$A54="OPCION_EMPAREJAMIENTO",$A54="OPCION_DE_EMPAREJAMIENTO_AMPLIADO")),LEN(TRIM($B54))&gt;0,LEN(TRIM($B54))=0)</formula1>
    </dataValidation>
    <dataValidation sqref="B55" showDropDown="0" showInputMessage="0" showErrorMessage="1" allowBlank="1" errorTitle="Grupo invalido" error="El grupo solo se llena en casos/problemas, subitems, emparejamiento ampliado y opciones de emparejamiento." type="custom">
      <formula1>IF(OR(ISNUMBER(MATCH($A55,TIPOS_REQUIEREN_GRUPO,0)),OR($A55="CASO_CLINICO_TRONCO",$A55="CASO_CLINICO",$A55="ITEMS_AGRUPADOS_POR_CASO_CLINICO_O_PROBLEMA",$A55="PROBLEMA",$A55="SUBPROBLEMA",$A55="SUBITEM_CASO",$A55="SUBITEM_DE_CASO_O_PROBLEMA",$A55="EMPAREJAMIENTO_TRONCO",$A55="EMPAREJAMIENTO_AMPLIADO",$A55="EMPAREJAMIENTO_DE_CONCEPTOS",$A55="OPCION_EMPAREJAMIENTO",$A55="OPCION_DE_EMPAREJAMIENTO_AMPLIADO")),LEN(TRIM($B55))&gt;0,LEN(TRIM($B55))=0)</formula1>
    </dataValidation>
    <dataValidation sqref="B56" showDropDown="0" showInputMessage="0" showErrorMessage="1" allowBlank="1" errorTitle="Grupo invalido" error="El grupo solo se llena en casos/problemas, subitems, emparejamiento ampliado y opciones de emparejamiento." type="custom">
      <formula1>IF(OR(ISNUMBER(MATCH($A56,TIPOS_REQUIEREN_GRUPO,0)),OR($A56="CASO_CLINICO_TRONCO",$A56="CASO_CLINICO",$A56="ITEMS_AGRUPADOS_POR_CASO_CLINICO_O_PROBLEMA",$A56="PROBLEMA",$A56="SUBPROBLEMA",$A56="SUBITEM_CASO",$A56="SUBITEM_DE_CASO_O_PROBLEMA",$A56="EMPAREJAMIENTO_TRONCO",$A56="EMPAREJAMIENTO_AMPLIADO",$A56="EMPAREJAMIENTO_DE_CONCEPTOS",$A56="OPCION_EMPAREJAMIENTO",$A56="OPCION_DE_EMPAREJAMIENTO_AMPLIADO")),LEN(TRIM($B56))&gt;0,LEN(TRIM($B56))=0)</formula1>
    </dataValidation>
    <dataValidation sqref="B57" showDropDown="0" showInputMessage="0" showErrorMessage="1" allowBlank="1" errorTitle="Grupo invalido" error="El grupo solo se llena en casos/problemas, subitems, emparejamiento ampliado y opciones de emparejamiento." type="custom">
      <formula1>IF(OR(ISNUMBER(MATCH($A57,TIPOS_REQUIEREN_GRUPO,0)),OR($A57="CASO_CLINICO_TRONCO",$A57="CASO_CLINICO",$A57="ITEMS_AGRUPADOS_POR_CASO_CLINICO_O_PROBLEMA",$A57="PROBLEMA",$A57="SUBPROBLEMA",$A57="SUBITEM_CASO",$A57="SUBITEM_DE_CASO_O_PROBLEMA",$A57="EMPAREJAMIENTO_TRONCO",$A57="EMPAREJAMIENTO_AMPLIADO",$A57="EMPAREJAMIENTO_DE_CONCEPTOS",$A57="OPCION_EMPAREJAMIENTO",$A57="OPCION_DE_EMPAREJAMIENTO_AMPLIADO")),LEN(TRIM($B57))&gt;0,LEN(TRIM($B57))=0)</formula1>
    </dataValidation>
    <dataValidation sqref="B58" showDropDown="0" showInputMessage="0" showErrorMessage="1" allowBlank="1" errorTitle="Grupo invalido" error="El grupo solo se llena en casos/problemas, subitems, emparejamiento ampliado y opciones de emparejamiento." type="custom">
      <formula1>IF(OR(ISNUMBER(MATCH($A58,TIPOS_REQUIEREN_GRUPO,0)),OR($A58="CASO_CLINICO_TRONCO",$A58="CASO_CLINICO",$A58="ITEMS_AGRUPADOS_POR_CASO_CLINICO_O_PROBLEMA",$A58="PROBLEMA",$A58="SUBPROBLEMA",$A58="SUBITEM_CASO",$A58="SUBITEM_DE_CASO_O_PROBLEMA",$A58="EMPAREJAMIENTO_TRONCO",$A58="EMPAREJAMIENTO_AMPLIADO",$A58="EMPAREJAMIENTO_DE_CONCEPTOS",$A58="OPCION_EMPAREJAMIENTO",$A58="OPCION_DE_EMPAREJAMIENTO_AMPLIADO")),LEN(TRIM($B58))&gt;0,LEN(TRIM($B58))=0)</formula1>
    </dataValidation>
    <dataValidation sqref="B59" showDropDown="0" showInputMessage="0" showErrorMessage="1" allowBlank="1" errorTitle="Grupo invalido" error="El grupo solo se llena en casos/problemas, subitems, emparejamiento ampliado y opciones de emparejamiento." type="custom">
      <formula1>IF(OR(ISNUMBER(MATCH($A59,TIPOS_REQUIEREN_GRUPO,0)),OR($A59="CASO_CLINICO_TRONCO",$A59="CASO_CLINICO",$A59="ITEMS_AGRUPADOS_POR_CASO_CLINICO_O_PROBLEMA",$A59="PROBLEMA",$A59="SUBPROBLEMA",$A59="SUBITEM_CASO",$A59="SUBITEM_DE_CASO_O_PROBLEMA",$A59="EMPAREJAMIENTO_TRONCO",$A59="EMPAREJAMIENTO_AMPLIADO",$A59="EMPAREJAMIENTO_DE_CONCEPTOS",$A59="OPCION_EMPAREJAMIENTO",$A59="OPCION_DE_EMPAREJAMIENTO_AMPLIADO")),LEN(TRIM($B59))&gt;0,LEN(TRIM($B59))=0)</formula1>
    </dataValidation>
    <dataValidation sqref="B6" showDropDown="0" showInputMessage="0" showErrorMessage="1" allowBlank="1" errorTitle="Grupo invalido" error="El grupo solo se llena en casos/problemas, subitems, emparejamiento ampliado y opciones de emparejamiento." type="custom">
      <formula1>IF(OR(ISNUMBER(MATCH($A6,TIPOS_REQUIEREN_GRUPO,0)),OR($A6="CASO_CLINICO_TRONCO",$A6="CASO_CLINICO",$A6="ITEMS_AGRUPADOS_POR_CASO_CLINICO_O_PROBLEMA",$A6="PROBLEMA",$A6="SUBPROBLEMA",$A6="SUBITEM_CASO",$A6="SUBITEM_DE_CASO_O_PROBLEMA",$A6="EMPAREJAMIENTO_TRONCO",$A6="EMPAREJAMIENTO_AMPLIADO",$A6="EMPAREJAMIENTO_DE_CONCEPTOS",$A6="OPCION_EMPAREJAMIENTO",$A6="OPCION_DE_EMPAREJAMIENTO_AMPLIADO")),LEN(TRIM($B6))&gt;0,LEN(TRIM($B6))=0)</formula1>
    </dataValidation>
    <dataValidation sqref="B60" showDropDown="0" showInputMessage="0" showErrorMessage="1" allowBlank="1" errorTitle="Grupo invalido" error="El grupo solo se llena en casos/problemas, subitems, emparejamiento ampliado y opciones de emparejamiento." type="custom">
      <formula1>IF(OR(ISNUMBER(MATCH($A60,TIPOS_REQUIEREN_GRUPO,0)),OR($A60="CASO_CLINICO_TRONCO",$A60="CASO_CLINICO",$A60="ITEMS_AGRUPADOS_POR_CASO_CLINICO_O_PROBLEMA",$A60="PROBLEMA",$A60="SUBPROBLEMA",$A60="SUBITEM_CASO",$A60="SUBITEM_DE_CASO_O_PROBLEMA",$A60="EMPAREJAMIENTO_TRONCO",$A60="EMPAREJAMIENTO_AMPLIADO",$A60="EMPAREJAMIENTO_DE_CONCEPTOS",$A60="OPCION_EMPAREJAMIENTO",$A60="OPCION_DE_EMPAREJAMIENTO_AMPLIADO")),LEN(TRIM($B60))&gt;0,LEN(TRIM($B60))=0)</formula1>
    </dataValidation>
    <dataValidation sqref="B61" showDropDown="0" showInputMessage="0" showErrorMessage="1" allowBlank="1" errorTitle="Grupo invalido" error="El grupo solo se llena en casos/problemas, subitems, emparejamiento ampliado y opciones de emparejamiento." type="custom">
      <formula1>IF(OR(ISNUMBER(MATCH($A61,TIPOS_REQUIEREN_GRUPO,0)),OR($A61="CASO_CLINICO_TRONCO",$A61="CASO_CLINICO",$A61="ITEMS_AGRUPADOS_POR_CASO_CLINICO_O_PROBLEMA",$A61="PROBLEMA",$A61="SUBPROBLEMA",$A61="SUBITEM_CASO",$A61="SUBITEM_DE_CASO_O_PROBLEMA",$A61="EMPAREJAMIENTO_TRONCO",$A61="EMPAREJAMIENTO_AMPLIADO",$A61="EMPAREJAMIENTO_DE_CONCEPTOS",$A61="OPCION_EMPAREJAMIENTO",$A61="OPCION_DE_EMPAREJAMIENTO_AMPLIADO")),LEN(TRIM($B61))&gt;0,LEN(TRIM($B61))=0)</formula1>
    </dataValidation>
    <dataValidation sqref="B7" showDropDown="0" showInputMessage="0" showErrorMessage="1" allowBlank="1" errorTitle="Grupo invalido" error="El grupo solo se llena en casos/problemas, subitems, emparejamiento ampliado y opciones de emparejamiento." type="custom">
      <formula1>IF(OR(ISNUMBER(MATCH($A7,TIPOS_REQUIEREN_GRUPO,0)),OR($A7="CASO_CLINICO_TRONCO",$A7="CASO_CLINICO",$A7="ITEMS_AGRUPADOS_POR_CASO_CLINICO_O_PROBLEMA",$A7="PROBLEMA",$A7="SUBPROBLEMA",$A7="SUBITEM_CASO",$A7="SUBITEM_DE_CASO_O_PROBLEMA",$A7="EMPAREJAMIENTO_TRONCO",$A7="EMPAREJAMIENTO_AMPLIADO",$A7="EMPAREJAMIENTO_DE_CONCEPTOS",$A7="OPCION_EMPAREJAMIENTO",$A7="OPCION_DE_EMPAREJAMIENTO_AMPLIADO")),LEN(TRIM($B7))&gt;0,LEN(TRIM($B7))=0)</formula1>
    </dataValidation>
    <dataValidation sqref="B8" showDropDown="0" showInputMessage="0" showErrorMessage="1" allowBlank="1" errorTitle="Grupo invalido" error="El grupo solo se llena en casos/problemas, subitems, emparejamiento ampliado y opciones de emparejamiento." type="custom">
      <formula1>IF(OR(ISNUMBER(MATCH($A8,TIPOS_REQUIEREN_GRUPO,0)),OR($A8="CASO_CLINICO_TRONCO",$A8="CASO_CLINICO",$A8="ITEMS_AGRUPADOS_POR_CASO_CLINICO_O_PROBLEMA",$A8="PROBLEMA",$A8="SUBPROBLEMA",$A8="SUBITEM_CASO",$A8="SUBITEM_DE_CASO_O_PROBLEMA",$A8="EMPAREJAMIENTO_TRONCO",$A8="EMPAREJAMIENTO_AMPLIADO",$A8="EMPAREJAMIENTO_DE_CONCEPTOS",$A8="OPCION_EMPAREJAMIENTO",$A8="OPCION_DE_EMPAREJAMIENTO_AMPLIADO")),LEN(TRIM($B8))&gt;0,LEN(TRIM($B8))=0)</formula1>
    </dataValidation>
    <dataValidation sqref="B9" showDropDown="0" showInputMessage="0" showErrorMessage="1" allowBlank="1" errorTitle="Grupo invalido" error="El grupo solo se llena en casos/problemas, subitems, emparejamiento ampliado y opciones de emparejamiento." type="custom">
      <formula1>IF(OR(ISNUMBER(MATCH($A9,TIPOS_REQUIEREN_GRUPO,0)),OR($A9="CASO_CLINICO_TRONCO",$A9="CASO_CLINICO",$A9="ITEMS_AGRUPADOS_POR_CASO_CLINICO_O_PROBLEMA",$A9="PROBLEMA",$A9="SUBPROBLEMA",$A9="SUBITEM_CASO",$A9="SUBITEM_DE_CASO_O_PROBLEMA",$A9="EMPAREJAMIENTO_TRONCO",$A9="EMPAREJAMIENTO_AMPLIADO",$A9="EMPAREJAMIENTO_DE_CONCEPTOS",$A9="OPCION_EMPAREJAMIENTO",$A9="OPCION_DE_EMPAREJAMIENTO_AMPLIADO")),LEN(TRIM($B9))&gt;0,LEN(TRIM($B9))=0)</formula1>
    </dataValidation>
    <dataValidation sqref="D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IF(OR(ISNUMBER(MATCH($A10,TIPOS_OPCION_D,0)),OR($A10="SELECCION_MEJOR_RESPUESTA",$A10="SELECCION_SIMPLE",$A10="SELECCION_UNICA",$A10="SELECCION_DE_LA_MEJOR_RESPUESTA",$A10="SUBITEM_CASO",$A10="SUBITEM_DE_CASO_O_PROBLEMA")),TRUE,LEN(TRIM($D10))=0)</formula1>
    </dataValidation>
    <dataValidation sqref="D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IF(OR(ISNUMBER(MATCH($A11,TIPOS_OPCION_D,0)),OR($A11="SELECCION_MEJOR_RESPUESTA",$A11="SELECCION_SIMPLE",$A11="SELECCION_UNICA",$A11="SELECCION_DE_LA_MEJOR_RESPUESTA",$A11="SUBITEM_CASO",$A11="SUBITEM_DE_CASO_O_PROBLEMA")),TRUE,LEN(TRIM($D11))=0)</formula1>
    </dataValidation>
    <dataValidation sqref="D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IF(OR(ISNUMBER(MATCH($A12,TIPOS_OPCION_D,0)),OR($A12="SELECCION_MEJOR_RESPUESTA",$A12="SELECCION_SIMPLE",$A12="SELECCION_UNICA",$A12="SELECCION_DE_LA_MEJOR_RESPUESTA",$A12="SUBITEM_CASO",$A12="SUBITEM_DE_CASO_O_PROBLEMA")),TRUE,LEN(TRIM($D12))=0)</formula1>
    </dataValidation>
    <dataValidation sqref="D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IF(OR(ISNUMBER(MATCH($A13,TIPOS_OPCION_D,0)),OR($A13="SELECCION_MEJOR_RESPUESTA",$A13="SELECCION_SIMPLE",$A13="SELECCION_UNICA",$A13="SELECCION_DE_LA_MEJOR_RESPUESTA",$A13="SUBITEM_CASO",$A13="SUBITEM_DE_CASO_O_PROBLEMA")),TRUE,LEN(TRIM($D13))=0)</formula1>
    </dataValidation>
    <dataValidation sqref="D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IF(OR(ISNUMBER(MATCH($A14,TIPOS_OPCION_D,0)),OR($A14="SELECCION_MEJOR_RESPUESTA",$A14="SELECCION_SIMPLE",$A14="SELECCION_UNICA",$A14="SELECCION_DE_LA_MEJOR_RESPUESTA",$A14="SUBITEM_CASO",$A14="SUBITEM_DE_CASO_O_PROBLEMA")),TRUE,LEN(TRIM($D14))=0)</formula1>
    </dataValidation>
    <dataValidation sqref="D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IF(OR(ISNUMBER(MATCH($A15,TIPOS_OPCION_D,0)),OR($A15="SELECCION_MEJOR_RESPUESTA",$A15="SELECCION_SIMPLE",$A15="SELECCION_UNICA",$A15="SELECCION_DE_LA_MEJOR_RESPUESTA",$A15="SUBITEM_CASO",$A15="SUBITEM_DE_CASO_O_PROBLEMA")),TRUE,LEN(TRIM($D15))=0)</formula1>
    </dataValidation>
    <dataValidation sqref="D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IF(OR(ISNUMBER(MATCH($A16,TIPOS_OPCION_D,0)),OR($A16="SELECCION_MEJOR_RESPUESTA",$A16="SELECCION_SIMPLE",$A16="SELECCION_UNICA",$A16="SELECCION_DE_LA_MEJOR_RESPUESTA",$A16="SUBITEM_CASO",$A16="SUBITEM_DE_CASO_O_PROBLEMA")),TRUE,LEN(TRIM($D16))=0)</formula1>
    </dataValidation>
    <dataValidation sqref="D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IF(OR(ISNUMBER(MATCH($A17,TIPOS_OPCION_D,0)),OR($A17="SELECCION_MEJOR_RESPUESTA",$A17="SELECCION_SIMPLE",$A17="SELECCION_UNICA",$A17="SELECCION_DE_LA_MEJOR_RESPUESTA",$A17="SUBITEM_CASO",$A17="SUBITEM_DE_CASO_O_PROBLEMA")),TRUE,LEN(TRIM($D17))=0)</formula1>
    </dataValidation>
    <dataValidation sqref="D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IF(OR(ISNUMBER(MATCH($A18,TIPOS_OPCION_D,0)),OR($A18="SELECCION_MEJOR_RESPUESTA",$A18="SELECCION_SIMPLE",$A18="SELECCION_UNICA",$A18="SELECCION_DE_LA_MEJOR_RESPUESTA",$A18="SUBITEM_CASO",$A18="SUBITEM_DE_CASO_O_PROBLEMA")),TRUE,LEN(TRIM($D18))=0)</formula1>
    </dataValidation>
    <dataValidation sqref="D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IF(OR(ISNUMBER(MATCH($A19,TIPOS_OPCION_D,0)),OR($A19="SELECCION_MEJOR_RESPUESTA",$A19="SELECCION_SIMPLE",$A19="SELECCION_UNICA",$A19="SELECCION_DE_LA_MEJOR_RESPUESTA",$A19="SUBITEM_CASO",$A19="SUBITEM_DE_CASO_O_PROBLEMA")),TRUE,LEN(TRIM($D19))=0)</formula1>
    </dataValidation>
    <dataValidation sqref="D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IF(OR(ISNUMBER(MATCH($A2,TIPOS_OPCION_D,0)),OR($A2="SELECCION_MEJOR_RESPUESTA",$A2="SELECCION_SIMPLE",$A2="SELECCION_UNICA",$A2="SELECCION_DE_LA_MEJOR_RESPUESTA",$A2="SUBITEM_CASO",$A2="SUBITEM_DE_CASO_O_PROBLEMA")),TRUE,LEN(TRIM($D2))=0)</formula1>
    </dataValidation>
    <dataValidation sqref="D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IF(OR(ISNUMBER(MATCH($A20,TIPOS_OPCION_D,0)),OR($A20="SELECCION_MEJOR_RESPUESTA",$A20="SELECCION_SIMPLE",$A20="SELECCION_UNICA",$A20="SELECCION_DE_LA_MEJOR_RESPUESTA",$A20="SUBITEM_CASO",$A20="SUBITEM_DE_CASO_O_PROBLEMA")),TRUE,LEN(TRIM($D20))=0)</formula1>
    </dataValidation>
    <dataValidation sqref="D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IF(OR(ISNUMBER(MATCH($A21,TIPOS_OPCION_D,0)),OR($A21="SELECCION_MEJOR_RESPUESTA",$A21="SELECCION_SIMPLE",$A21="SELECCION_UNICA",$A21="SELECCION_DE_LA_MEJOR_RESPUESTA",$A21="SUBITEM_CASO",$A21="SUBITEM_DE_CASO_O_PROBLEMA")),TRUE,LEN(TRIM($D21))=0)</formula1>
    </dataValidation>
    <dataValidation sqref="D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IF(OR(ISNUMBER(MATCH($A22,TIPOS_OPCION_D,0)),OR($A22="SELECCION_MEJOR_RESPUESTA",$A22="SELECCION_SIMPLE",$A22="SELECCION_UNICA",$A22="SELECCION_DE_LA_MEJOR_RESPUESTA",$A22="SUBITEM_CASO",$A22="SUBITEM_DE_CASO_O_PROBLEMA")),TRUE,LEN(TRIM($D22))=0)</formula1>
    </dataValidation>
    <dataValidation sqref="D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IF(OR(ISNUMBER(MATCH($A23,TIPOS_OPCION_D,0)),OR($A23="SELECCION_MEJOR_RESPUESTA",$A23="SELECCION_SIMPLE",$A23="SELECCION_UNICA",$A23="SELECCION_DE_LA_MEJOR_RESPUESTA",$A23="SUBITEM_CASO",$A23="SUBITEM_DE_CASO_O_PROBLEMA")),TRUE,LEN(TRIM($D23))=0)</formula1>
    </dataValidation>
    <dataValidation sqref="D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IF(OR(ISNUMBER(MATCH($A24,TIPOS_OPCION_D,0)),OR($A24="SELECCION_MEJOR_RESPUESTA",$A24="SELECCION_SIMPLE",$A24="SELECCION_UNICA",$A24="SELECCION_DE_LA_MEJOR_RESPUESTA",$A24="SUBITEM_CASO",$A24="SUBITEM_DE_CASO_O_PROBLEMA")),TRUE,LEN(TRIM($D24))=0)</formula1>
    </dataValidation>
    <dataValidation sqref="D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IF(OR(ISNUMBER(MATCH($A25,TIPOS_OPCION_D,0)),OR($A25="SELECCION_MEJOR_RESPUESTA",$A25="SELECCION_SIMPLE",$A25="SELECCION_UNICA",$A25="SELECCION_DE_LA_MEJOR_RESPUESTA",$A25="SUBITEM_CASO",$A25="SUBITEM_DE_CASO_O_PROBLEMA")),TRUE,LEN(TRIM($D25))=0)</formula1>
    </dataValidation>
    <dataValidation sqref="D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IF(OR(ISNUMBER(MATCH($A26,TIPOS_OPCION_D,0)),OR($A26="SELECCION_MEJOR_RESPUESTA",$A26="SELECCION_SIMPLE",$A26="SELECCION_UNICA",$A26="SELECCION_DE_LA_MEJOR_RESPUESTA",$A26="SUBITEM_CASO",$A26="SUBITEM_DE_CASO_O_PROBLEMA")),TRUE,LEN(TRIM($D26))=0)</formula1>
    </dataValidation>
    <dataValidation sqref="D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IF(OR(ISNUMBER(MATCH($A27,TIPOS_OPCION_D,0)),OR($A27="SELECCION_MEJOR_RESPUESTA",$A27="SELECCION_SIMPLE",$A27="SELECCION_UNICA",$A27="SELECCION_DE_LA_MEJOR_RESPUESTA",$A27="SUBITEM_CASO",$A27="SUBITEM_DE_CASO_O_PROBLEMA")),TRUE,LEN(TRIM($D27))=0)</formula1>
    </dataValidation>
    <dataValidation sqref="D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IF(OR(ISNUMBER(MATCH($A28,TIPOS_OPCION_D,0)),OR($A28="SELECCION_MEJOR_RESPUESTA",$A28="SELECCION_SIMPLE",$A28="SELECCION_UNICA",$A28="SELECCION_DE_LA_MEJOR_RESPUESTA",$A28="SUBITEM_CASO",$A28="SUBITEM_DE_CASO_O_PROBLEMA")),TRUE,LEN(TRIM($D28))=0)</formula1>
    </dataValidation>
    <dataValidation sqref="D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IF(OR(ISNUMBER(MATCH($A29,TIPOS_OPCION_D,0)),OR($A29="SELECCION_MEJOR_RESPUESTA",$A29="SELECCION_SIMPLE",$A29="SELECCION_UNICA",$A29="SELECCION_DE_LA_MEJOR_RESPUESTA",$A29="SUBITEM_CASO",$A29="SUBITEM_DE_CASO_O_PROBLEMA")),TRUE,LEN(TRIM($D29))=0)</formula1>
    </dataValidation>
    <dataValidation sqref="D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IF(OR(ISNUMBER(MATCH($A3,TIPOS_OPCION_D,0)),OR($A3="SELECCION_MEJOR_RESPUESTA",$A3="SELECCION_SIMPLE",$A3="SELECCION_UNICA",$A3="SELECCION_DE_LA_MEJOR_RESPUESTA",$A3="SUBITEM_CASO",$A3="SUBITEM_DE_CASO_O_PROBLEMA")),TRUE,LEN(TRIM($D3))=0)</formula1>
    </dataValidation>
    <dataValidation sqref="D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IF(OR(ISNUMBER(MATCH($A30,TIPOS_OPCION_D,0)),OR($A30="SELECCION_MEJOR_RESPUESTA",$A30="SELECCION_SIMPLE",$A30="SELECCION_UNICA",$A30="SELECCION_DE_LA_MEJOR_RESPUESTA",$A30="SUBITEM_CASO",$A30="SUBITEM_DE_CASO_O_PROBLEMA")),TRUE,LEN(TRIM($D30))=0)</formula1>
    </dataValidation>
    <dataValidation sqref="D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IF(OR(ISNUMBER(MATCH($A31,TIPOS_OPCION_D,0)),OR($A31="SELECCION_MEJOR_RESPUESTA",$A31="SELECCION_SIMPLE",$A31="SELECCION_UNICA",$A31="SELECCION_DE_LA_MEJOR_RESPUESTA",$A31="SUBITEM_CASO",$A31="SUBITEM_DE_CASO_O_PROBLEMA")),TRUE,LEN(TRIM($D31))=0)</formula1>
    </dataValidation>
    <dataValidation sqref="D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IF(OR(ISNUMBER(MATCH($A32,TIPOS_OPCION_D,0)),OR($A32="SELECCION_MEJOR_RESPUESTA",$A32="SELECCION_SIMPLE",$A32="SELECCION_UNICA",$A32="SELECCION_DE_LA_MEJOR_RESPUESTA",$A32="SUBITEM_CASO",$A32="SUBITEM_DE_CASO_O_PROBLEMA")),TRUE,LEN(TRIM($D32))=0)</formula1>
    </dataValidation>
    <dataValidation sqref="D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IF(OR(ISNUMBER(MATCH($A33,TIPOS_OPCION_D,0)),OR($A33="SELECCION_MEJOR_RESPUESTA",$A33="SELECCION_SIMPLE",$A33="SELECCION_UNICA",$A33="SELECCION_DE_LA_MEJOR_RESPUESTA",$A33="SUBITEM_CASO",$A33="SUBITEM_DE_CASO_O_PROBLEMA")),TRUE,LEN(TRIM($D33))=0)</formula1>
    </dataValidation>
    <dataValidation sqref="D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IF(OR(ISNUMBER(MATCH($A34,TIPOS_OPCION_D,0)),OR($A34="SELECCION_MEJOR_RESPUESTA",$A34="SELECCION_SIMPLE",$A34="SELECCION_UNICA",$A34="SELECCION_DE_LA_MEJOR_RESPUESTA",$A34="SUBITEM_CASO",$A34="SUBITEM_DE_CASO_O_PROBLEMA")),TRUE,LEN(TRIM($D34))=0)</formula1>
    </dataValidation>
    <dataValidation sqref="D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IF(OR(ISNUMBER(MATCH($A35,TIPOS_OPCION_D,0)),OR($A35="SELECCION_MEJOR_RESPUESTA",$A35="SELECCION_SIMPLE",$A35="SELECCION_UNICA",$A35="SELECCION_DE_LA_MEJOR_RESPUESTA",$A35="SUBITEM_CASO",$A35="SUBITEM_DE_CASO_O_PROBLEMA")),TRUE,LEN(TRIM($D35))=0)</formula1>
    </dataValidation>
    <dataValidation sqref="D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IF(OR(ISNUMBER(MATCH($A36,TIPOS_OPCION_D,0)),OR($A36="SELECCION_MEJOR_RESPUESTA",$A36="SELECCION_SIMPLE",$A36="SELECCION_UNICA",$A36="SELECCION_DE_LA_MEJOR_RESPUESTA",$A36="SUBITEM_CASO",$A36="SUBITEM_DE_CASO_O_PROBLEMA")),TRUE,LEN(TRIM($D36))=0)</formula1>
    </dataValidation>
    <dataValidation sqref="D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IF(OR(ISNUMBER(MATCH($A37,TIPOS_OPCION_D,0)),OR($A37="SELECCION_MEJOR_RESPUESTA",$A37="SELECCION_SIMPLE",$A37="SELECCION_UNICA",$A37="SELECCION_DE_LA_MEJOR_RESPUESTA",$A37="SUBITEM_CASO",$A37="SUBITEM_DE_CASO_O_PROBLEMA")),TRUE,LEN(TRIM($D37))=0)</formula1>
    </dataValidation>
    <dataValidation sqref="D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IF(OR(ISNUMBER(MATCH($A38,TIPOS_OPCION_D,0)),OR($A38="SELECCION_MEJOR_RESPUESTA",$A38="SELECCION_SIMPLE",$A38="SELECCION_UNICA",$A38="SELECCION_DE_LA_MEJOR_RESPUESTA",$A38="SUBITEM_CASO",$A38="SUBITEM_DE_CASO_O_PROBLEMA")),TRUE,LEN(TRIM($D38))=0)</formula1>
    </dataValidation>
    <dataValidation sqref="D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IF(OR(ISNUMBER(MATCH($A39,TIPOS_OPCION_D,0)),OR($A39="SELECCION_MEJOR_RESPUESTA",$A39="SELECCION_SIMPLE",$A39="SELECCION_UNICA",$A39="SELECCION_DE_LA_MEJOR_RESPUESTA",$A39="SUBITEM_CASO",$A39="SUBITEM_DE_CASO_O_PROBLEMA")),TRUE,LEN(TRIM($D39))=0)</formula1>
    </dataValidation>
    <dataValidation sqref="D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IF(OR(ISNUMBER(MATCH($A4,TIPOS_OPCION_D,0)),OR($A4="SELECCION_MEJOR_RESPUESTA",$A4="SELECCION_SIMPLE",$A4="SELECCION_UNICA",$A4="SELECCION_DE_LA_MEJOR_RESPUESTA",$A4="SUBITEM_CASO",$A4="SUBITEM_DE_CASO_O_PROBLEMA")),TRUE,LEN(TRIM($D4))=0)</formula1>
    </dataValidation>
    <dataValidation sqref="D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IF(OR(ISNUMBER(MATCH($A40,TIPOS_OPCION_D,0)),OR($A40="SELECCION_MEJOR_RESPUESTA",$A40="SELECCION_SIMPLE",$A40="SELECCION_UNICA",$A40="SELECCION_DE_LA_MEJOR_RESPUESTA",$A40="SUBITEM_CASO",$A40="SUBITEM_DE_CASO_O_PROBLEMA")),TRUE,LEN(TRIM($D40))=0)</formula1>
    </dataValidation>
    <dataValidation sqref="D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IF(OR(ISNUMBER(MATCH($A41,TIPOS_OPCION_D,0)),OR($A41="SELECCION_MEJOR_RESPUESTA",$A41="SELECCION_SIMPLE",$A41="SELECCION_UNICA",$A41="SELECCION_DE_LA_MEJOR_RESPUESTA",$A41="SUBITEM_CASO",$A41="SUBITEM_DE_CASO_O_PROBLEMA")),TRUE,LEN(TRIM($D41))=0)</formula1>
    </dataValidation>
    <dataValidation sqref="D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IF(OR(ISNUMBER(MATCH($A42,TIPOS_OPCION_D,0)),OR($A42="SELECCION_MEJOR_RESPUESTA",$A42="SELECCION_SIMPLE",$A42="SELECCION_UNICA",$A42="SELECCION_DE_LA_MEJOR_RESPUESTA",$A42="SUBITEM_CASO",$A42="SUBITEM_DE_CASO_O_PROBLEMA")),TRUE,LEN(TRIM($D42))=0)</formula1>
    </dataValidation>
    <dataValidation sqref="D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IF(OR(ISNUMBER(MATCH($A43,TIPOS_OPCION_D,0)),OR($A43="SELECCION_MEJOR_RESPUESTA",$A43="SELECCION_SIMPLE",$A43="SELECCION_UNICA",$A43="SELECCION_DE_LA_MEJOR_RESPUESTA",$A43="SUBITEM_CASO",$A43="SUBITEM_DE_CASO_O_PROBLEMA")),TRUE,LEN(TRIM($D43))=0)</formula1>
    </dataValidation>
    <dataValidation sqref="D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IF(OR(ISNUMBER(MATCH($A44,TIPOS_OPCION_D,0)),OR($A44="SELECCION_MEJOR_RESPUESTA",$A44="SELECCION_SIMPLE",$A44="SELECCION_UNICA",$A44="SELECCION_DE_LA_MEJOR_RESPUESTA",$A44="SUBITEM_CASO",$A44="SUBITEM_DE_CASO_O_PROBLEMA")),TRUE,LEN(TRIM($D44))=0)</formula1>
    </dataValidation>
    <dataValidation sqref="D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IF(OR(ISNUMBER(MATCH($A45,TIPOS_OPCION_D,0)),OR($A45="SELECCION_MEJOR_RESPUESTA",$A45="SELECCION_SIMPLE",$A45="SELECCION_UNICA",$A45="SELECCION_DE_LA_MEJOR_RESPUESTA",$A45="SUBITEM_CASO",$A45="SUBITEM_DE_CASO_O_PROBLEMA")),TRUE,LEN(TRIM($D45))=0)</formula1>
    </dataValidation>
    <dataValidation sqref="D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IF(OR(ISNUMBER(MATCH($A46,TIPOS_OPCION_D,0)),OR($A46="SELECCION_MEJOR_RESPUESTA",$A46="SELECCION_SIMPLE",$A46="SELECCION_UNICA",$A46="SELECCION_DE_LA_MEJOR_RESPUESTA",$A46="SUBITEM_CASO",$A46="SUBITEM_DE_CASO_O_PROBLEMA")),TRUE,LEN(TRIM($D46))=0)</formula1>
    </dataValidation>
    <dataValidation sqref="D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IF(OR(ISNUMBER(MATCH($A47,TIPOS_OPCION_D,0)),OR($A47="SELECCION_MEJOR_RESPUESTA",$A47="SELECCION_SIMPLE",$A47="SELECCION_UNICA",$A47="SELECCION_DE_LA_MEJOR_RESPUESTA",$A47="SUBITEM_CASO",$A47="SUBITEM_DE_CASO_O_PROBLEMA")),TRUE,LEN(TRIM($D47))=0)</formula1>
    </dataValidation>
    <dataValidation sqref="D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IF(OR(ISNUMBER(MATCH($A48,TIPOS_OPCION_D,0)),OR($A48="SELECCION_MEJOR_RESPUESTA",$A48="SELECCION_SIMPLE",$A48="SELECCION_UNICA",$A48="SELECCION_DE_LA_MEJOR_RESPUESTA",$A48="SUBITEM_CASO",$A48="SUBITEM_DE_CASO_O_PROBLEMA")),TRUE,LEN(TRIM($D48))=0)</formula1>
    </dataValidation>
    <dataValidation sqref="D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IF(OR(ISNUMBER(MATCH($A49,TIPOS_OPCION_D,0)),OR($A49="SELECCION_MEJOR_RESPUESTA",$A49="SELECCION_SIMPLE",$A49="SELECCION_UNICA",$A49="SELECCION_DE_LA_MEJOR_RESPUESTA",$A49="SUBITEM_CASO",$A49="SUBITEM_DE_CASO_O_PROBLEMA")),TRUE,LEN(TRIM($D49))=0)</formula1>
    </dataValidation>
    <dataValidation sqref="D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IF(OR(ISNUMBER(MATCH($A5,TIPOS_OPCION_D,0)),OR($A5="SELECCION_MEJOR_RESPUESTA",$A5="SELECCION_SIMPLE",$A5="SELECCION_UNICA",$A5="SELECCION_DE_LA_MEJOR_RESPUESTA",$A5="SUBITEM_CASO",$A5="SUBITEM_DE_CASO_O_PROBLEMA")),TRUE,LEN(TRIM($D5))=0)</formula1>
    </dataValidation>
    <dataValidation sqref="D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IF(OR(ISNUMBER(MATCH($A50,TIPOS_OPCION_D,0)),OR($A50="SELECCION_MEJOR_RESPUESTA",$A50="SELECCION_SIMPLE",$A50="SELECCION_UNICA",$A50="SELECCION_DE_LA_MEJOR_RESPUESTA",$A50="SUBITEM_CASO",$A50="SUBITEM_DE_CASO_O_PROBLEMA")),TRUE,LEN(TRIM($D50))=0)</formula1>
    </dataValidation>
    <dataValidation sqref="D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IF(OR(ISNUMBER(MATCH($A51,TIPOS_OPCION_D,0)),OR($A51="SELECCION_MEJOR_RESPUESTA",$A51="SELECCION_SIMPLE",$A51="SELECCION_UNICA",$A51="SELECCION_DE_LA_MEJOR_RESPUESTA",$A51="SUBITEM_CASO",$A51="SUBITEM_DE_CASO_O_PROBLEMA")),TRUE,LEN(TRIM($D51))=0)</formula1>
    </dataValidation>
    <dataValidation sqref="D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IF(OR(ISNUMBER(MATCH($A52,TIPOS_OPCION_D,0)),OR($A52="SELECCION_MEJOR_RESPUESTA",$A52="SELECCION_SIMPLE",$A52="SELECCION_UNICA",$A52="SELECCION_DE_LA_MEJOR_RESPUESTA",$A52="SUBITEM_CASO",$A52="SUBITEM_DE_CASO_O_PROBLEMA")),TRUE,LEN(TRIM($D52))=0)</formula1>
    </dataValidation>
    <dataValidation sqref="D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IF(OR(ISNUMBER(MATCH($A53,TIPOS_OPCION_D,0)),OR($A53="SELECCION_MEJOR_RESPUESTA",$A53="SELECCION_SIMPLE",$A53="SELECCION_UNICA",$A53="SELECCION_DE_LA_MEJOR_RESPUESTA",$A53="SUBITEM_CASO",$A53="SUBITEM_DE_CASO_O_PROBLEMA")),TRUE,LEN(TRIM($D53))=0)</formula1>
    </dataValidation>
    <dataValidation sqref="D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IF(OR(ISNUMBER(MATCH($A54,TIPOS_OPCION_D,0)),OR($A54="SELECCION_MEJOR_RESPUESTA",$A54="SELECCION_SIMPLE",$A54="SELECCION_UNICA",$A54="SELECCION_DE_LA_MEJOR_RESPUESTA",$A54="SUBITEM_CASO",$A54="SUBITEM_DE_CASO_O_PROBLEMA")),TRUE,LEN(TRIM($D54))=0)</formula1>
    </dataValidation>
    <dataValidation sqref="D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IF(OR(ISNUMBER(MATCH($A55,TIPOS_OPCION_D,0)),OR($A55="SELECCION_MEJOR_RESPUESTA",$A55="SELECCION_SIMPLE",$A55="SELECCION_UNICA",$A55="SELECCION_DE_LA_MEJOR_RESPUESTA",$A55="SUBITEM_CASO",$A55="SUBITEM_DE_CASO_O_PROBLEMA")),TRUE,LEN(TRIM($D55))=0)</formula1>
    </dataValidation>
    <dataValidation sqref="D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IF(OR(ISNUMBER(MATCH($A56,TIPOS_OPCION_D,0)),OR($A56="SELECCION_MEJOR_RESPUESTA",$A56="SELECCION_SIMPLE",$A56="SELECCION_UNICA",$A56="SELECCION_DE_LA_MEJOR_RESPUESTA",$A56="SUBITEM_CASO",$A56="SUBITEM_DE_CASO_O_PROBLEMA")),TRUE,LEN(TRIM($D56))=0)</formula1>
    </dataValidation>
    <dataValidation sqref="D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IF(OR(ISNUMBER(MATCH($A57,TIPOS_OPCION_D,0)),OR($A57="SELECCION_MEJOR_RESPUESTA",$A57="SELECCION_SIMPLE",$A57="SELECCION_UNICA",$A57="SELECCION_DE_LA_MEJOR_RESPUESTA",$A57="SUBITEM_CASO",$A57="SUBITEM_DE_CASO_O_PROBLEMA")),TRUE,LEN(TRIM($D57))=0)</formula1>
    </dataValidation>
    <dataValidation sqref="D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IF(OR(ISNUMBER(MATCH($A58,TIPOS_OPCION_D,0)),OR($A58="SELECCION_MEJOR_RESPUESTA",$A58="SELECCION_SIMPLE",$A58="SELECCION_UNICA",$A58="SELECCION_DE_LA_MEJOR_RESPUESTA",$A58="SUBITEM_CASO",$A58="SUBITEM_DE_CASO_O_PROBLEMA")),TRUE,LEN(TRIM($D58))=0)</formula1>
    </dataValidation>
    <dataValidation sqref="D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IF(OR(ISNUMBER(MATCH($A59,TIPOS_OPCION_D,0)),OR($A59="SELECCION_MEJOR_RESPUESTA",$A59="SELECCION_SIMPLE",$A59="SELECCION_UNICA",$A59="SELECCION_DE_LA_MEJOR_RESPUESTA",$A59="SUBITEM_CASO",$A59="SUBITEM_DE_CASO_O_PROBLEMA")),TRUE,LEN(TRIM($D59))=0)</formula1>
    </dataValidation>
    <dataValidation sqref="D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IF(OR(ISNUMBER(MATCH($A6,TIPOS_OPCION_D,0)),OR($A6="SELECCION_MEJOR_RESPUESTA",$A6="SELECCION_SIMPLE",$A6="SELECCION_UNICA",$A6="SELECCION_DE_LA_MEJOR_RESPUESTA",$A6="SUBITEM_CASO",$A6="SUBITEM_DE_CASO_O_PROBLEMA")),TRUE,LEN(TRIM($D6))=0)</formula1>
    </dataValidation>
    <dataValidation sqref="D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IF(OR(ISNUMBER(MATCH($A60,TIPOS_OPCION_D,0)),OR($A60="SELECCION_MEJOR_RESPUESTA",$A60="SELECCION_SIMPLE",$A60="SELECCION_UNICA",$A60="SELECCION_DE_LA_MEJOR_RESPUESTA",$A60="SUBITEM_CASO",$A60="SUBITEM_DE_CASO_O_PROBLEMA")),TRUE,LEN(TRIM($D60))=0)</formula1>
    </dataValidation>
    <dataValidation sqref="D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IF(OR(ISNUMBER(MATCH($A61,TIPOS_OPCION_D,0)),OR($A61="SELECCION_MEJOR_RESPUESTA",$A61="SELECCION_SIMPLE",$A61="SELECCION_UNICA",$A61="SELECCION_DE_LA_MEJOR_RESPUESTA",$A61="SUBITEM_CASO",$A61="SUBITEM_DE_CASO_O_PROBLEMA")),TRUE,LEN(TRIM($D61))=0)</formula1>
    </dataValidation>
    <dataValidation sqref="D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IF(OR(ISNUMBER(MATCH($A7,TIPOS_OPCION_D,0)),OR($A7="SELECCION_MEJOR_RESPUESTA",$A7="SELECCION_SIMPLE",$A7="SELECCION_UNICA",$A7="SELECCION_DE_LA_MEJOR_RESPUESTA",$A7="SUBITEM_CASO",$A7="SUBITEM_DE_CASO_O_PROBLEMA")),TRUE,LEN(TRIM($D7))=0)</formula1>
    </dataValidation>
    <dataValidation sqref="D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IF(OR(ISNUMBER(MATCH($A8,TIPOS_OPCION_D,0)),OR($A8="SELECCION_MEJOR_RESPUESTA",$A8="SELECCION_SIMPLE",$A8="SELECCION_UNICA",$A8="SELECCION_DE_LA_MEJOR_RESPUESTA",$A8="SUBITEM_CASO",$A8="SUBITEM_DE_CASO_O_PROBLEMA")),TRUE,LEN(TRIM($D8))=0)</formula1>
    </dataValidation>
    <dataValidation sqref="D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IF(OR(ISNUMBER(MATCH($A9,TIPOS_OPCION_D,0)),OR($A9="SELECCION_MEJOR_RESPUESTA",$A9="SELECCION_SIMPLE",$A9="SELECCION_UNICA",$A9="SELECCION_DE_LA_MEJOR_RESPUESTA",$A9="SUBITEM_CASO",$A9="SUBITEM_DE_CASO_O_PROBLEMA")),TRUE,LEN(TRIM($D9))=0)</formula1>
    </dataValidation>
    <dataValidation sqref="E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IF(OR(ISNUMBER(MATCH($A10,TIPOS_OPCION_E,0)),OR($A10="SELECCION_MEJOR_RESPUESTA",$A10="SELECCION_SIMPLE",$A10="SELECCION_UNICA",$A10="SELECCION_DE_LA_MEJOR_RESPUESTA",$A10="SUBITEM_CASO",$A10="SUBITEM_DE_CASO_O_PROBLEMA")),TRUE,LEN(TRIM($E10))=0)</formula1>
    </dataValidation>
    <dataValidation sqref="E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IF(OR(ISNUMBER(MATCH($A11,TIPOS_OPCION_E,0)),OR($A11="SELECCION_MEJOR_RESPUESTA",$A11="SELECCION_SIMPLE",$A11="SELECCION_UNICA",$A11="SELECCION_DE_LA_MEJOR_RESPUESTA",$A11="SUBITEM_CASO",$A11="SUBITEM_DE_CASO_O_PROBLEMA")),TRUE,LEN(TRIM($E11))=0)</formula1>
    </dataValidation>
    <dataValidation sqref="E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IF(OR(ISNUMBER(MATCH($A12,TIPOS_OPCION_E,0)),OR($A12="SELECCION_MEJOR_RESPUESTA",$A12="SELECCION_SIMPLE",$A12="SELECCION_UNICA",$A12="SELECCION_DE_LA_MEJOR_RESPUESTA",$A12="SUBITEM_CASO",$A12="SUBITEM_DE_CASO_O_PROBLEMA")),TRUE,LEN(TRIM($E12))=0)</formula1>
    </dataValidation>
    <dataValidation sqref="E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IF(OR(ISNUMBER(MATCH($A13,TIPOS_OPCION_E,0)),OR($A13="SELECCION_MEJOR_RESPUESTA",$A13="SELECCION_SIMPLE",$A13="SELECCION_UNICA",$A13="SELECCION_DE_LA_MEJOR_RESPUESTA",$A13="SUBITEM_CASO",$A13="SUBITEM_DE_CASO_O_PROBLEMA")),TRUE,LEN(TRIM($E13))=0)</formula1>
    </dataValidation>
    <dataValidation sqref="E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IF(OR(ISNUMBER(MATCH($A14,TIPOS_OPCION_E,0)),OR($A14="SELECCION_MEJOR_RESPUESTA",$A14="SELECCION_SIMPLE",$A14="SELECCION_UNICA",$A14="SELECCION_DE_LA_MEJOR_RESPUESTA",$A14="SUBITEM_CASO",$A14="SUBITEM_DE_CASO_O_PROBLEMA")),TRUE,LEN(TRIM($E14))=0)</formula1>
    </dataValidation>
    <dataValidation sqref="E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IF(OR(ISNUMBER(MATCH($A15,TIPOS_OPCION_E,0)),OR($A15="SELECCION_MEJOR_RESPUESTA",$A15="SELECCION_SIMPLE",$A15="SELECCION_UNICA",$A15="SELECCION_DE_LA_MEJOR_RESPUESTA",$A15="SUBITEM_CASO",$A15="SUBITEM_DE_CASO_O_PROBLEMA")),TRUE,LEN(TRIM($E15))=0)</formula1>
    </dataValidation>
    <dataValidation sqref="E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IF(OR(ISNUMBER(MATCH($A16,TIPOS_OPCION_E,0)),OR($A16="SELECCION_MEJOR_RESPUESTA",$A16="SELECCION_SIMPLE",$A16="SELECCION_UNICA",$A16="SELECCION_DE_LA_MEJOR_RESPUESTA",$A16="SUBITEM_CASO",$A16="SUBITEM_DE_CASO_O_PROBLEMA")),TRUE,LEN(TRIM($E16))=0)</formula1>
    </dataValidation>
    <dataValidation sqref="E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IF(OR(ISNUMBER(MATCH($A17,TIPOS_OPCION_E,0)),OR($A17="SELECCION_MEJOR_RESPUESTA",$A17="SELECCION_SIMPLE",$A17="SELECCION_UNICA",$A17="SELECCION_DE_LA_MEJOR_RESPUESTA",$A17="SUBITEM_CASO",$A17="SUBITEM_DE_CASO_O_PROBLEMA")),TRUE,LEN(TRIM($E17))=0)</formula1>
    </dataValidation>
    <dataValidation sqref="E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IF(OR(ISNUMBER(MATCH($A18,TIPOS_OPCION_E,0)),OR($A18="SELECCION_MEJOR_RESPUESTA",$A18="SELECCION_SIMPLE",$A18="SELECCION_UNICA",$A18="SELECCION_DE_LA_MEJOR_RESPUESTA",$A18="SUBITEM_CASO",$A18="SUBITEM_DE_CASO_O_PROBLEMA")),TRUE,LEN(TRIM($E18))=0)</formula1>
    </dataValidation>
    <dataValidation sqref="E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IF(OR(ISNUMBER(MATCH($A19,TIPOS_OPCION_E,0)),OR($A19="SELECCION_MEJOR_RESPUESTA",$A19="SELECCION_SIMPLE",$A19="SELECCION_UNICA",$A19="SELECCION_DE_LA_MEJOR_RESPUESTA",$A19="SUBITEM_CASO",$A19="SUBITEM_DE_CASO_O_PROBLEMA")),TRUE,LEN(TRIM($E19))=0)</formula1>
    </dataValidation>
    <dataValidation sqref="E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IF(OR(ISNUMBER(MATCH($A2,TIPOS_OPCION_E,0)),OR($A2="SELECCION_MEJOR_RESPUESTA",$A2="SELECCION_SIMPLE",$A2="SELECCION_UNICA",$A2="SELECCION_DE_LA_MEJOR_RESPUESTA",$A2="SUBITEM_CASO",$A2="SUBITEM_DE_CASO_O_PROBLEMA")),TRUE,LEN(TRIM($E2))=0)</formula1>
    </dataValidation>
    <dataValidation sqref="E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IF(OR(ISNUMBER(MATCH($A20,TIPOS_OPCION_E,0)),OR($A20="SELECCION_MEJOR_RESPUESTA",$A20="SELECCION_SIMPLE",$A20="SELECCION_UNICA",$A20="SELECCION_DE_LA_MEJOR_RESPUESTA",$A20="SUBITEM_CASO",$A20="SUBITEM_DE_CASO_O_PROBLEMA")),TRUE,LEN(TRIM($E20))=0)</formula1>
    </dataValidation>
    <dataValidation sqref="E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IF(OR(ISNUMBER(MATCH($A21,TIPOS_OPCION_E,0)),OR($A21="SELECCION_MEJOR_RESPUESTA",$A21="SELECCION_SIMPLE",$A21="SELECCION_UNICA",$A21="SELECCION_DE_LA_MEJOR_RESPUESTA",$A21="SUBITEM_CASO",$A21="SUBITEM_DE_CASO_O_PROBLEMA")),TRUE,LEN(TRIM($E21))=0)</formula1>
    </dataValidation>
    <dataValidation sqref="E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IF(OR(ISNUMBER(MATCH($A22,TIPOS_OPCION_E,0)),OR($A22="SELECCION_MEJOR_RESPUESTA",$A22="SELECCION_SIMPLE",$A22="SELECCION_UNICA",$A22="SELECCION_DE_LA_MEJOR_RESPUESTA",$A22="SUBITEM_CASO",$A22="SUBITEM_DE_CASO_O_PROBLEMA")),TRUE,LEN(TRIM($E22))=0)</formula1>
    </dataValidation>
    <dataValidation sqref="E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IF(OR(ISNUMBER(MATCH($A23,TIPOS_OPCION_E,0)),OR($A23="SELECCION_MEJOR_RESPUESTA",$A23="SELECCION_SIMPLE",$A23="SELECCION_UNICA",$A23="SELECCION_DE_LA_MEJOR_RESPUESTA",$A23="SUBITEM_CASO",$A23="SUBITEM_DE_CASO_O_PROBLEMA")),TRUE,LEN(TRIM($E23))=0)</formula1>
    </dataValidation>
    <dataValidation sqref="E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IF(OR(ISNUMBER(MATCH($A24,TIPOS_OPCION_E,0)),OR($A24="SELECCION_MEJOR_RESPUESTA",$A24="SELECCION_SIMPLE",$A24="SELECCION_UNICA",$A24="SELECCION_DE_LA_MEJOR_RESPUESTA",$A24="SUBITEM_CASO",$A24="SUBITEM_DE_CASO_O_PROBLEMA")),TRUE,LEN(TRIM($E24))=0)</formula1>
    </dataValidation>
    <dataValidation sqref="E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IF(OR(ISNUMBER(MATCH($A25,TIPOS_OPCION_E,0)),OR($A25="SELECCION_MEJOR_RESPUESTA",$A25="SELECCION_SIMPLE",$A25="SELECCION_UNICA",$A25="SELECCION_DE_LA_MEJOR_RESPUESTA",$A25="SUBITEM_CASO",$A25="SUBITEM_DE_CASO_O_PROBLEMA")),TRUE,LEN(TRIM($E25))=0)</formula1>
    </dataValidation>
    <dataValidation sqref="E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IF(OR(ISNUMBER(MATCH($A26,TIPOS_OPCION_E,0)),OR($A26="SELECCION_MEJOR_RESPUESTA",$A26="SELECCION_SIMPLE",$A26="SELECCION_UNICA",$A26="SELECCION_DE_LA_MEJOR_RESPUESTA",$A26="SUBITEM_CASO",$A26="SUBITEM_DE_CASO_O_PROBLEMA")),TRUE,LEN(TRIM($E26))=0)</formula1>
    </dataValidation>
    <dataValidation sqref="E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IF(OR(ISNUMBER(MATCH($A27,TIPOS_OPCION_E,0)),OR($A27="SELECCION_MEJOR_RESPUESTA",$A27="SELECCION_SIMPLE",$A27="SELECCION_UNICA",$A27="SELECCION_DE_LA_MEJOR_RESPUESTA",$A27="SUBITEM_CASO",$A27="SUBITEM_DE_CASO_O_PROBLEMA")),TRUE,LEN(TRIM($E27))=0)</formula1>
    </dataValidation>
    <dataValidation sqref="E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IF(OR(ISNUMBER(MATCH($A28,TIPOS_OPCION_E,0)),OR($A28="SELECCION_MEJOR_RESPUESTA",$A28="SELECCION_SIMPLE",$A28="SELECCION_UNICA",$A28="SELECCION_DE_LA_MEJOR_RESPUESTA",$A28="SUBITEM_CASO",$A28="SUBITEM_DE_CASO_O_PROBLEMA")),TRUE,LEN(TRIM($E28))=0)</formula1>
    </dataValidation>
    <dataValidation sqref="E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IF(OR(ISNUMBER(MATCH($A29,TIPOS_OPCION_E,0)),OR($A29="SELECCION_MEJOR_RESPUESTA",$A29="SELECCION_SIMPLE",$A29="SELECCION_UNICA",$A29="SELECCION_DE_LA_MEJOR_RESPUESTA",$A29="SUBITEM_CASO",$A29="SUBITEM_DE_CASO_O_PROBLEMA")),TRUE,LEN(TRIM($E29))=0)</formula1>
    </dataValidation>
    <dataValidation sqref="E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IF(OR(ISNUMBER(MATCH($A3,TIPOS_OPCION_E,0)),OR($A3="SELECCION_MEJOR_RESPUESTA",$A3="SELECCION_SIMPLE",$A3="SELECCION_UNICA",$A3="SELECCION_DE_LA_MEJOR_RESPUESTA",$A3="SUBITEM_CASO",$A3="SUBITEM_DE_CASO_O_PROBLEMA")),TRUE,LEN(TRIM($E3))=0)</formula1>
    </dataValidation>
    <dataValidation sqref="E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IF(OR(ISNUMBER(MATCH($A30,TIPOS_OPCION_E,0)),OR($A30="SELECCION_MEJOR_RESPUESTA",$A30="SELECCION_SIMPLE",$A30="SELECCION_UNICA",$A30="SELECCION_DE_LA_MEJOR_RESPUESTA",$A30="SUBITEM_CASO",$A30="SUBITEM_DE_CASO_O_PROBLEMA")),TRUE,LEN(TRIM($E30))=0)</formula1>
    </dataValidation>
    <dataValidation sqref="E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IF(OR(ISNUMBER(MATCH($A31,TIPOS_OPCION_E,0)),OR($A31="SELECCION_MEJOR_RESPUESTA",$A31="SELECCION_SIMPLE",$A31="SELECCION_UNICA",$A31="SELECCION_DE_LA_MEJOR_RESPUESTA",$A31="SUBITEM_CASO",$A31="SUBITEM_DE_CASO_O_PROBLEMA")),TRUE,LEN(TRIM($E31))=0)</formula1>
    </dataValidation>
    <dataValidation sqref="E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IF(OR(ISNUMBER(MATCH($A32,TIPOS_OPCION_E,0)),OR($A32="SELECCION_MEJOR_RESPUESTA",$A32="SELECCION_SIMPLE",$A32="SELECCION_UNICA",$A32="SELECCION_DE_LA_MEJOR_RESPUESTA",$A32="SUBITEM_CASO",$A32="SUBITEM_DE_CASO_O_PROBLEMA")),TRUE,LEN(TRIM($E32))=0)</formula1>
    </dataValidation>
    <dataValidation sqref="E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IF(OR(ISNUMBER(MATCH($A33,TIPOS_OPCION_E,0)),OR($A33="SELECCION_MEJOR_RESPUESTA",$A33="SELECCION_SIMPLE",$A33="SELECCION_UNICA",$A33="SELECCION_DE_LA_MEJOR_RESPUESTA",$A33="SUBITEM_CASO",$A33="SUBITEM_DE_CASO_O_PROBLEMA")),TRUE,LEN(TRIM($E33))=0)</formula1>
    </dataValidation>
    <dataValidation sqref="E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IF(OR(ISNUMBER(MATCH($A34,TIPOS_OPCION_E,0)),OR($A34="SELECCION_MEJOR_RESPUESTA",$A34="SELECCION_SIMPLE",$A34="SELECCION_UNICA",$A34="SELECCION_DE_LA_MEJOR_RESPUESTA",$A34="SUBITEM_CASO",$A34="SUBITEM_DE_CASO_O_PROBLEMA")),TRUE,LEN(TRIM($E34))=0)</formula1>
    </dataValidation>
    <dataValidation sqref="E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IF(OR(ISNUMBER(MATCH($A35,TIPOS_OPCION_E,0)),OR($A35="SELECCION_MEJOR_RESPUESTA",$A35="SELECCION_SIMPLE",$A35="SELECCION_UNICA",$A35="SELECCION_DE_LA_MEJOR_RESPUESTA",$A35="SUBITEM_CASO",$A35="SUBITEM_DE_CASO_O_PROBLEMA")),TRUE,LEN(TRIM($E35))=0)</formula1>
    </dataValidation>
    <dataValidation sqref="E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IF(OR(ISNUMBER(MATCH($A36,TIPOS_OPCION_E,0)),OR($A36="SELECCION_MEJOR_RESPUESTA",$A36="SELECCION_SIMPLE",$A36="SELECCION_UNICA",$A36="SELECCION_DE_LA_MEJOR_RESPUESTA",$A36="SUBITEM_CASO",$A36="SUBITEM_DE_CASO_O_PROBLEMA")),TRUE,LEN(TRIM($E36))=0)</formula1>
    </dataValidation>
    <dataValidation sqref="E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IF(OR(ISNUMBER(MATCH($A37,TIPOS_OPCION_E,0)),OR($A37="SELECCION_MEJOR_RESPUESTA",$A37="SELECCION_SIMPLE",$A37="SELECCION_UNICA",$A37="SELECCION_DE_LA_MEJOR_RESPUESTA",$A37="SUBITEM_CASO",$A37="SUBITEM_DE_CASO_O_PROBLEMA")),TRUE,LEN(TRIM($E37))=0)</formula1>
    </dataValidation>
    <dataValidation sqref="E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IF(OR(ISNUMBER(MATCH($A38,TIPOS_OPCION_E,0)),OR($A38="SELECCION_MEJOR_RESPUESTA",$A38="SELECCION_SIMPLE",$A38="SELECCION_UNICA",$A38="SELECCION_DE_LA_MEJOR_RESPUESTA",$A38="SUBITEM_CASO",$A38="SUBITEM_DE_CASO_O_PROBLEMA")),TRUE,LEN(TRIM($E38))=0)</formula1>
    </dataValidation>
    <dataValidation sqref="E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IF(OR(ISNUMBER(MATCH($A39,TIPOS_OPCION_E,0)),OR($A39="SELECCION_MEJOR_RESPUESTA",$A39="SELECCION_SIMPLE",$A39="SELECCION_UNICA",$A39="SELECCION_DE_LA_MEJOR_RESPUESTA",$A39="SUBITEM_CASO",$A39="SUBITEM_DE_CASO_O_PROBLEMA")),TRUE,LEN(TRIM($E39))=0)</formula1>
    </dataValidation>
    <dataValidation sqref="E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IF(OR(ISNUMBER(MATCH($A4,TIPOS_OPCION_E,0)),OR($A4="SELECCION_MEJOR_RESPUESTA",$A4="SELECCION_SIMPLE",$A4="SELECCION_UNICA",$A4="SELECCION_DE_LA_MEJOR_RESPUESTA",$A4="SUBITEM_CASO",$A4="SUBITEM_DE_CASO_O_PROBLEMA")),TRUE,LEN(TRIM($E4))=0)</formula1>
    </dataValidation>
    <dataValidation sqref="E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IF(OR(ISNUMBER(MATCH($A40,TIPOS_OPCION_E,0)),OR($A40="SELECCION_MEJOR_RESPUESTA",$A40="SELECCION_SIMPLE",$A40="SELECCION_UNICA",$A40="SELECCION_DE_LA_MEJOR_RESPUESTA",$A40="SUBITEM_CASO",$A40="SUBITEM_DE_CASO_O_PROBLEMA")),TRUE,LEN(TRIM($E40))=0)</formula1>
    </dataValidation>
    <dataValidation sqref="E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IF(OR(ISNUMBER(MATCH($A41,TIPOS_OPCION_E,0)),OR($A41="SELECCION_MEJOR_RESPUESTA",$A41="SELECCION_SIMPLE",$A41="SELECCION_UNICA",$A41="SELECCION_DE_LA_MEJOR_RESPUESTA",$A41="SUBITEM_CASO",$A41="SUBITEM_DE_CASO_O_PROBLEMA")),TRUE,LEN(TRIM($E41))=0)</formula1>
    </dataValidation>
    <dataValidation sqref="E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IF(OR(ISNUMBER(MATCH($A42,TIPOS_OPCION_E,0)),OR($A42="SELECCION_MEJOR_RESPUESTA",$A42="SELECCION_SIMPLE",$A42="SELECCION_UNICA",$A42="SELECCION_DE_LA_MEJOR_RESPUESTA",$A42="SUBITEM_CASO",$A42="SUBITEM_DE_CASO_O_PROBLEMA")),TRUE,LEN(TRIM($E42))=0)</formula1>
    </dataValidation>
    <dataValidation sqref="E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IF(OR(ISNUMBER(MATCH($A43,TIPOS_OPCION_E,0)),OR($A43="SELECCION_MEJOR_RESPUESTA",$A43="SELECCION_SIMPLE",$A43="SELECCION_UNICA",$A43="SELECCION_DE_LA_MEJOR_RESPUESTA",$A43="SUBITEM_CASO",$A43="SUBITEM_DE_CASO_O_PROBLEMA")),TRUE,LEN(TRIM($E43))=0)</formula1>
    </dataValidation>
    <dataValidation sqref="E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IF(OR(ISNUMBER(MATCH($A44,TIPOS_OPCION_E,0)),OR($A44="SELECCION_MEJOR_RESPUESTA",$A44="SELECCION_SIMPLE",$A44="SELECCION_UNICA",$A44="SELECCION_DE_LA_MEJOR_RESPUESTA",$A44="SUBITEM_CASO",$A44="SUBITEM_DE_CASO_O_PROBLEMA")),TRUE,LEN(TRIM($E44))=0)</formula1>
    </dataValidation>
    <dataValidation sqref="E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IF(OR(ISNUMBER(MATCH($A45,TIPOS_OPCION_E,0)),OR($A45="SELECCION_MEJOR_RESPUESTA",$A45="SELECCION_SIMPLE",$A45="SELECCION_UNICA",$A45="SELECCION_DE_LA_MEJOR_RESPUESTA",$A45="SUBITEM_CASO",$A45="SUBITEM_DE_CASO_O_PROBLEMA")),TRUE,LEN(TRIM($E45))=0)</formula1>
    </dataValidation>
    <dataValidation sqref="E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IF(OR(ISNUMBER(MATCH($A46,TIPOS_OPCION_E,0)),OR($A46="SELECCION_MEJOR_RESPUESTA",$A46="SELECCION_SIMPLE",$A46="SELECCION_UNICA",$A46="SELECCION_DE_LA_MEJOR_RESPUESTA",$A46="SUBITEM_CASO",$A46="SUBITEM_DE_CASO_O_PROBLEMA")),TRUE,LEN(TRIM($E46))=0)</formula1>
    </dataValidation>
    <dataValidation sqref="E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IF(OR(ISNUMBER(MATCH($A47,TIPOS_OPCION_E,0)),OR($A47="SELECCION_MEJOR_RESPUESTA",$A47="SELECCION_SIMPLE",$A47="SELECCION_UNICA",$A47="SELECCION_DE_LA_MEJOR_RESPUESTA",$A47="SUBITEM_CASO",$A47="SUBITEM_DE_CASO_O_PROBLEMA")),TRUE,LEN(TRIM($E47))=0)</formula1>
    </dataValidation>
    <dataValidation sqref="E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IF(OR(ISNUMBER(MATCH($A48,TIPOS_OPCION_E,0)),OR($A48="SELECCION_MEJOR_RESPUESTA",$A48="SELECCION_SIMPLE",$A48="SELECCION_UNICA",$A48="SELECCION_DE_LA_MEJOR_RESPUESTA",$A48="SUBITEM_CASO",$A48="SUBITEM_DE_CASO_O_PROBLEMA")),TRUE,LEN(TRIM($E48))=0)</formula1>
    </dataValidation>
    <dataValidation sqref="E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IF(OR(ISNUMBER(MATCH($A49,TIPOS_OPCION_E,0)),OR($A49="SELECCION_MEJOR_RESPUESTA",$A49="SELECCION_SIMPLE",$A49="SELECCION_UNICA",$A49="SELECCION_DE_LA_MEJOR_RESPUESTA",$A49="SUBITEM_CASO",$A49="SUBITEM_DE_CASO_O_PROBLEMA")),TRUE,LEN(TRIM($E49))=0)</formula1>
    </dataValidation>
    <dataValidation sqref="E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IF(OR(ISNUMBER(MATCH($A5,TIPOS_OPCION_E,0)),OR($A5="SELECCION_MEJOR_RESPUESTA",$A5="SELECCION_SIMPLE",$A5="SELECCION_UNICA",$A5="SELECCION_DE_LA_MEJOR_RESPUESTA",$A5="SUBITEM_CASO",$A5="SUBITEM_DE_CASO_O_PROBLEMA")),TRUE,LEN(TRIM($E5))=0)</formula1>
    </dataValidation>
    <dataValidation sqref="E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IF(OR(ISNUMBER(MATCH($A50,TIPOS_OPCION_E,0)),OR($A50="SELECCION_MEJOR_RESPUESTA",$A50="SELECCION_SIMPLE",$A50="SELECCION_UNICA",$A50="SELECCION_DE_LA_MEJOR_RESPUESTA",$A50="SUBITEM_CASO",$A50="SUBITEM_DE_CASO_O_PROBLEMA")),TRUE,LEN(TRIM($E50))=0)</formula1>
    </dataValidation>
    <dataValidation sqref="E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IF(OR(ISNUMBER(MATCH($A51,TIPOS_OPCION_E,0)),OR($A51="SELECCION_MEJOR_RESPUESTA",$A51="SELECCION_SIMPLE",$A51="SELECCION_UNICA",$A51="SELECCION_DE_LA_MEJOR_RESPUESTA",$A51="SUBITEM_CASO",$A51="SUBITEM_DE_CASO_O_PROBLEMA")),TRUE,LEN(TRIM($E51))=0)</formula1>
    </dataValidation>
    <dataValidation sqref="E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IF(OR(ISNUMBER(MATCH($A52,TIPOS_OPCION_E,0)),OR($A52="SELECCION_MEJOR_RESPUESTA",$A52="SELECCION_SIMPLE",$A52="SELECCION_UNICA",$A52="SELECCION_DE_LA_MEJOR_RESPUESTA",$A52="SUBITEM_CASO",$A52="SUBITEM_DE_CASO_O_PROBLEMA")),TRUE,LEN(TRIM($E52))=0)</formula1>
    </dataValidation>
    <dataValidation sqref="E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IF(OR(ISNUMBER(MATCH($A53,TIPOS_OPCION_E,0)),OR($A53="SELECCION_MEJOR_RESPUESTA",$A53="SELECCION_SIMPLE",$A53="SELECCION_UNICA",$A53="SELECCION_DE_LA_MEJOR_RESPUESTA",$A53="SUBITEM_CASO",$A53="SUBITEM_DE_CASO_O_PROBLEMA")),TRUE,LEN(TRIM($E53))=0)</formula1>
    </dataValidation>
    <dataValidation sqref="E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IF(OR(ISNUMBER(MATCH($A54,TIPOS_OPCION_E,0)),OR($A54="SELECCION_MEJOR_RESPUESTA",$A54="SELECCION_SIMPLE",$A54="SELECCION_UNICA",$A54="SELECCION_DE_LA_MEJOR_RESPUESTA",$A54="SUBITEM_CASO",$A54="SUBITEM_DE_CASO_O_PROBLEMA")),TRUE,LEN(TRIM($E54))=0)</formula1>
    </dataValidation>
    <dataValidation sqref="E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IF(OR(ISNUMBER(MATCH($A55,TIPOS_OPCION_E,0)),OR($A55="SELECCION_MEJOR_RESPUESTA",$A55="SELECCION_SIMPLE",$A55="SELECCION_UNICA",$A55="SELECCION_DE_LA_MEJOR_RESPUESTA",$A55="SUBITEM_CASO",$A55="SUBITEM_DE_CASO_O_PROBLEMA")),TRUE,LEN(TRIM($E55))=0)</formula1>
    </dataValidation>
    <dataValidation sqref="E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IF(OR(ISNUMBER(MATCH($A56,TIPOS_OPCION_E,0)),OR($A56="SELECCION_MEJOR_RESPUESTA",$A56="SELECCION_SIMPLE",$A56="SELECCION_UNICA",$A56="SELECCION_DE_LA_MEJOR_RESPUESTA",$A56="SUBITEM_CASO",$A56="SUBITEM_DE_CASO_O_PROBLEMA")),TRUE,LEN(TRIM($E56))=0)</formula1>
    </dataValidation>
    <dataValidation sqref="E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IF(OR(ISNUMBER(MATCH($A57,TIPOS_OPCION_E,0)),OR($A57="SELECCION_MEJOR_RESPUESTA",$A57="SELECCION_SIMPLE",$A57="SELECCION_UNICA",$A57="SELECCION_DE_LA_MEJOR_RESPUESTA",$A57="SUBITEM_CASO",$A57="SUBITEM_DE_CASO_O_PROBLEMA")),TRUE,LEN(TRIM($E57))=0)</formula1>
    </dataValidation>
    <dataValidation sqref="E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IF(OR(ISNUMBER(MATCH($A58,TIPOS_OPCION_E,0)),OR($A58="SELECCION_MEJOR_RESPUESTA",$A58="SELECCION_SIMPLE",$A58="SELECCION_UNICA",$A58="SELECCION_DE_LA_MEJOR_RESPUESTA",$A58="SUBITEM_CASO",$A58="SUBITEM_DE_CASO_O_PROBLEMA")),TRUE,LEN(TRIM($E58))=0)</formula1>
    </dataValidation>
    <dataValidation sqref="E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IF(OR(ISNUMBER(MATCH($A59,TIPOS_OPCION_E,0)),OR($A59="SELECCION_MEJOR_RESPUESTA",$A59="SELECCION_SIMPLE",$A59="SELECCION_UNICA",$A59="SELECCION_DE_LA_MEJOR_RESPUESTA",$A59="SUBITEM_CASO",$A59="SUBITEM_DE_CASO_O_PROBLEMA")),TRUE,LEN(TRIM($E59))=0)</formula1>
    </dataValidation>
    <dataValidation sqref="E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IF(OR(ISNUMBER(MATCH($A6,TIPOS_OPCION_E,0)),OR($A6="SELECCION_MEJOR_RESPUESTA",$A6="SELECCION_SIMPLE",$A6="SELECCION_UNICA",$A6="SELECCION_DE_LA_MEJOR_RESPUESTA",$A6="SUBITEM_CASO",$A6="SUBITEM_DE_CASO_O_PROBLEMA")),TRUE,LEN(TRIM($E6))=0)</formula1>
    </dataValidation>
    <dataValidation sqref="E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IF(OR(ISNUMBER(MATCH($A60,TIPOS_OPCION_E,0)),OR($A60="SELECCION_MEJOR_RESPUESTA",$A60="SELECCION_SIMPLE",$A60="SELECCION_UNICA",$A60="SELECCION_DE_LA_MEJOR_RESPUESTA",$A60="SUBITEM_CASO",$A60="SUBITEM_DE_CASO_O_PROBLEMA")),TRUE,LEN(TRIM($E60))=0)</formula1>
    </dataValidation>
    <dataValidation sqref="E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IF(OR(ISNUMBER(MATCH($A61,TIPOS_OPCION_E,0)),OR($A61="SELECCION_MEJOR_RESPUESTA",$A61="SELECCION_SIMPLE",$A61="SELECCION_UNICA",$A61="SELECCION_DE_LA_MEJOR_RESPUESTA",$A61="SUBITEM_CASO",$A61="SUBITEM_DE_CASO_O_PROBLEMA")),TRUE,LEN(TRIM($E61))=0)</formula1>
    </dataValidation>
    <dataValidation sqref="E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IF(OR(ISNUMBER(MATCH($A7,TIPOS_OPCION_E,0)),OR($A7="SELECCION_MEJOR_RESPUESTA",$A7="SELECCION_SIMPLE",$A7="SELECCION_UNICA",$A7="SELECCION_DE_LA_MEJOR_RESPUESTA",$A7="SUBITEM_CASO",$A7="SUBITEM_DE_CASO_O_PROBLEMA")),TRUE,LEN(TRIM($E7))=0)</formula1>
    </dataValidation>
    <dataValidation sqref="E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IF(OR(ISNUMBER(MATCH($A8,TIPOS_OPCION_E,0)),OR($A8="SELECCION_MEJOR_RESPUESTA",$A8="SELECCION_SIMPLE",$A8="SELECCION_UNICA",$A8="SELECCION_DE_LA_MEJOR_RESPUESTA",$A8="SUBITEM_CASO",$A8="SUBITEM_DE_CASO_O_PROBLEMA")),TRUE,LEN(TRIM($E8))=0)</formula1>
    </dataValidation>
    <dataValidation sqref="E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IF(OR(ISNUMBER(MATCH($A9,TIPOS_OPCION_E,0)),OR($A9="SELECCION_MEJOR_RESPUESTA",$A9="SELECCION_SIMPLE",$A9="SELECCION_UNICA",$A9="SELECCION_DE_LA_MEJOR_RESPUESTA",$A9="SUBITEM_CASO",$A9="SUBITEM_DE_CASO_O_PROBLEMA")),TRUE,LEN(TRIM($E9))=0)</formula1>
    </dataValidation>
    <dataValidation sqref="F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IF(OR(ISNUMBER(MATCH($A10,TIPOS_OPCION_F,0)),OR($A10="SELECCION_MEJOR_RESPUESTA",$A10="SELECCION_SIMPLE",$A10="SELECCION_UNICA",$A10="SELECCION_DE_LA_MEJOR_RESPUESTA",$A10="SUBITEM_CASO",$A10="SUBITEM_DE_CASO_O_PROBLEMA")),TRUE,LEN(TRIM($F10))=0)</formula1>
    </dataValidation>
    <dataValidation sqref="F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IF(OR(ISNUMBER(MATCH($A11,TIPOS_OPCION_F,0)),OR($A11="SELECCION_MEJOR_RESPUESTA",$A11="SELECCION_SIMPLE",$A11="SELECCION_UNICA",$A11="SELECCION_DE_LA_MEJOR_RESPUESTA",$A11="SUBITEM_CASO",$A11="SUBITEM_DE_CASO_O_PROBLEMA")),TRUE,LEN(TRIM($F11))=0)</formula1>
    </dataValidation>
    <dataValidation sqref="F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IF(OR(ISNUMBER(MATCH($A12,TIPOS_OPCION_F,0)),OR($A12="SELECCION_MEJOR_RESPUESTA",$A12="SELECCION_SIMPLE",$A12="SELECCION_UNICA",$A12="SELECCION_DE_LA_MEJOR_RESPUESTA",$A12="SUBITEM_CASO",$A12="SUBITEM_DE_CASO_O_PROBLEMA")),TRUE,LEN(TRIM($F12))=0)</formula1>
    </dataValidation>
    <dataValidation sqref="F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IF(OR(ISNUMBER(MATCH($A13,TIPOS_OPCION_F,0)),OR($A13="SELECCION_MEJOR_RESPUESTA",$A13="SELECCION_SIMPLE",$A13="SELECCION_UNICA",$A13="SELECCION_DE_LA_MEJOR_RESPUESTA",$A13="SUBITEM_CASO",$A13="SUBITEM_DE_CASO_O_PROBLEMA")),TRUE,LEN(TRIM($F13))=0)</formula1>
    </dataValidation>
    <dataValidation sqref="F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IF(OR(ISNUMBER(MATCH($A14,TIPOS_OPCION_F,0)),OR($A14="SELECCION_MEJOR_RESPUESTA",$A14="SELECCION_SIMPLE",$A14="SELECCION_UNICA",$A14="SELECCION_DE_LA_MEJOR_RESPUESTA",$A14="SUBITEM_CASO",$A14="SUBITEM_DE_CASO_O_PROBLEMA")),TRUE,LEN(TRIM($F14))=0)</formula1>
    </dataValidation>
    <dataValidation sqref="F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IF(OR(ISNUMBER(MATCH($A15,TIPOS_OPCION_F,0)),OR($A15="SELECCION_MEJOR_RESPUESTA",$A15="SELECCION_SIMPLE",$A15="SELECCION_UNICA",$A15="SELECCION_DE_LA_MEJOR_RESPUESTA",$A15="SUBITEM_CASO",$A15="SUBITEM_DE_CASO_O_PROBLEMA")),TRUE,LEN(TRIM($F15))=0)</formula1>
    </dataValidation>
    <dataValidation sqref="F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IF(OR(ISNUMBER(MATCH($A16,TIPOS_OPCION_F,0)),OR($A16="SELECCION_MEJOR_RESPUESTA",$A16="SELECCION_SIMPLE",$A16="SELECCION_UNICA",$A16="SELECCION_DE_LA_MEJOR_RESPUESTA",$A16="SUBITEM_CASO",$A16="SUBITEM_DE_CASO_O_PROBLEMA")),TRUE,LEN(TRIM($F16))=0)</formula1>
    </dataValidation>
    <dataValidation sqref="F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IF(OR(ISNUMBER(MATCH($A17,TIPOS_OPCION_F,0)),OR($A17="SELECCION_MEJOR_RESPUESTA",$A17="SELECCION_SIMPLE",$A17="SELECCION_UNICA",$A17="SELECCION_DE_LA_MEJOR_RESPUESTA",$A17="SUBITEM_CASO",$A17="SUBITEM_DE_CASO_O_PROBLEMA")),TRUE,LEN(TRIM($F17))=0)</formula1>
    </dataValidation>
    <dataValidation sqref="F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IF(OR(ISNUMBER(MATCH($A18,TIPOS_OPCION_F,0)),OR($A18="SELECCION_MEJOR_RESPUESTA",$A18="SELECCION_SIMPLE",$A18="SELECCION_UNICA",$A18="SELECCION_DE_LA_MEJOR_RESPUESTA",$A18="SUBITEM_CASO",$A18="SUBITEM_DE_CASO_O_PROBLEMA")),TRUE,LEN(TRIM($F18))=0)</formula1>
    </dataValidation>
    <dataValidation sqref="F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IF(OR(ISNUMBER(MATCH($A19,TIPOS_OPCION_F,0)),OR($A19="SELECCION_MEJOR_RESPUESTA",$A19="SELECCION_SIMPLE",$A19="SELECCION_UNICA",$A19="SELECCION_DE_LA_MEJOR_RESPUESTA",$A19="SUBITEM_CASO",$A19="SUBITEM_DE_CASO_O_PROBLEMA")),TRUE,LEN(TRIM($F19))=0)</formula1>
    </dataValidation>
    <dataValidation sqref="F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IF(OR(ISNUMBER(MATCH($A2,TIPOS_OPCION_F,0)),OR($A2="SELECCION_MEJOR_RESPUESTA",$A2="SELECCION_SIMPLE",$A2="SELECCION_UNICA",$A2="SELECCION_DE_LA_MEJOR_RESPUESTA",$A2="SUBITEM_CASO",$A2="SUBITEM_DE_CASO_O_PROBLEMA")),TRUE,LEN(TRIM($F2))=0)</formula1>
    </dataValidation>
    <dataValidation sqref="F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IF(OR(ISNUMBER(MATCH($A20,TIPOS_OPCION_F,0)),OR($A20="SELECCION_MEJOR_RESPUESTA",$A20="SELECCION_SIMPLE",$A20="SELECCION_UNICA",$A20="SELECCION_DE_LA_MEJOR_RESPUESTA",$A20="SUBITEM_CASO",$A20="SUBITEM_DE_CASO_O_PROBLEMA")),TRUE,LEN(TRIM($F20))=0)</formula1>
    </dataValidation>
    <dataValidation sqref="F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IF(OR(ISNUMBER(MATCH($A21,TIPOS_OPCION_F,0)),OR($A21="SELECCION_MEJOR_RESPUESTA",$A21="SELECCION_SIMPLE",$A21="SELECCION_UNICA",$A21="SELECCION_DE_LA_MEJOR_RESPUESTA",$A21="SUBITEM_CASO",$A21="SUBITEM_DE_CASO_O_PROBLEMA")),TRUE,LEN(TRIM($F21))=0)</formula1>
    </dataValidation>
    <dataValidation sqref="F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IF(OR(ISNUMBER(MATCH($A22,TIPOS_OPCION_F,0)),OR($A22="SELECCION_MEJOR_RESPUESTA",$A22="SELECCION_SIMPLE",$A22="SELECCION_UNICA",$A22="SELECCION_DE_LA_MEJOR_RESPUESTA",$A22="SUBITEM_CASO",$A22="SUBITEM_DE_CASO_O_PROBLEMA")),TRUE,LEN(TRIM($F22))=0)</formula1>
    </dataValidation>
    <dataValidation sqref="F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IF(OR(ISNUMBER(MATCH($A23,TIPOS_OPCION_F,0)),OR($A23="SELECCION_MEJOR_RESPUESTA",$A23="SELECCION_SIMPLE",$A23="SELECCION_UNICA",$A23="SELECCION_DE_LA_MEJOR_RESPUESTA",$A23="SUBITEM_CASO",$A23="SUBITEM_DE_CASO_O_PROBLEMA")),TRUE,LEN(TRIM($F23))=0)</formula1>
    </dataValidation>
    <dataValidation sqref="F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IF(OR(ISNUMBER(MATCH($A24,TIPOS_OPCION_F,0)),OR($A24="SELECCION_MEJOR_RESPUESTA",$A24="SELECCION_SIMPLE",$A24="SELECCION_UNICA",$A24="SELECCION_DE_LA_MEJOR_RESPUESTA",$A24="SUBITEM_CASO",$A24="SUBITEM_DE_CASO_O_PROBLEMA")),TRUE,LEN(TRIM($F24))=0)</formula1>
    </dataValidation>
    <dataValidation sqref="F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IF(OR(ISNUMBER(MATCH($A25,TIPOS_OPCION_F,0)),OR($A25="SELECCION_MEJOR_RESPUESTA",$A25="SELECCION_SIMPLE",$A25="SELECCION_UNICA",$A25="SELECCION_DE_LA_MEJOR_RESPUESTA",$A25="SUBITEM_CASO",$A25="SUBITEM_DE_CASO_O_PROBLEMA")),TRUE,LEN(TRIM($F25))=0)</formula1>
    </dataValidation>
    <dataValidation sqref="F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IF(OR(ISNUMBER(MATCH($A26,TIPOS_OPCION_F,0)),OR($A26="SELECCION_MEJOR_RESPUESTA",$A26="SELECCION_SIMPLE",$A26="SELECCION_UNICA",$A26="SELECCION_DE_LA_MEJOR_RESPUESTA",$A26="SUBITEM_CASO",$A26="SUBITEM_DE_CASO_O_PROBLEMA")),TRUE,LEN(TRIM($F26))=0)</formula1>
    </dataValidation>
    <dataValidation sqref="F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IF(OR(ISNUMBER(MATCH($A27,TIPOS_OPCION_F,0)),OR($A27="SELECCION_MEJOR_RESPUESTA",$A27="SELECCION_SIMPLE",$A27="SELECCION_UNICA",$A27="SELECCION_DE_LA_MEJOR_RESPUESTA",$A27="SUBITEM_CASO",$A27="SUBITEM_DE_CASO_O_PROBLEMA")),TRUE,LEN(TRIM($F27))=0)</formula1>
    </dataValidation>
    <dataValidation sqref="F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IF(OR(ISNUMBER(MATCH($A28,TIPOS_OPCION_F,0)),OR($A28="SELECCION_MEJOR_RESPUESTA",$A28="SELECCION_SIMPLE",$A28="SELECCION_UNICA",$A28="SELECCION_DE_LA_MEJOR_RESPUESTA",$A28="SUBITEM_CASO",$A28="SUBITEM_DE_CASO_O_PROBLEMA")),TRUE,LEN(TRIM($F28))=0)</formula1>
    </dataValidation>
    <dataValidation sqref="F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IF(OR(ISNUMBER(MATCH($A29,TIPOS_OPCION_F,0)),OR($A29="SELECCION_MEJOR_RESPUESTA",$A29="SELECCION_SIMPLE",$A29="SELECCION_UNICA",$A29="SELECCION_DE_LA_MEJOR_RESPUESTA",$A29="SUBITEM_CASO",$A29="SUBITEM_DE_CASO_O_PROBLEMA")),TRUE,LEN(TRIM($F29))=0)</formula1>
    </dataValidation>
    <dataValidation sqref="F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IF(OR(ISNUMBER(MATCH($A3,TIPOS_OPCION_F,0)),OR($A3="SELECCION_MEJOR_RESPUESTA",$A3="SELECCION_SIMPLE",$A3="SELECCION_UNICA",$A3="SELECCION_DE_LA_MEJOR_RESPUESTA",$A3="SUBITEM_CASO",$A3="SUBITEM_DE_CASO_O_PROBLEMA")),TRUE,LEN(TRIM($F3))=0)</formula1>
    </dataValidation>
    <dataValidation sqref="F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IF(OR(ISNUMBER(MATCH($A30,TIPOS_OPCION_F,0)),OR($A30="SELECCION_MEJOR_RESPUESTA",$A30="SELECCION_SIMPLE",$A30="SELECCION_UNICA",$A30="SELECCION_DE_LA_MEJOR_RESPUESTA",$A30="SUBITEM_CASO",$A30="SUBITEM_DE_CASO_O_PROBLEMA")),TRUE,LEN(TRIM($F30))=0)</formula1>
    </dataValidation>
    <dataValidation sqref="F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IF(OR(ISNUMBER(MATCH($A31,TIPOS_OPCION_F,0)),OR($A31="SELECCION_MEJOR_RESPUESTA",$A31="SELECCION_SIMPLE",$A31="SELECCION_UNICA",$A31="SELECCION_DE_LA_MEJOR_RESPUESTA",$A31="SUBITEM_CASO",$A31="SUBITEM_DE_CASO_O_PROBLEMA")),TRUE,LEN(TRIM($F31))=0)</formula1>
    </dataValidation>
    <dataValidation sqref="F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IF(OR(ISNUMBER(MATCH($A32,TIPOS_OPCION_F,0)),OR($A32="SELECCION_MEJOR_RESPUESTA",$A32="SELECCION_SIMPLE",$A32="SELECCION_UNICA",$A32="SELECCION_DE_LA_MEJOR_RESPUESTA",$A32="SUBITEM_CASO",$A32="SUBITEM_DE_CASO_O_PROBLEMA")),TRUE,LEN(TRIM($F32))=0)</formula1>
    </dataValidation>
    <dataValidation sqref="F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IF(OR(ISNUMBER(MATCH($A33,TIPOS_OPCION_F,0)),OR($A33="SELECCION_MEJOR_RESPUESTA",$A33="SELECCION_SIMPLE",$A33="SELECCION_UNICA",$A33="SELECCION_DE_LA_MEJOR_RESPUESTA",$A33="SUBITEM_CASO",$A33="SUBITEM_DE_CASO_O_PROBLEMA")),TRUE,LEN(TRIM($F33))=0)</formula1>
    </dataValidation>
    <dataValidation sqref="F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IF(OR(ISNUMBER(MATCH($A34,TIPOS_OPCION_F,0)),OR($A34="SELECCION_MEJOR_RESPUESTA",$A34="SELECCION_SIMPLE",$A34="SELECCION_UNICA",$A34="SELECCION_DE_LA_MEJOR_RESPUESTA",$A34="SUBITEM_CASO",$A34="SUBITEM_DE_CASO_O_PROBLEMA")),TRUE,LEN(TRIM($F34))=0)</formula1>
    </dataValidation>
    <dataValidation sqref="F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IF(OR(ISNUMBER(MATCH($A35,TIPOS_OPCION_F,0)),OR($A35="SELECCION_MEJOR_RESPUESTA",$A35="SELECCION_SIMPLE",$A35="SELECCION_UNICA",$A35="SELECCION_DE_LA_MEJOR_RESPUESTA",$A35="SUBITEM_CASO",$A35="SUBITEM_DE_CASO_O_PROBLEMA")),TRUE,LEN(TRIM($F35))=0)</formula1>
    </dataValidation>
    <dataValidation sqref="F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IF(OR(ISNUMBER(MATCH($A36,TIPOS_OPCION_F,0)),OR($A36="SELECCION_MEJOR_RESPUESTA",$A36="SELECCION_SIMPLE",$A36="SELECCION_UNICA",$A36="SELECCION_DE_LA_MEJOR_RESPUESTA",$A36="SUBITEM_CASO",$A36="SUBITEM_DE_CASO_O_PROBLEMA")),TRUE,LEN(TRIM($F36))=0)</formula1>
    </dataValidation>
    <dataValidation sqref="F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IF(OR(ISNUMBER(MATCH($A37,TIPOS_OPCION_F,0)),OR($A37="SELECCION_MEJOR_RESPUESTA",$A37="SELECCION_SIMPLE",$A37="SELECCION_UNICA",$A37="SELECCION_DE_LA_MEJOR_RESPUESTA",$A37="SUBITEM_CASO",$A37="SUBITEM_DE_CASO_O_PROBLEMA")),TRUE,LEN(TRIM($F37))=0)</formula1>
    </dataValidation>
    <dataValidation sqref="F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IF(OR(ISNUMBER(MATCH($A38,TIPOS_OPCION_F,0)),OR($A38="SELECCION_MEJOR_RESPUESTA",$A38="SELECCION_SIMPLE",$A38="SELECCION_UNICA",$A38="SELECCION_DE_LA_MEJOR_RESPUESTA",$A38="SUBITEM_CASO",$A38="SUBITEM_DE_CASO_O_PROBLEMA")),TRUE,LEN(TRIM($F38))=0)</formula1>
    </dataValidation>
    <dataValidation sqref="F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IF(OR(ISNUMBER(MATCH($A39,TIPOS_OPCION_F,0)),OR($A39="SELECCION_MEJOR_RESPUESTA",$A39="SELECCION_SIMPLE",$A39="SELECCION_UNICA",$A39="SELECCION_DE_LA_MEJOR_RESPUESTA",$A39="SUBITEM_CASO",$A39="SUBITEM_DE_CASO_O_PROBLEMA")),TRUE,LEN(TRIM($F39))=0)</formula1>
    </dataValidation>
    <dataValidation sqref="F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IF(OR(ISNUMBER(MATCH($A4,TIPOS_OPCION_F,0)),OR($A4="SELECCION_MEJOR_RESPUESTA",$A4="SELECCION_SIMPLE",$A4="SELECCION_UNICA",$A4="SELECCION_DE_LA_MEJOR_RESPUESTA",$A4="SUBITEM_CASO",$A4="SUBITEM_DE_CASO_O_PROBLEMA")),TRUE,LEN(TRIM($F4))=0)</formula1>
    </dataValidation>
    <dataValidation sqref="F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IF(OR(ISNUMBER(MATCH($A40,TIPOS_OPCION_F,0)),OR($A40="SELECCION_MEJOR_RESPUESTA",$A40="SELECCION_SIMPLE",$A40="SELECCION_UNICA",$A40="SELECCION_DE_LA_MEJOR_RESPUESTA",$A40="SUBITEM_CASO",$A40="SUBITEM_DE_CASO_O_PROBLEMA")),TRUE,LEN(TRIM($F40))=0)</formula1>
    </dataValidation>
    <dataValidation sqref="F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IF(OR(ISNUMBER(MATCH($A41,TIPOS_OPCION_F,0)),OR($A41="SELECCION_MEJOR_RESPUESTA",$A41="SELECCION_SIMPLE",$A41="SELECCION_UNICA",$A41="SELECCION_DE_LA_MEJOR_RESPUESTA",$A41="SUBITEM_CASO",$A41="SUBITEM_DE_CASO_O_PROBLEMA")),TRUE,LEN(TRIM($F41))=0)</formula1>
    </dataValidation>
    <dataValidation sqref="F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IF(OR(ISNUMBER(MATCH($A42,TIPOS_OPCION_F,0)),OR($A42="SELECCION_MEJOR_RESPUESTA",$A42="SELECCION_SIMPLE",$A42="SELECCION_UNICA",$A42="SELECCION_DE_LA_MEJOR_RESPUESTA",$A42="SUBITEM_CASO",$A42="SUBITEM_DE_CASO_O_PROBLEMA")),TRUE,LEN(TRIM($F42))=0)</formula1>
    </dataValidation>
    <dataValidation sqref="F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IF(OR(ISNUMBER(MATCH($A43,TIPOS_OPCION_F,0)),OR($A43="SELECCION_MEJOR_RESPUESTA",$A43="SELECCION_SIMPLE",$A43="SELECCION_UNICA",$A43="SELECCION_DE_LA_MEJOR_RESPUESTA",$A43="SUBITEM_CASO",$A43="SUBITEM_DE_CASO_O_PROBLEMA")),TRUE,LEN(TRIM($F43))=0)</formula1>
    </dataValidation>
    <dataValidation sqref="F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IF(OR(ISNUMBER(MATCH($A44,TIPOS_OPCION_F,0)),OR($A44="SELECCION_MEJOR_RESPUESTA",$A44="SELECCION_SIMPLE",$A44="SELECCION_UNICA",$A44="SELECCION_DE_LA_MEJOR_RESPUESTA",$A44="SUBITEM_CASO",$A44="SUBITEM_DE_CASO_O_PROBLEMA")),TRUE,LEN(TRIM($F44))=0)</formula1>
    </dataValidation>
    <dataValidation sqref="F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IF(OR(ISNUMBER(MATCH($A45,TIPOS_OPCION_F,0)),OR($A45="SELECCION_MEJOR_RESPUESTA",$A45="SELECCION_SIMPLE",$A45="SELECCION_UNICA",$A45="SELECCION_DE_LA_MEJOR_RESPUESTA",$A45="SUBITEM_CASO",$A45="SUBITEM_DE_CASO_O_PROBLEMA")),TRUE,LEN(TRIM($F45))=0)</formula1>
    </dataValidation>
    <dataValidation sqref="F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IF(OR(ISNUMBER(MATCH($A46,TIPOS_OPCION_F,0)),OR($A46="SELECCION_MEJOR_RESPUESTA",$A46="SELECCION_SIMPLE",$A46="SELECCION_UNICA",$A46="SELECCION_DE_LA_MEJOR_RESPUESTA",$A46="SUBITEM_CASO",$A46="SUBITEM_DE_CASO_O_PROBLEMA")),TRUE,LEN(TRIM($F46))=0)</formula1>
    </dataValidation>
    <dataValidation sqref="F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IF(OR(ISNUMBER(MATCH($A47,TIPOS_OPCION_F,0)),OR($A47="SELECCION_MEJOR_RESPUESTA",$A47="SELECCION_SIMPLE",$A47="SELECCION_UNICA",$A47="SELECCION_DE_LA_MEJOR_RESPUESTA",$A47="SUBITEM_CASO",$A47="SUBITEM_DE_CASO_O_PROBLEMA")),TRUE,LEN(TRIM($F47))=0)</formula1>
    </dataValidation>
    <dataValidation sqref="F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IF(OR(ISNUMBER(MATCH($A48,TIPOS_OPCION_F,0)),OR($A48="SELECCION_MEJOR_RESPUESTA",$A48="SELECCION_SIMPLE",$A48="SELECCION_UNICA",$A48="SELECCION_DE_LA_MEJOR_RESPUESTA",$A48="SUBITEM_CASO",$A48="SUBITEM_DE_CASO_O_PROBLEMA")),TRUE,LEN(TRIM($F48))=0)</formula1>
    </dataValidation>
    <dataValidation sqref="F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IF(OR(ISNUMBER(MATCH($A49,TIPOS_OPCION_F,0)),OR($A49="SELECCION_MEJOR_RESPUESTA",$A49="SELECCION_SIMPLE",$A49="SELECCION_UNICA",$A49="SELECCION_DE_LA_MEJOR_RESPUESTA",$A49="SUBITEM_CASO",$A49="SUBITEM_DE_CASO_O_PROBLEMA")),TRUE,LEN(TRIM($F49))=0)</formula1>
    </dataValidation>
    <dataValidation sqref="F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IF(OR(ISNUMBER(MATCH($A5,TIPOS_OPCION_F,0)),OR($A5="SELECCION_MEJOR_RESPUESTA",$A5="SELECCION_SIMPLE",$A5="SELECCION_UNICA",$A5="SELECCION_DE_LA_MEJOR_RESPUESTA",$A5="SUBITEM_CASO",$A5="SUBITEM_DE_CASO_O_PROBLEMA")),TRUE,LEN(TRIM($F5))=0)</formula1>
    </dataValidation>
    <dataValidation sqref="F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IF(OR(ISNUMBER(MATCH($A50,TIPOS_OPCION_F,0)),OR($A50="SELECCION_MEJOR_RESPUESTA",$A50="SELECCION_SIMPLE",$A50="SELECCION_UNICA",$A50="SELECCION_DE_LA_MEJOR_RESPUESTA",$A50="SUBITEM_CASO",$A50="SUBITEM_DE_CASO_O_PROBLEMA")),TRUE,LEN(TRIM($F50))=0)</formula1>
    </dataValidation>
    <dataValidation sqref="F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IF(OR(ISNUMBER(MATCH($A51,TIPOS_OPCION_F,0)),OR($A51="SELECCION_MEJOR_RESPUESTA",$A51="SELECCION_SIMPLE",$A51="SELECCION_UNICA",$A51="SELECCION_DE_LA_MEJOR_RESPUESTA",$A51="SUBITEM_CASO",$A51="SUBITEM_DE_CASO_O_PROBLEMA")),TRUE,LEN(TRIM($F51))=0)</formula1>
    </dataValidation>
    <dataValidation sqref="F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IF(OR(ISNUMBER(MATCH($A52,TIPOS_OPCION_F,0)),OR($A52="SELECCION_MEJOR_RESPUESTA",$A52="SELECCION_SIMPLE",$A52="SELECCION_UNICA",$A52="SELECCION_DE_LA_MEJOR_RESPUESTA",$A52="SUBITEM_CASO",$A52="SUBITEM_DE_CASO_O_PROBLEMA")),TRUE,LEN(TRIM($F52))=0)</formula1>
    </dataValidation>
    <dataValidation sqref="F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IF(OR(ISNUMBER(MATCH($A53,TIPOS_OPCION_F,0)),OR($A53="SELECCION_MEJOR_RESPUESTA",$A53="SELECCION_SIMPLE",$A53="SELECCION_UNICA",$A53="SELECCION_DE_LA_MEJOR_RESPUESTA",$A53="SUBITEM_CASO",$A53="SUBITEM_DE_CASO_O_PROBLEMA")),TRUE,LEN(TRIM($F53))=0)</formula1>
    </dataValidation>
    <dataValidation sqref="F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IF(OR(ISNUMBER(MATCH($A54,TIPOS_OPCION_F,0)),OR($A54="SELECCION_MEJOR_RESPUESTA",$A54="SELECCION_SIMPLE",$A54="SELECCION_UNICA",$A54="SELECCION_DE_LA_MEJOR_RESPUESTA",$A54="SUBITEM_CASO",$A54="SUBITEM_DE_CASO_O_PROBLEMA")),TRUE,LEN(TRIM($F54))=0)</formula1>
    </dataValidation>
    <dataValidation sqref="F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IF(OR(ISNUMBER(MATCH($A55,TIPOS_OPCION_F,0)),OR($A55="SELECCION_MEJOR_RESPUESTA",$A55="SELECCION_SIMPLE",$A55="SELECCION_UNICA",$A55="SELECCION_DE_LA_MEJOR_RESPUESTA",$A55="SUBITEM_CASO",$A55="SUBITEM_DE_CASO_O_PROBLEMA")),TRUE,LEN(TRIM($F55))=0)</formula1>
    </dataValidation>
    <dataValidation sqref="F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IF(OR(ISNUMBER(MATCH($A56,TIPOS_OPCION_F,0)),OR($A56="SELECCION_MEJOR_RESPUESTA",$A56="SELECCION_SIMPLE",$A56="SELECCION_UNICA",$A56="SELECCION_DE_LA_MEJOR_RESPUESTA",$A56="SUBITEM_CASO",$A56="SUBITEM_DE_CASO_O_PROBLEMA")),TRUE,LEN(TRIM($F56))=0)</formula1>
    </dataValidation>
    <dataValidation sqref="F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IF(OR(ISNUMBER(MATCH($A57,TIPOS_OPCION_F,0)),OR($A57="SELECCION_MEJOR_RESPUESTA",$A57="SELECCION_SIMPLE",$A57="SELECCION_UNICA",$A57="SELECCION_DE_LA_MEJOR_RESPUESTA",$A57="SUBITEM_CASO",$A57="SUBITEM_DE_CASO_O_PROBLEMA")),TRUE,LEN(TRIM($F57))=0)</formula1>
    </dataValidation>
    <dataValidation sqref="F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IF(OR(ISNUMBER(MATCH($A58,TIPOS_OPCION_F,0)),OR($A58="SELECCION_MEJOR_RESPUESTA",$A58="SELECCION_SIMPLE",$A58="SELECCION_UNICA",$A58="SELECCION_DE_LA_MEJOR_RESPUESTA",$A58="SUBITEM_CASO",$A58="SUBITEM_DE_CASO_O_PROBLEMA")),TRUE,LEN(TRIM($F58))=0)</formula1>
    </dataValidation>
    <dataValidation sqref="F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IF(OR(ISNUMBER(MATCH($A59,TIPOS_OPCION_F,0)),OR($A59="SELECCION_MEJOR_RESPUESTA",$A59="SELECCION_SIMPLE",$A59="SELECCION_UNICA",$A59="SELECCION_DE_LA_MEJOR_RESPUESTA",$A59="SUBITEM_CASO",$A59="SUBITEM_DE_CASO_O_PROBLEMA")),TRUE,LEN(TRIM($F59))=0)</formula1>
    </dataValidation>
    <dataValidation sqref="F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IF(OR(ISNUMBER(MATCH($A6,TIPOS_OPCION_F,0)),OR($A6="SELECCION_MEJOR_RESPUESTA",$A6="SELECCION_SIMPLE",$A6="SELECCION_UNICA",$A6="SELECCION_DE_LA_MEJOR_RESPUESTA",$A6="SUBITEM_CASO",$A6="SUBITEM_DE_CASO_O_PROBLEMA")),TRUE,LEN(TRIM($F6))=0)</formula1>
    </dataValidation>
    <dataValidation sqref="F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IF(OR(ISNUMBER(MATCH($A60,TIPOS_OPCION_F,0)),OR($A60="SELECCION_MEJOR_RESPUESTA",$A60="SELECCION_SIMPLE",$A60="SELECCION_UNICA",$A60="SELECCION_DE_LA_MEJOR_RESPUESTA",$A60="SUBITEM_CASO",$A60="SUBITEM_DE_CASO_O_PROBLEMA")),TRUE,LEN(TRIM($F60))=0)</formula1>
    </dataValidation>
    <dataValidation sqref="F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IF(OR(ISNUMBER(MATCH($A61,TIPOS_OPCION_F,0)),OR($A61="SELECCION_MEJOR_RESPUESTA",$A61="SELECCION_SIMPLE",$A61="SELECCION_UNICA",$A61="SELECCION_DE_LA_MEJOR_RESPUESTA",$A61="SUBITEM_CASO",$A61="SUBITEM_DE_CASO_O_PROBLEMA")),TRUE,LEN(TRIM($F61))=0)</formula1>
    </dataValidation>
    <dataValidation sqref="F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IF(OR(ISNUMBER(MATCH($A7,TIPOS_OPCION_F,0)),OR($A7="SELECCION_MEJOR_RESPUESTA",$A7="SELECCION_SIMPLE",$A7="SELECCION_UNICA",$A7="SELECCION_DE_LA_MEJOR_RESPUESTA",$A7="SUBITEM_CASO",$A7="SUBITEM_DE_CASO_O_PROBLEMA")),TRUE,LEN(TRIM($F7))=0)</formula1>
    </dataValidation>
    <dataValidation sqref="F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IF(OR(ISNUMBER(MATCH($A8,TIPOS_OPCION_F,0)),OR($A8="SELECCION_MEJOR_RESPUESTA",$A8="SELECCION_SIMPLE",$A8="SELECCION_UNICA",$A8="SELECCION_DE_LA_MEJOR_RESPUESTA",$A8="SUBITEM_CASO",$A8="SUBITEM_DE_CASO_O_PROBLEMA")),TRUE,LEN(TRIM($F8))=0)</formula1>
    </dataValidation>
    <dataValidation sqref="F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IF(OR(ISNUMBER(MATCH($A9,TIPOS_OPCION_F,0)),OR($A9="SELECCION_MEJOR_RESPUESTA",$A9="SELECCION_SIMPLE",$A9="SELECCION_UNICA",$A9="SELECCION_DE_LA_MEJOR_RESPUESTA",$A9="SUBITEM_CASO",$A9="SUBITEM_DE_CASO_O_PROBLEMA")),TRUE,LEN(TRIM($F9))=0)</formula1>
    </dataValidation>
    <dataValidation sqref="G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IF(OR(ISNUMBER(MATCH($A10,TIPOS_OPCION_G,0)),OR($A10="SELECCION_MEJOR_RESPUESTA",$A10="SELECCION_SIMPLE",$A10="SELECCION_UNICA",$A10="SELECCION_DE_LA_MEJOR_RESPUESTA",$A10="SUBITEM_CASO",$A10="SUBITEM_DE_CASO_O_PROBLEMA")),TRUE,LEN(TRIM($G10))=0)</formula1>
    </dataValidation>
    <dataValidation sqref="G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IF(OR(ISNUMBER(MATCH($A11,TIPOS_OPCION_G,0)),OR($A11="SELECCION_MEJOR_RESPUESTA",$A11="SELECCION_SIMPLE",$A11="SELECCION_UNICA",$A11="SELECCION_DE_LA_MEJOR_RESPUESTA",$A11="SUBITEM_CASO",$A11="SUBITEM_DE_CASO_O_PROBLEMA")),TRUE,LEN(TRIM($G11))=0)</formula1>
    </dataValidation>
    <dataValidation sqref="G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IF(OR(ISNUMBER(MATCH($A12,TIPOS_OPCION_G,0)),OR($A12="SELECCION_MEJOR_RESPUESTA",$A12="SELECCION_SIMPLE",$A12="SELECCION_UNICA",$A12="SELECCION_DE_LA_MEJOR_RESPUESTA",$A12="SUBITEM_CASO",$A12="SUBITEM_DE_CASO_O_PROBLEMA")),TRUE,LEN(TRIM($G12))=0)</formula1>
    </dataValidation>
    <dataValidation sqref="G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IF(OR(ISNUMBER(MATCH($A13,TIPOS_OPCION_G,0)),OR($A13="SELECCION_MEJOR_RESPUESTA",$A13="SELECCION_SIMPLE",$A13="SELECCION_UNICA",$A13="SELECCION_DE_LA_MEJOR_RESPUESTA",$A13="SUBITEM_CASO",$A13="SUBITEM_DE_CASO_O_PROBLEMA")),TRUE,LEN(TRIM($G13))=0)</formula1>
    </dataValidation>
    <dataValidation sqref="G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IF(OR(ISNUMBER(MATCH($A14,TIPOS_OPCION_G,0)),OR($A14="SELECCION_MEJOR_RESPUESTA",$A14="SELECCION_SIMPLE",$A14="SELECCION_UNICA",$A14="SELECCION_DE_LA_MEJOR_RESPUESTA",$A14="SUBITEM_CASO",$A14="SUBITEM_DE_CASO_O_PROBLEMA")),TRUE,LEN(TRIM($G14))=0)</formula1>
    </dataValidation>
    <dataValidation sqref="G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IF(OR(ISNUMBER(MATCH($A15,TIPOS_OPCION_G,0)),OR($A15="SELECCION_MEJOR_RESPUESTA",$A15="SELECCION_SIMPLE",$A15="SELECCION_UNICA",$A15="SELECCION_DE_LA_MEJOR_RESPUESTA",$A15="SUBITEM_CASO",$A15="SUBITEM_DE_CASO_O_PROBLEMA")),TRUE,LEN(TRIM($G15))=0)</formula1>
    </dataValidation>
    <dataValidation sqref="G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IF(OR(ISNUMBER(MATCH($A16,TIPOS_OPCION_G,0)),OR($A16="SELECCION_MEJOR_RESPUESTA",$A16="SELECCION_SIMPLE",$A16="SELECCION_UNICA",$A16="SELECCION_DE_LA_MEJOR_RESPUESTA",$A16="SUBITEM_CASO",$A16="SUBITEM_DE_CASO_O_PROBLEMA")),TRUE,LEN(TRIM($G16))=0)</formula1>
    </dataValidation>
    <dataValidation sqref="G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IF(OR(ISNUMBER(MATCH($A17,TIPOS_OPCION_G,0)),OR($A17="SELECCION_MEJOR_RESPUESTA",$A17="SELECCION_SIMPLE",$A17="SELECCION_UNICA",$A17="SELECCION_DE_LA_MEJOR_RESPUESTA",$A17="SUBITEM_CASO",$A17="SUBITEM_DE_CASO_O_PROBLEMA")),TRUE,LEN(TRIM($G17))=0)</formula1>
    </dataValidation>
    <dataValidation sqref="G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IF(OR(ISNUMBER(MATCH($A18,TIPOS_OPCION_G,0)),OR($A18="SELECCION_MEJOR_RESPUESTA",$A18="SELECCION_SIMPLE",$A18="SELECCION_UNICA",$A18="SELECCION_DE_LA_MEJOR_RESPUESTA",$A18="SUBITEM_CASO",$A18="SUBITEM_DE_CASO_O_PROBLEMA")),TRUE,LEN(TRIM($G18))=0)</formula1>
    </dataValidation>
    <dataValidation sqref="G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IF(OR(ISNUMBER(MATCH($A19,TIPOS_OPCION_G,0)),OR($A19="SELECCION_MEJOR_RESPUESTA",$A19="SELECCION_SIMPLE",$A19="SELECCION_UNICA",$A19="SELECCION_DE_LA_MEJOR_RESPUESTA",$A19="SUBITEM_CASO",$A19="SUBITEM_DE_CASO_O_PROBLEMA")),TRUE,LEN(TRIM($G19))=0)</formula1>
    </dataValidation>
    <dataValidation sqref="G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IF(OR(ISNUMBER(MATCH($A2,TIPOS_OPCION_G,0)),OR($A2="SELECCION_MEJOR_RESPUESTA",$A2="SELECCION_SIMPLE",$A2="SELECCION_UNICA",$A2="SELECCION_DE_LA_MEJOR_RESPUESTA",$A2="SUBITEM_CASO",$A2="SUBITEM_DE_CASO_O_PROBLEMA")),TRUE,LEN(TRIM($G2))=0)</formula1>
    </dataValidation>
    <dataValidation sqref="G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IF(OR(ISNUMBER(MATCH($A20,TIPOS_OPCION_G,0)),OR($A20="SELECCION_MEJOR_RESPUESTA",$A20="SELECCION_SIMPLE",$A20="SELECCION_UNICA",$A20="SELECCION_DE_LA_MEJOR_RESPUESTA",$A20="SUBITEM_CASO",$A20="SUBITEM_DE_CASO_O_PROBLEMA")),TRUE,LEN(TRIM($G20))=0)</formula1>
    </dataValidation>
    <dataValidation sqref="G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IF(OR(ISNUMBER(MATCH($A21,TIPOS_OPCION_G,0)),OR($A21="SELECCION_MEJOR_RESPUESTA",$A21="SELECCION_SIMPLE",$A21="SELECCION_UNICA",$A21="SELECCION_DE_LA_MEJOR_RESPUESTA",$A21="SUBITEM_CASO",$A21="SUBITEM_DE_CASO_O_PROBLEMA")),TRUE,LEN(TRIM($G21))=0)</formula1>
    </dataValidation>
    <dataValidation sqref="G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IF(OR(ISNUMBER(MATCH($A22,TIPOS_OPCION_G,0)),OR($A22="SELECCION_MEJOR_RESPUESTA",$A22="SELECCION_SIMPLE",$A22="SELECCION_UNICA",$A22="SELECCION_DE_LA_MEJOR_RESPUESTA",$A22="SUBITEM_CASO",$A22="SUBITEM_DE_CASO_O_PROBLEMA")),TRUE,LEN(TRIM($G22))=0)</formula1>
    </dataValidation>
    <dataValidation sqref="G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IF(OR(ISNUMBER(MATCH($A23,TIPOS_OPCION_G,0)),OR($A23="SELECCION_MEJOR_RESPUESTA",$A23="SELECCION_SIMPLE",$A23="SELECCION_UNICA",$A23="SELECCION_DE_LA_MEJOR_RESPUESTA",$A23="SUBITEM_CASO",$A23="SUBITEM_DE_CASO_O_PROBLEMA")),TRUE,LEN(TRIM($G23))=0)</formula1>
    </dataValidation>
    <dataValidation sqref="G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IF(OR(ISNUMBER(MATCH($A24,TIPOS_OPCION_G,0)),OR($A24="SELECCION_MEJOR_RESPUESTA",$A24="SELECCION_SIMPLE",$A24="SELECCION_UNICA",$A24="SELECCION_DE_LA_MEJOR_RESPUESTA",$A24="SUBITEM_CASO",$A24="SUBITEM_DE_CASO_O_PROBLEMA")),TRUE,LEN(TRIM($G24))=0)</formula1>
    </dataValidation>
    <dataValidation sqref="G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IF(OR(ISNUMBER(MATCH($A25,TIPOS_OPCION_G,0)),OR($A25="SELECCION_MEJOR_RESPUESTA",$A25="SELECCION_SIMPLE",$A25="SELECCION_UNICA",$A25="SELECCION_DE_LA_MEJOR_RESPUESTA",$A25="SUBITEM_CASO",$A25="SUBITEM_DE_CASO_O_PROBLEMA")),TRUE,LEN(TRIM($G25))=0)</formula1>
    </dataValidation>
    <dataValidation sqref="G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IF(OR(ISNUMBER(MATCH($A26,TIPOS_OPCION_G,0)),OR($A26="SELECCION_MEJOR_RESPUESTA",$A26="SELECCION_SIMPLE",$A26="SELECCION_UNICA",$A26="SELECCION_DE_LA_MEJOR_RESPUESTA",$A26="SUBITEM_CASO",$A26="SUBITEM_DE_CASO_O_PROBLEMA")),TRUE,LEN(TRIM($G26))=0)</formula1>
    </dataValidation>
    <dataValidation sqref="G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IF(OR(ISNUMBER(MATCH($A27,TIPOS_OPCION_G,0)),OR($A27="SELECCION_MEJOR_RESPUESTA",$A27="SELECCION_SIMPLE",$A27="SELECCION_UNICA",$A27="SELECCION_DE_LA_MEJOR_RESPUESTA",$A27="SUBITEM_CASO",$A27="SUBITEM_DE_CASO_O_PROBLEMA")),TRUE,LEN(TRIM($G27))=0)</formula1>
    </dataValidation>
    <dataValidation sqref="G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IF(OR(ISNUMBER(MATCH($A28,TIPOS_OPCION_G,0)),OR($A28="SELECCION_MEJOR_RESPUESTA",$A28="SELECCION_SIMPLE",$A28="SELECCION_UNICA",$A28="SELECCION_DE_LA_MEJOR_RESPUESTA",$A28="SUBITEM_CASO",$A28="SUBITEM_DE_CASO_O_PROBLEMA")),TRUE,LEN(TRIM($G28))=0)</formula1>
    </dataValidation>
    <dataValidation sqref="G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IF(OR(ISNUMBER(MATCH($A29,TIPOS_OPCION_G,0)),OR($A29="SELECCION_MEJOR_RESPUESTA",$A29="SELECCION_SIMPLE",$A29="SELECCION_UNICA",$A29="SELECCION_DE_LA_MEJOR_RESPUESTA",$A29="SUBITEM_CASO",$A29="SUBITEM_DE_CASO_O_PROBLEMA")),TRUE,LEN(TRIM($G29))=0)</formula1>
    </dataValidation>
    <dataValidation sqref="G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IF(OR(ISNUMBER(MATCH($A3,TIPOS_OPCION_G,0)),OR($A3="SELECCION_MEJOR_RESPUESTA",$A3="SELECCION_SIMPLE",$A3="SELECCION_UNICA",$A3="SELECCION_DE_LA_MEJOR_RESPUESTA",$A3="SUBITEM_CASO",$A3="SUBITEM_DE_CASO_O_PROBLEMA")),TRUE,LEN(TRIM($G3))=0)</formula1>
    </dataValidation>
    <dataValidation sqref="G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IF(OR(ISNUMBER(MATCH($A30,TIPOS_OPCION_G,0)),OR($A30="SELECCION_MEJOR_RESPUESTA",$A30="SELECCION_SIMPLE",$A30="SELECCION_UNICA",$A30="SELECCION_DE_LA_MEJOR_RESPUESTA",$A30="SUBITEM_CASO",$A30="SUBITEM_DE_CASO_O_PROBLEMA")),TRUE,LEN(TRIM($G30))=0)</formula1>
    </dataValidation>
    <dataValidation sqref="G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IF(OR(ISNUMBER(MATCH($A31,TIPOS_OPCION_G,0)),OR($A31="SELECCION_MEJOR_RESPUESTA",$A31="SELECCION_SIMPLE",$A31="SELECCION_UNICA",$A31="SELECCION_DE_LA_MEJOR_RESPUESTA",$A31="SUBITEM_CASO",$A31="SUBITEM_DE_CASO_O_PROBLEMA")),TRUE,LEN(TRIM($G31))=0)</formula1>
    </dataValidation>
    <dataValidation sqref="G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IF(OR(ISNUMBER(MATCH($A32,TIPOS_OPCION_G,0)),OR($A32="SELECCION_MEJOR_RESPUESTA",$A32="SELECCION_SIMPLE",$A32="SELECCION_UNICA",$A32="SELECCION_DE_LA_MEJOR_RESPUESTA",$A32="SUBITEM_CASO",$A32="SUBITEM_DE_CASO_O_PROBLEMA")),TRUE,LEN(TRIM($G32))=0)</formula1>
    </dataValidation>
    <dataValidation sqref="G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IF(OR(ISNUMBER(MATCH($A33,TIPOS_OPCION_G,0)),OR($A33="SELECCION_MEJOR_RESPUESTA",$A33="SELECCION_SIMPLE",$A33="SELECCION_UNICA",$A33="SELECCION_DE_LA_MEJOR_RESPUESTA",$A33="SUBITEM_CASO",$A33="SUBITEM_DE_CASO_O_PROBLEMA")),TRUE,LEN(TRIM($G33))=0)</formula1>
    </dataValidation>
    <dataValidation sqref="G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IF(OR(ISNUMBER(MATCH($A34,TIPOS_OPCION_G,0)),OR($A34="SELECCION_MEJOR_RESPUESTA",$A34="SELECCION_SIMPLE",$A34="SELECCION_UNICA",$A34="SELECCION_DE_LA_MEJOR_RESPUESTA",$A34="SUBITEM_CASO",$A34="SUBITEM_DE_CASO_O_PROBLEMA")),TRUE,LEN(TRIM($G34))=0)</formula1>
    </dataValidation>
    <dataValidation sqref="G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IF(OR(ISNUMBER(MATCH($A35,TIPOS_OPCION_G,0)),OR($A35="SELECCION_MEJOR_RESPUESTA",$A35="SELECCION_SIMPLE",$A35="SELECCION_UNICA",$A35="SELECCION_DE_LA_MEJOR_RESPUESTA",$A35="SUBITEM_CASO",$A35="SUBITEM_DE_CASO_O_PROBLEMA")),TRUE,LEN(TRIM($G35))=0)</formula1>
    </dataValidation>
    <dataValidation sqref="G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IF(OR(ISNUMBER(MATCH($A36,TIPOS_OPCION_G,0)),OR($A36="SELECCION_MEJOR_RESPUESTA",$A36="SELECCION_SIMPLE",$A36="SELECCION_UNICA",$A36="SELECCION_DE_LA_MEJOR_RESPUESTA",$A36="SUBITEM_CASO",$A36="SUBITEM_DE_CASO_O_PROBLEMA")),TRUE,LEN(TRIM($G36))=0)</formula1>
    </dataValidation>
    <dataValidation sqref="G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IF(OR(ISNUMBER(MATCH($A37,TIPOS_OPCION_G,0)),OR($A37="SELECCION_MEJOR_RESPUESTA",$A37="SELECCION_SIMPLE",$A37="SELECCION_UNICA",$A37="SELECCION_DE_LA_MEJOR_RESPUESTA",$A37="SUBITEM_CASO",$A37="SUBITEM_DE_CASO_O_PROBLEMA")),TRUE,LEN(TRIM($G37))=0)</formula1>
    </dataValidation>
    <dataValidation sqref="G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IF(OR(ISNUMBER(MATCH($A38,TIPOS_OPCION_G,0)),OR($A38="SELECCION_MEJOR_RESPUESTA",$A38="SELECCION_SIMPLE",$A38="SELECCION_UNICA",$A38="SELECCION_DE_LA_MEJOR_RESPUESTA",$A38="SUBITEM_CASO",$A38="SUBITEM_DE_CASO_O_PROBLEMA")),TRUE,LEN(TRIM($G38))=0)</formula1>
    </dataValidation>
    <dataValidation sqref="G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IF(OR(ISNUMBER(MATCH($A39,TIPOS_OPCION_G,0)),OR($A39="SELECCION_MEJOR_RESPUESTA",$A39="SELECCION_SIMPLE",$A39="SELECCION_UNICA",$A39="SELECCION_DE_LA_MEJOR_RESPUESTA",$A39="SUBITEM_CASO",$A39="SUBITEM_DE_CASO_O_PROBLEMA")),TRUE,LEN(TRIM($G39))=0)</formula1>
    </dataValidation>
    <dataValidation sqref="G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IF(OR(ISNUMBER(MATCH($A4,TIPOS_OPCION_G,0)),OR($A4="SELECCION_MEJOR_RESPUESTA",$A4="SELECCION_SIMPLE",$A4="SELECCION_UNICA",$A4="SELECCION_DE_LA_MEJOR_RESPUESTA",$A4="SUBITEM_CASO",$A4="SUBITEM_DE_CASO_O_PROBLEMA")),TRUE,LEN(TRIM($G4))=0)</formula1>
    </dataValidation>
    <dataValidation sqref="G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IF(OR(ISNUMBER(MATCH($A40,TIPOS_OPCION_G,0)),OR($A40="SELECCION_MEJOR_RESPUESTA",$A40="SELECCION_SIMPLE",$A40="SELECCION_UNICA",$A40="SELECCION_DE_LA_MEJOR_RESPUESTA",$A40="SUBITEM_CASO",$A40="SUBITEM_DE_CASO_O_PROBLEMA")),TRUE,LEN(TRIM($G40))=0)</formula1>
    </dataValidation>
    <dataValidation sqref="G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IF(OR(ISNUMBER(MATCH($A41,TIPOS_OPCION_G,0)),OR($A41="SELECCION_MEJOR_RESPUESTA",$A41="SELECCION_SIMPLE",$A41="SELECCION_UNICA",$A41="SELECCION_DE_LA_MEJOR_RESPUESTA",$A41="SUBITEM_CASO",$A41="SUBITEM_DE_CASO_O_PROBLEMA")),TRUE,LEN(TRIM($G41))=0)</formula1>
    </dataValidation>
    <dataValidation sqref="G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IF(OR(ISNUMBER(MATCH($A42,TIPOS_OPCION_G,0)),OR($A42="SELECCION_MEJOR_RESPUESTA",$A42="SELECCION_SIMPLE",$A42="SELECCION_UNICA",$A42="SELECCION_DE_LA_MEJOR_RESPUESTA",$A42="SUBITEM_CASO",$A42="SUBITEM_DE_CASO_O_PROBLEMA")),TRUE,LEN(TRIM($G42))=0)</formula1>
    </dataValidation>
    <dataValidation sqref="G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IF(OR(ISNUMBER(MATCH($A43,TIPOS_OPCION_G,0)),OR($A43="SELECCION_MEJOR_RESPUESTA",$A43="SELECCION_SIMPLE",$A43="SELECCION_UNICA",$A43="SELECCION_DE_LA_MEJOR_RESPUESTA",$A43="SUBITEM_CASO",$A43="SUBITEM_DE_CASO_O_PROBLEMA")),TRUE,LEN(TRIM($G43))=0)</formula1>
    </dataValidation>
    <dataValidation sqref="G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IF(OR(ISNUMBER(MATCH($A44,TIPOS_OPCION_G,0)),OR($A44="SELECCION_MEJOR_RESPUESTA",$A44="SELECCION_SIMPLE",$A44="SELECCION_UNICA",$A44="SELECCION_DE_LA_MEJOR_RESPUESTA",$A44="SUBITEM_CASO",$A44="SUBITEM_DE_CASO_O_PROBLEMA")),TRUE,LEN(TRIM($G44))=0)</formula1>
    </dataValidation>
    <dataValidation sqref="G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IF(OR(ISNUMBER(MATCH($A45,TIPOS_OPCION_G,0)),OR($A45="SELECCION_MEJOR_RESPUESTA",$A45="SELECCION_SIMPLE",$A45="SELECCION_UNICA",$A45="SELECCION_DE_LA_MEJOR_RESPUESTA",$A45="SUBITEM_CASO",$A45="SUBITEM_DE_CASO_O_PROBLEMA")),TRUE,LEN(TRIM($G45))=0)</formula1>
    </dataValidation>
    <dataValidation sqref="G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IF(OR(ISNUMBER(MATCH($A46,TIPOS_OPCION_G,0)),OR($A46="SELECCION_MEJOR_RESPUESTA",$A46="SELECCION_SIMPLE",$A46="SELECCION_UNICA",$A46="SELECCION_DE_LA_MEJOR_RESPUESTA",$A46="SUBITEM_CASO",$A46="SUBITEM_DE_CASO_O_PROBLEMA")),TRUE,LEN(TRIM($G46))=0)</formula1>
    </dataValidation>
    <dataValidation sqref="G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IF(OR(ISNUMBER(MATCH($A47,TIPOS_OPCION_G,0)),OR($A47="SELECCION_MEJOR_RESPUESTA",$A47="SELECCION_SIMPLE",$A47="SELECCION_UNICA",$A47="SELECCION_DE_LA_MEJOR_RESPUESTA",$A47="SUBITEM_CASO",$A47="SUBITEM_DE_CASO_O_PROBLEMA")),TRUE,LEN(TRIM($G47))=0)</formula1>
    </dataValidation>
    <dataValidation sqref="G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IF(OR(ISNUMBER(MATCH($A48,TIPOS_OPCION_G,0)),OR($A48="SELECCION_MEJOR_RESPUESTA",$A48="SELECCION_SIMPLE",$A48="SELECCION_UNICA",$A48="SELECCION_DE_LA_MEJOR_RESPUESTA",$A48="SUBITEM_CASO",$A48="SUBITEM_DE_CASO_O_PROBLEMA")),TRUE,LEN(TRIM($G48))=0)</formula1>
    </dataValidation>
    <dataValidation sqref="G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IF(OR(ISNUMBER(MATCH($A49,TIPOS_OPCION_G,0)),OR($A49="SELECCION_MEJOR_RESPUESTA",$A49="SELECCION_SIMPLE",$A49="SELECCION_UNICA",$A49="SELECCION_DE_LA_MEJOR_RESPUESTA",$A49="SUBITEM_CASO",$A49="SUBITEM_DE_CASO_O_PROBLEMA")),TRUE,LEN(TRIM($G49))=0)</formula1>
    </dataValidation>
    <dataValidation sqref="G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IF(OR(ISNUMBER(MATCH($A5,TIPOS_OPCION_G,0)),OR($A5="SELECCION_MEJOR_RESPUESTA",$A5="SELECCION_SIMPLE",$A5="SELECCION_UNICA",$A5="SELECCION_DE_LA_MEJOR_RESPUESTA",$A5="SUBITEM_CASO",$A5="SUBITEM_DE_CASO_O_PROBLEMA")),TRUE,LEN(TRIM($G5))=0)</formula1>
    </dataValidation>
    <dataValidation sqref="G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IF(OR(ISNUMBER(MATCH($A50,TIPOS_OPCION_G,0)),OR($A50="SELECCION_MEJOR_RESPUESTA",$A50="SELECCION_SIMPLE",$A50="SELECCION_UNICA",$A50="SELECCION_DE_LA_MEJOR_RESPUESTA",$A50="SUBITEM_CASO",$A50="SUBITEM_DE_CASO_O_PROBLEMA")),TRUE,LEN(TRIM($G50))=0)</formula1>
    </dataValidation>
    <dataValidation sqref="G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IF(OR(ISNUMBER(MATCH($A51,TIPOS_OPCION_G,0)),OR($A51="SELECCION_MEJOR_RESPUESTA",$A51="SELECCION_SIMPLE",$A51="SELECCION_UNICA",$A51="SELECCION_DE_LA_MEJOR_RESPUESTA",$A51="SUBITEM_CASO",$A51="SUBITEM_DE_CASO_O_PROBLEMA")),TRUE,LEN(TRIM($G51))=0)</formula1>
    </dataValidation>
    <dataValidation sqref="G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IF(OR(ISNUMBER(MATCH($A52,TIPOS_OPCION_G,0)),OR($A52="SELECCION_MEJOR_RESPUESTA",$A52="SELECCION_SIMPLE",$A52="SELECCION_UNICA",$A52="SELECCION_DE_LA_MEJOR_RESPUESTA",$A52="SUBITEM_CASO",$A52="SUBITEM_DE_CASO_O_PROBLEMA")),TRUE,LEN(TRIM($G52))=0)</formula1>
    </dataValidation>
    <dataValidation sqref="G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IF(OR(ISNUMBER(MATCH($A53,TIPOS_OPCION_G,0)),OR($A53="SELECCION_MEJOR_RESPUESTA",$A53="SELECCION_SIMPLE",$A53="SELECCION_UNICA",$A53="SELECCION_DE_LA_MEJOR_RESPUESTA",$A53="SUBITEM_CASO",$A53="SUBITEM_DE_CASO_O_PROBLEMA")),TRUE,LEN(TRIM($G53))=0)</formula1>
    </dataValidation>
    <dataValidation sqref="G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IF(OR(ISNUMBER(MATCH($A54,TIPOS_OPCION_G,0)),OR($A54="SELECCION_MEJOR_RESPUESTA",$A54="SELECCION_SIMPLE",$A54="SELECCION_UNICA",$A54="SELECCION_DE_LA_MEJOR_RESPUESTA",$A54="SUBITEM_CASO",$A54="SUBITEM_DE_CASO_O_PROBLEMA")),TRUE,LEN(TRIM($G54))=0)</formula1>
    </dataValidation>
    <dataValidation sqref="G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IF(OR(ISNUMBER(MATCH($A55,TIPOS_OPCION_G,0)),OR($A55="SELECCION_MEJOR_RESPUESTA",$A55="SELECCION_SIMPLE",$A55="SELECCION_UNICA",$A55="SELECCION_DE_LA_MEJOR_RESPUESTA",$A55="SUBITEM_CASO",$A55="SUBITEM_DE_CASO_O_PROBLEMA")),TRUE,LEN(TRIM($G55))=0)</formula1>
    </dataValidation>
    <dataValidation sqref="G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IF(OR(ISNUMBER(MATCH($A56,TIPOS_OPCION_G,0)),OR($A56="SELECCION_MEJOR_RESPUESTA",$A56="SELECCION_SIMPLE",$A56="SELECCION_UNICA",$A56="SELECCION_DE_LA_MEJOR_RESPUESTA",$A56="SUBITEM_CASO",$A56="SUBITEM_DE_CASO_O_PROBLEMA")),TRUE,LEN(TRIM($G56))=0)</formula1>
    </dataValidation>
    <dataValidation sqref="G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IF(OR(ISNUMBER(MATCH($A57,TIPOS_OPCION_G,0)),OR($A57="SELECCION_MEJOR_RESPUESTA",$A57="SELECCION_SIMPLE",$A57="SELECCION_UNICA",$A57="SELECCION_DE_LA_MEJOR_RESPUESTA",$A57="SUBITEM_CASO",$A57="SUBITEM_DE_CASO_O_PROBLEMA")),TRUE,LEN(TRIM($G57))=0)</formula1>
    </dataValidation>
    <dataValidation sqref="G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IF(OR(ISNUMBER(MATCH($A58,TIPOS_OPCION_G,0)),OR($A58="SELECCION_MEJOR_RESPUESTA",$A58="SELECCION_SIMPLE",$A58="SELECCION_UNICA",$A58="SELECCION_DE_LA_MEJOR_RESPUESTA",$A58="SUBITEM_CASO",$A58="SUBITEM_DE_CASO_O_PROBLEMA")),TRUE,LEN(TRIM($G58))=0)</formula1>
    </dataValidation>
    <dataValidation sqref="G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IF(OR(ISNUMBER(MATCH($A59,TIPOS_OPCION_G,0)),OR($A59="SELECCION_MEJOR_RESPUESTA",$A59="SELECCION_SIMPLE",$A59="SELECCION_UNICA",$A59="SELECCION_DE_LA_MEJOR_RESPUESTA",$A59="SUBITEM_CASO",$A59="SUBITEM_DE_CASO_O_PROBLEMA")),TRUE,LEN(TRIM($G59))=0)</formula1>
    </dataValidation>
    <dataValidation sqref="G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IF(OR(ISNUMBER(MATCH($A6,TIPOS_OPCION_G,0)),OR($A6="SELECCION_MEJOR_RESPUESTA",$A6="SELECCION_SIMPLE",$A6="SELECCION_UNICA",$A6="SELECCION_DE_LA_MEJOR_RESPUESTA",$A6="SUBITEM_CASO",$A6="SUBITEM_DE_CASO_O_PROBLEMA")),TRUE,LEN(TRIM($G6))=0)</formula1>
    </dataValidation>
    <dataValidation sqref="G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IF(OR(ISNUMBER(MATCH($A60,TIPOS_OPCION_G,0)),OR($A60="SELECCION_MEJOR_RESPUESTA",$A60="SELECCION_SIMPLE",$A60="SELECCION_UNICA",$A60="SELECCION_DE_LA_MEJOR_RESPUESTA",$A60="SUBITEM_CASO",$A60="SUBITEM_DE_CASO_O_PROBLEMA")),TRUE,LEN(TRIM($G60))=0)</formula1>
    </dataValidation>
    <dataValidation sqref="G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IF(OR(ISNUMBER(MATCH($A61,TIPOS_OPCION_G,0)),OR($A61="SELECCION_MEJOR_RESPUESTA",$A61="SELECCION_SIMPLE",$A61="SELECCION_UNICA",$A61="SELECCION_DE_LA_MEJOR_RESPUESTA",$A61="SUBITEM_CASO",$A61="SUBITEM_DE_CASO_O_PROBLEMA")),TRUE,LEN(TRIM($G61))=0)</formula1>
    </dataValidation>
    <dataValidation sqref="G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IF(OR(ISNUMBER(MATCH($A7,TIPOS_OPCION_G,0)),OR($A7="SELECCION_MEJOR_RESPUESTA",$A7="SELECCION_SIMPLE",$A7="SELECCION_UNICA",$A7="SELECCION_DE_LA_MEJOR_RESPUESTA",$A7="SUBITEM_CASO",$A7="SUBITEM_DE_CASO_O_PROBLEMA")),TRUE,LEN(TRIM($G7))=0)</formula1>
    </dataValidation>
    <dataValidation sqref="G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IF(OR(ISNUMBER(MATCH($A8,TIPOS_OPCION_G,0)),OR($A8="SELECCION_MEJOR_RESPUESTA",$A8="SELECCION_SIMPLE",$A8="SELECCION_UNICA",$A8="SELECCION_DE_LA_MEJOR_RESPUESTA",$A8="SUBITEM_CASO",$A8="SUBITEM_DE_CASO_O_PROBLEMA")),TRUE,LEN(TRIM($G8))=0)</formula1>
    </dataValidation>
    <dataValidation sqref="G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IF(OR(ISNUMBER(MATCH($A9,TIPOS_OPCION_G,0)),OR($A9="SELECCION_MEJOR_RESPUESTA",$A9="SELECCION_SIMPLE",$A9="SELECCION_UNICA",$A9="SELECCION_DE_LA_MEJOR_RESPUESTA",$A9="SUBITEM_CASO",$A9="SUBITEM_DE_CASO_O_PROBLEMA")),TRUE,LEN(TRIM($G9))=0)</formula1>
    </dataValidation>
    <dataValidation sqref="H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IF(OR(ISNUMBER(MATCH($A10,TIPOS_OPCION_H,0)),OR($A10="SELECCION_MEJOR_RESPUESTA",$A10="SELECCION_SIMPLE",$A10="SELECCION_UNICA",$A10="SELECCION_DE_LA_MEJOR_RESPUESTA",$A10="SUBITEM_CASO",$A10="SUBITEM_DE_CASO_O_PROBLEMA")),TRUE,LEN(TRIM($H10))=0)</formula1>
    </dataValidation>
    <dataValidation sqref="H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IF(OR(ISNUMBER(MATCH($A11,TIPOS_OPCION_H,0)),OR($A11="SELECCION_MEJOR_RESPUESTA",$A11="SELECCION_SIMPLE",$A11="SELECCION_UNICA",$A11="SELECCION_DE_LA_MEJOR_RESPUESTA",$A11="SUBITEM_CASO",$A11="SUBITEM_DE_CASO_O_PROBLEMA")),TRUE,LEN(TRIM($H11))=0)</formula1>
    </dataValidation>
    <dataValidation sqref="H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IF(OR(ISNUMBER(MATCH($A12,TIPOS_OPCION_H,0)),OR($A12="SELECCION_MEJOR_RESPUESTA",$A12="SELECCION_SIMPLE",$A12="SELECCION_UNICA",$A12="SELECCION_DE_LA_MEJOR_RESPUESTA",$A12="SUBITEM_CASO",$A12="SUBITEM_DE_CASO_O_PROBLEMA")),TRUE,LEN(TRIM($H12))=0)</formula1>
    </dataValidation>
    <dataValidation sqref="H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IF(OR(ISNUMBER(MATCH($A13,TIPOS_OPCION_H,0)),OR($A13="SELECCION_MEJOR_RESPUESTA",$A13="SELECCION_SIMPLE",$A13="SELECCION_UNICA",$A13="SELECCION_DE_LA_MEJOR_RESPUESTA",$A13="SUBITEM_CASO",$A13="SUBITEM_DE_CASO_O_PROBLEMA")),TRUE,LEN(TRIM($H13))=0)</formula1>
    </dataValidation>
    <dataValidation sqref="H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IF(OR(ISNUMBER(MATCH($A14,TIPOS_OPCION_H,0)),OR($A14="SELECCION_MEJOR_RESPUESTA",$A14="SELECCION_SIMPLE",$A14="SELECCION_UNICA",$A14="SELECCION_DE_LA_MEJOR_RESPUESTA",$A14="SUBITEM_CASO",$A14="SUBITEM_DE_CASO_O_PROBLEMA")),TRUE,LEN(TRIM($H14))=0)</formula1>
    </dataValidation>
    <dataValidation sqref="H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IF(OR(ISNUMBER(MATCH($A15,TIPOS_OPCION_H,0)),OR($A15="SELECCION_MEJOR_RESPUESTA",$A15="SELECCION_SIMPLE",$A15="SELECCION_UNICA",$A15="SELECCION_DE_LA_MEJOR_RESPUESTA",$A15="SUBITEM_CASO",$A15="SUBITEM_DE_CASO_O_PROBLEMA")),TRUE,LEN(TRIM($H15))=0)</formula1>
    </dataValidation>
    <dataValidation sqref="H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IF(OR(ISNUMBER(MATCH($A16,TIPOS_OPCION_H,0)),OR($A16="SELECCION_MEJOR_RESPUESTA",$A16="SELECCION_SIMPLE",$A16="SELECCION_UNICA",$A16="SELECCION_DE_LA_MEJOR_RESPUESTA",$A16="SUBITEM_CASO",$A16="SUBITEM_DE_CASO_O_PROBLEMA")),TRUE,LEN(TRIM($H16))=0)</formula1>
    </dataValidation>
    <dataValidation sqref="H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IF(OR(ISNUMBER(MATCH($A17,TIPOS_OPCION_H,0)),OR($A17="SELECCION_MEJOR_RESPUESTA",$A17="SELECCION_SIMPLE",$A17="SELECCION_UNICA",$A17="SELECCION_DE_LA_MEJOR_RESPUESTA",$A17="SUBITEM_CASO",$A17="SUBITEM_DE_CASO_O_PROBLEMA")),TRUE,LEN(TRIM($H17))=0)</formula1>
    </dataValidation>
    <dataValidation sqref="H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IF(OR(ISNUMBER(MATCH($A18,TIPOS_OPCION_H,0)),OR($A18="SELECCION_MEJOR_RESPUESTA",$A18="SELECCION_SIMPLE",$A18="SELECCION_UNICA",$A18="SELECCION_DE_LA_MEJOR_RESPUESTA",$A18="SUBITEM_CASO",$A18="SUBITEM_DE_CASO_O_PROBLEMA")),TRUE,LEN(TRIM($H18))=0)</formula1>
    </dataValidation>
    <dataValidation sqref="H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IF(OR(ISNUMBER(MATCH($A19,TIPOS_OPCION_H,0)),OR($A19="SELECCION_MEJOR_RESPUESTA",$A19="SELECCION_SIMPLE",$A19="SELECCION_UNICA",$A19="SELECCION_DE_LA_MEJOR_RESPUESTA",$A19="SUBITEM_CASO",$A19="SUBITEM_DE_CASO_O_PROBLEMA")),TRUE,LEN(TRIM($H19))=0)</formula1>
    </dataValidation>
    <dataValidation sqref="H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IF(OR(ISNUMBER(MATCH($A2,TIPOS_OPCION_H,0)),OR($A2="SELECCION_MEJOR_RESPUESTA",$A2="SELECCION_SIMPLE",$A2="SELECCION_UNICA",$A2="SELECCION_DE_LA_MEJOR_RESPUESTA",$A2="SUBITEM_CASO",$A2="SUBITEM_DE_CASO_O_PROBLEMA")),TRUE,LEN(TRIM($H2))=0)</formula1>
    </dataValidation>
    <dataValidation sqref="H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IF(OR(ISNUMBER(MATCH($A20,TIPOS_OPCION_H,0)),OR($A20="SELECCION_MEJOR_RESPUESTA",$A20="SELECCION_SIMPLE",$A20="SELECCION_UNICA",$A20="SELECCION_DE_LA_MEJOR_RESPUESTA",$A20="SUBITEM_CASO",$A20="SUBITEM_DE_CASO_O_PROBLEMA")),TRUE,LEN(TRIM($H20))=0)</formula1>
    </dataValidation>
    <dataValidation sqref="H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IF(OR(ISNUMBER(MATCH($A21,TIPOS_OPCION_H,0)),OR($A21="SELECCION_MEJOR_RESPUESTA",$A21="SELECCION_SIMPLE",$A21="SELECCION_UNICA",$A21="SELECCION_DE_LA_MEJOR_RESPUESTA",$A21="SUBITEM_CASO",$A21="SUBITEM_DE_CASO_O_PROBLEMA")),TRUE,LEN(TRIM($H21))=0)</formula1>
    </dataValidation>
    <dataValidation sqref="H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IF(OR(ISNUMBER(MATCH($A22,TIPOS_OPCION_H,0)),OR($A22="SELECCION_MEJOR_RESPUESTA",$A22="SELECCION_SIMPLE",$A22="SELECCION_UNICA",$A22="SELECCION_DE_LA_MEJOR_RESPUESTA",$A22="SUBITEM_CASO",$A22="SUBITEM_DE_CASO_O_PROBLEMA")),TRUE,LEN(TRIM($H22))=0)</formula1>
    </dataValidation>
    <dataValidation sqref="H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IF(OR(ISNUMBER(MATCH($A23,TIPOS_OPCION_H,0)),OR($A23="SELECCION_MEJOR_RESPUESTA",$A23="SELECCION_SIMPLE",$A23="SELECCION_UNICA",$A23="SELECCION_DE_LA_MEJOR_RESPUESTA",$A23="SUBITEM_CASO",$A23="SUBITEM_DE_CASO_O_PROBLEMA")),TRUE,LEN(TRIM($H23))=0)</formula1>
    </dataValidation>
    <dataValidation sqref="H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IF(OR(ISNUMBER(MATCH($A24,TIPOS_OPCION_H,0)),OR($A24="SELECCION_MEJOR_RESPUESTA",$A24="SELECCION_SIMPLE",$A24="SELECCION_UNICA",$A24="SELECCION_DE_LA_MEJOR_RESPUESTA",$A24="SUBITEM_CASO",$A24="SUBITEM_DE_CASO_O_PROBLEMA")),TRUE,LEN(TRIM($H24))=0)</formula1>
    </dataValidation>
    <dataValidation sqref="H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IF(OR(ISNUMBER(MATCH($A25,TIPOS_OPCION_H,0)),OR($A25="SELECCION_MEJOR_RESPUESTA",$A25="SELECCION_SIMPLE",$A25="SELECCION_UNICA",$A25="SELECCION_DE_LA_MEJOR_RESPUESTA",$A25="SUBITEM_CASO",$A25="SUBITEM_DE_CASO_O_PROBLEMA")),TRUE,LEN(TRIM($H25))=0)</formula1>
    </dataValidation>
    <dataValidation sqref="H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IF(OR(ISNUMBER(MATCH($A26,TIPOS_OPCION_H,0)),OR($A26="SELECCION_MEJOR_RESPUESTA",$A26="SELECCION_SIMPLE",$A26="SELECCION_UNICA",$A26="SELECCION_DE_LA_MEJOR_RESPUESTA",$A26="SUBITEM_CASO",$A26="SUBITEM_DE_CASO_O_PROBLEMA")),TRUE,LEN(TRIM($H26))=0)</formula1>
    </dataValidation>
    <dataValidation sqref="H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IF(OR(ISNUMBER(MATCH($A27,TIPOS_OPCION_H,0)),OR($A27="SELECCION_MEJOR_RESPUESTA",$A27="SELECCION_SIMPLE",$A27="SELECCION_UNICA",$A27="SELECCION_DE_LA_MEJOR_RESPUESTA",$A27="SUBITEM_CASO",$A27="SUBITEM_DE_CASO_O_PROBLEMA")),TRUE,LEN(TRIM($H27))=0)</formula1>
    </dataValidation>
    <dataValidation sqref="H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IF(OR(ISNUMBER(MATCH($A28,TIPOS_OPCION_H,0)),OR($A28="SELECCION_MEJOR_RESPUESTA",$A28="SELECCION_SIMPLE",$A28="SELECCION_UNICA",$A28="SELECCION_DE_LA_MEJOR_RESPUESTA",$A28="SUBITEM_CASO",$A28="SUBITEM_DE_CASO_O_PROBLEMA")),TRUE,LEN(TRIM($H28))=0)</formula1>
    </dataValidation>
    <dataValidation sqref="H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IF(OR(ISNUMBER(MATCH($A29,TIPOS_OPCION_H,0)),OR($A29="SELECCION_MEJOR_RESPUESTA",$A29="SELECCION_SIMPLE",$A29="SELECCION_UNICA",$A29="SELECCION_DE_LA_MEJOR_RESPUESTA",$A29="SUBITEM_CASO",$A29="SUBITEM_DE_CASO_O_PROBLEMA")),TRUE,LEN(TRIM($H29))=0)</formula1>
    </dataValidation>
    <dataValidation sqref="H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IF(OR(ISNUMBER(MATCH($A3,TIPOS_OPCION_H,0)),OR($A3="SELECCION_MEJOR_RESPUESTA",$A3="SELECCION_SIMPLE",$A3="SELECCION_UNICA",$A3="SELECCION_DE_LA_MEJOR_RESPUESTA",$A3="SUBITEM_CASO",$A3="SUBITEM_DE_CASO_O_PROBLEMA")),TRUE,LEN(TRIM($H3))=0)</formula1>
    </dataValidation>
    <dataValidation sqref="H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IF(OR(ISNUMBER(MATCH($A30,TIPOS_OPCION_H,0)),OR($A30="SELECCION_MEJOR_RESPUESTA",$A30="SELECCION_SIMPLE",$A30="SELECCION_UNICA",$A30="SELECCION_DE_LA_MEJOR_RESPUESTA",$A30="SUBITEM_CASO",$A30="SUBITEM_DE_CASO_O_PROBLEMA")),TRUE,LEN(TRIM($H30))=0)</formula1>
    </dataValidation>
    <dataValidation sqref="H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IF(OR(ISNUMBER(MATCH($A31,TIPOS_OPCION_H,0)),OR($A31="SELECCION_MEJOR_RESPUESTA",$A31="SELECCION_SIMPLE",$A31="SELECCION_UNICA",$A31="SELECCION_DE_LA_MEJOR_RESPUESTA",$A31="SUBITEM_CASO",$A31="SUBITEM_DE_CASO_O_PROBLEMA")),TRUE,LEN(TRIM($H31))=0)</formula1>
    </dataValidation>
    <dataValidation sqref="H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IF(OR(ISNUMBER(MATCH($A32,TIPOS_OPCION_H,0)),OR($A32="SELECCION_MEJOR_RESPUESTA",$A32="SELECCION_SIMPLE",$A32="SELECCION_UNICA",$A32="SELECCION_DE_LA_MEJOR_RESPUESTA",$A32="SUBITEM_CASO",$A32="SUBITEM_DE_CASO_O_PROBLEMA")),TRUE,LEN(TRIM($H32))=0)</formula1>
    </dataValidation>
    <dataValidation sqref="H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IF(OR(ISNUMBER(MATCH($A33,TIPOS_OPCION_H,0)),OR($A33="SELECCION_MEJOR_RESPUESTA",$A33="SELECCION_SIMPLE",$A33="SELECCION_UNICA",$A33="SELECCION_DE_LA_MEJOR_RESPUESTA",$A33="SUBITEM_CASO",$A33="SUBITEM_DE_CASO_O_PROBLEMA")),TRUE,LEN(TRIM($H33))=0)</formula1>
    </dataValidation>
    <dataValidation sqref="H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IF(OR(ISNUMBER(MATCH($A34,TIPOS_OPCION_H,0)),OR($A34="SELECCION_MEJOR_RESPUESTA",$A34="SELECCION_SIMPLE",$A34="SELECCION_UNICA",$A34="SELECCION_DE_LA_MEJOR_RESPUESTA",$A34="SUBITEM_CASO",$A34="SUBITEM_DE_CASO_O_PROBLEMA")),TRUE,LEN(TRIM($H34))=0)</formula1>
    </dataValidation>
    <dataValidation sqref="H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IF(OR(ISNUMBER(MATCH($A35,TIPOS_OPCION_H,0)),OR($A35="SELECCION_MEJOR_RESPUESTA",$A35="SELECCION_SIMPLE",$A35="SELECCION_UNICA",$A35="SELECCION_DE_LA_MEJOR_RESPUESTA",$A35="SUBITEM_CASO",$A35="SUBITEM_DE_CASO_O_PROBLEMA")),TRUE,LEN(TRIM($H35))=0)</formula1>
    </dataValidation>
    <dataValidation sqref="H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IF(OR(ISNUMBER(MATCH($A36,TIPOS_OPCION_H,0)),OR($A36="SELECCION_MEJOR_RESPUESTA",$A36="SELECCION_SIMPLE",$A36="SELECCION_UNICA",$A36="SELECCION_DE_LA_MEJOR_RESPUESTA",$A36="SUBITEM_CASO",$A36="SUBITEM_DE_CASO_O_PROBLEMA")),TRUE,LEN(TRIM($H36))=0)</formula1>
    </dataValidation>
    <dataValidation sqref="H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IF(OR(ISNUMBER(MATCH($A37,TIPOS_OPCION_H,0)),OR($A37="SELECCION_MEJOR_RESPUESTA",$A37="SELECCION_SIMPLE",$A37="SELECCION_UNICA",$A37="SELECCION_DE_LA_MEJOR_RESPUESTA",$A37="SUBITEM_CASO",$A37="SUBITEM_DE_CASO_O_PROBLEMA")),TRUE,LEN(TRIM($H37))=0)</formula1>
    </dataValidation>
    <dataValidation sqref="H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IF(OR(ISNUMBER(MATCH($A38,TIPOS_OPCION_H,0)),OR($A38="SELECCION_MEJOR_RESPUESTA",$A38="SELECCION_SIMPLE",$A38="SELECCION_UNICA",$A38="SELECCION_DE_LA_MEJOR_RESPUESTA",$A38="SUBITEM_CASO",$A38="SUBITEM_DE_CASO_O_PROBLEMA")),TRUE,LEN(TRIM($H38))=0)</formula1>
    </dataValidation>
    <dataValidation sqref="H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IF(OR(ISNUMBER(MATCH($A39,TIPOS_OPCION_H,0)),OR($A39="SELECCION_MEJOR_RESPUESTA",$A39="SELECCION_SIMPLE",$A39="SELECCION_UNICA",$A39="SELECCION_DE_LA_MEJOR_RESPUESTA",$A39="SUBITEM_CASO",$A39="SUBITEM_DE_CASO_O_PROBLEMA")),TRUE,LEN(TRIM($H39))=0)</formula1>
    </dataValidation>
    <dataValidation sqref="H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IF(OR(ISNUMBER(MATCH($A4,TIPOS_OPCION_H,0)),OR($A4="SELECCION_MEJOR_RESPUESTA",$A4="SELECCION_SIMPLE",$A4="SELECCION_UNICA",$A4="SELECCION_DE_LA_MEJOR_RESPUESTA",$A4="SUBITEM_CASO",$A4="SUBITEM_DE_CASO_O_PROBLEMA")),TRUE,LEN(TRIM($H4))=0)</formula1>
    </dataValidation>
    <dataValidation sqref="H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IF(OR(ISNUMBER(MATCH($A40,TIPOS_OPCION_H,0)),OR($A40="SELECCION_MEJOR_RESPUESTA",$A40="SELECCION_SIMPLE",$A40="SELECCION_UNICA",$A40="SELECCION_DE_LA_MEJOR_RESPUESTA",$A40="SUBITEM_CASO",$A40="SUBITEM_DE_CASO_O_PROBLEMA")),TRUE,LEN(TRIM($H40))=0)</formula1>
    </dataValidation>
    <dataValidation sqref="H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IF(OR(ISNUMBER(MATCH($A41,TIPOS_OPCION_H,0)),OR($A41="SELECCION_MEJOR_RESPUESTA",$A41="SELECCION_SIMPLE",$A41="SELECCION_UNICA",$A41="SELECCION_DE_LA_MEJOR_RESPUESTA",$A41="SUBITEM_CASO",$A41="SUBITEM_DE_CASO_O_PROBLEMA")),TRUE,LEN(TRIM($H41))=0)</formula1>
    </dataValidation>
    <dataValidation sqref="H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IF(OR(ISNUMBER(MATCH($A42,TIPOS_OPCION_H,0)),OR($A42="SELECCION_MEJOR_RESPUESTA",$A42="SELECCION_SIMPLE",$A42="SELECCION_UNICA",$A42="SELECCION_DE_LA_MEJOR_RESPUESTA",$A42="SUBITEM_CASO",$A42="SUBITEM_DE_CASO_O_PROBLEMA")),TRUE,LEN(TRIM($H42))=0)</formula1>
    </dataValidation>
    <dataValidation sqref="H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IF(OR(ISNUMBER(MATCH($A43,TIPOS_OPCION_H,0)),OR($A43="SELECCION_MEJOR_RESPUESTA",$A43="SELECCION_SIMPLE",$A43="SELECCION_UNICA",$A43="SELECCION_DE_LA_MEJOR_RESPUESTA",$A43="SUBITEM_CASO",$A43="SUBITEM_DE_CASO_O_PROBLEMA")),TRUE,LEN(TRIM($H43))=0)</formula1>
    </dataValidation>
    <dataValidation sqref="H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IF(OR(ISNUMBER(MATCH($A44,TIPOS_OPCION_H,0)),OR($A44="SELECCION_MEJOR_RESPUESTA",$A44="SELECCION_SIMPLE",$A44="SELECCION_UNICA",$A44="SELECCION_DE_LA_MEJOR_RESPUESTA",$A44="SUBITEM_CASO",$A44="SUBITEM_DE_CASO_O_PROBLEMA")),TRUE,LEN(TRIM($H44))=0)</formula1>
    </dataValidation>
    <dataValidation sqref="H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IF(OR(ISNUMBER(MATCH($A45,TIPOS_OPCION_H,0)),OR($A45="SELECCION_MEJOR_RESPUESTA",$A45="SELECCION_SIMPLE",$A45="SELECCION_UNICA",$A45="SELECCION_DE_LA_MEJOR_RESPUESTA",$A45="SUBITEM_CASO",$A45="SUBITEM_DE_CASO_O_PROBLEMA")),TRUE,LEN(TRIM($H45))=0)</formula1>
    </dataValidation>
    <dataValidation sqref="H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IF(OR(ISNUMBER(MATCH($A46,TIPOS_OPCION_H,0)),OR($A46="SELECCION_MEJOR_RESPUESTA",$A46="SELECCION_SIMPLE",$A46="SELECCION_UNICA",$A46="SELECCION_DE_LA_MEJOR_RESPUESTA",$A46="SUBITEM_CASO",$A46="SUBITEM_DE_CASO_O_PROBLEMA")),TRUE,LEN(TRIM($H46))=0)</formula1>
    </dataValidation>
    <dataValidation sqref="H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IF(OR(ISNUMBER(MATCH($A47,TIPOS_OPCION_H,0)),OR($A47="SELECCION_MEJOR_RESPUESTA",$A47="SELECCION_SIMPLE",$A47="SELECCION_UNICA",$A47="SELECCION_DE_LA_MEJOR_RESPUESTA",$A47="SUBITEM_CASO",$A47="SUBITEM_DE_CASO_O_PROBLEMA")),TRUE,LEN(TRIM($H47))=0)</formula1>
    </dataValidation>
    <dataValidation sqref="H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IF(OR(ISNUMBER(MATCH($A48,TIPOS_OPCION_H,0)),OR($A48="SELECCION_MEJOR_RESPUESTA",$A48="SELECCION_SIMPLE",$A48="SELECCION_UNICA",$A48="SELECCION_DE_LA_MEJOR_RESPUESTA",$A48="SUBITEM_CASO",$A48="SUBITEM_DE_CASO_O_PROBLEMA")),TRUE,LEN(TRIM($H48))=0)</formula1>
    </dataValidation>
    <dataValidation sqref="H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IF(OR(ISNUMBER(MATCH($A49,TIPOS_OPCION_H,0)),OR($A49="SELECCION_MEJOR_RESPUESTA",$A49="SELECCION_SIMPLE",$A49="SELECCION_UNICA",$A49="SELECCION_DE_LA_MEJOR_RESPUESTA",$A49="SUBITEM_CASO",$A49="SUBITEM_DE_CASO_O_PROBLEMA")),TRUE,LEN(TRIM($H49))=0)</formula1>
    </dataValidation>
    <dataValidation sqref="H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IF(OR(ISNUMBER(MATCH($A5,TIPOS_OPCION_H,0)),OR($A5="SELECCION_MEJOR_RESPUESTA",$A5="SELECCION_SIMPLE",$A5="SELECCION_UNICA",$A5="SELECCION_DE_LA_MEJOR_RESPUESTA",$A5="SUBITEM_CASO",$A5="SUBITEM_DE_CASO_O_PROBLEMA")),TRUE,LEN(TRIM($H5))=0)</formula1>
    </dataValidation>
    <dataValidation sqref="H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IF(OR(ISNUMBER(MATCH($A50,TIPOS_OPCION_H,0)),OR($A50="SELECCION_MEJOR_RESPUESTA",$A50="SELECCION_SIMPLE",$A50="SELECCION_UNICA",$A50="SELECCION_DE_LA_MEJOR_RESPUESTA",$A50="SUBITEM_CASO",$A50="SUBITEM_DE_CASO_O_PROBLEMA")),TRUE,LEN(TRIM($H50))=0)</formula1>
    </dataValidation>
    <dataValidation sqref="H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IF(OR(ISNUMBER(MATCH($A51,TIPOS_OPCION_H,0)),OR($A51="SELECCION_MEJOR_RESPUESTA",$A51="SELECCION_SIMPLE",$A51="SELECCION_UNICA",$A51="SELECCION_DE_LA_MEJOR_RESPUESTA",$A51="SUBITEM_CASO",$A51="SUBITEM_DE_CASO_O_PROBLEMA")),TRUE,LEN(TRIM($H51))=0)</formula1>
    </dataValidation>
    <dataValidation sqref="H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IF(OR(ISNUMBER(MATCH($A52,TIPOS_OPCION_H,0)),OR($A52="SELECCION_MEJOR_RESPUESTA",$A52="SELECCION_SIMPLE",$A52="SELECCION_UNICA",$A52="SELECCION_DE_LA_MEJOR_RESPUESTA",$A52="SUBITEM_CASO",$A52="SUBITEM_DE_CASO_O_PROBLEMA")),TRUE,LEN(TRIM($H52))=0)</formula1>
    </dataValidation>
    <dataValidation sqref="H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IF(OR(ISNUMBER(MATCH($A53,TIPOS_OPCION_H,0)),OR($A53="SELECCION_MEJOR_RESPUESTA",$A53="SELECCION_SIMPLE",$A53="SELECCION_UNICA",$A53="SELECCION_DE_LA_MEJOR_RESPUESTA",$A53="SUBITEM_CASO",$A53="SUBITEM_DE_CASO_O_PROBLEMA")),TRUE,LEN(TRIM($H53))=0)</formula1>
    </dataValidation>
    <dataValidation sqref="H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IF(OR(ISNUMBER(MATCH($A54,TIPOS_OPCION_H,0)),OR($A54="SELECCION_MEJOR_RESPUESTA",$A54="SELECCION_SIMPLE",$A54="SELECCION_UNICA",$A54="SELECCION_DE_LA_MEJOR_RESPUESTA",$A54="SUBITEM_CASO",$A54="SUBITEM_DE_CASO_O_PROBLEMA")),TRUE,LEN(TRIM($H54))=0)</formula1>
    </dataValidation>
    <dataValidation sqref="H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IF(OR(ISNUMBER(MATCH($A55,TIPOS_OPCION_H,0)),OR($A55="SELECCION_MEJOR_RESPUESTA",$A55="SELECCION_SIMPLE",$A55="SELECCION_UNICA",$A55="SELECCION_DE_LA_MEJOR_RESPUESTA",$A55="SUBITEM_CASO",$A55="SUBITEM_DE_CASO_O_PROBLEMA")),TRUE,LEN(TRIM($H55))=0)</formula1>
    </dataValidation>
    <dataValidation sqref="H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IF(OR(ISNUMBER(MATCH($A56,TIPOS_OPCION_H,0)),OR($A56="SELECCION_MEJOR_RESPUESTA",$A56="SELECCION_SIMPLE",$A56="SELECCION_UNICA",$A56="SELECCION_DE_LA_MEJOR_RESPUESTA",$A56="SUBITEM_CASO",$A56="SUBITEM_DE_CASO_O_PROBLEMA")),TRUE,LEN(TRIM($H56))=0)</formula1>
    </dataValidation>
    <dataValidation sqref="H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IF(OR(ISNUMBER(MATCH($A57,TIPOS_OPCION_H,0)),OR($A57="SELECCION_MEJOR_RESPUESTA",$A57="SELECCION_SIMPLE",$A57="SELECCION_UNICA",$A57="SELECCION_DE_LA_MEJOR_RESPUESTA",$A57="SUBITEM_CASO",$A57="SUBITEM_DE_CASO_O_PROBLEMA")),TRUE,LEN(TRIM($H57))=0)</formula1>
    </dataValidation>
    <dataValidation sqref="H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IF(OR(ISNUMBER(MATCH($A58,TIPOS_OPCION_H,0)),OR($A58="SELECCION_MEJOR_RESPUESTA",$A58="SELECCION_SIMPLE",$A58="SELECCION_UNICA",$A58="SELECCION_DE_LA_MEJOR_RESPUESTA",$A58="SUBITEM_CASO",$A58="SUBITEM_DE_CASO_O_PROBLEMA")),TRUE,LEN(TRIM($H58))=0)</formula1>
    </dataValidation>
    <dataValidation sqref="H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IF(OR(ISNUMBER(MATCH($A59,TIPOS_OPCION_H,0)),OR($A59="SELECCION_MEJOR_RESPUESTA",$A59="SELECCION_SIMPLE",$A59="SELECCION_UNICA",$A59="SELECCION_DE_LA_MEJOR_RESPUESTA",$A59="SUBITEM_CASO",$A59="SUBITEM_DE_CASO_O_PROBLEMA")),TRUE,LEN(TRIM($H59))=0)</formula1>
    </dataValidation>
    <dataValidation sqref="H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IF(OR(ISNUMBER(MATCH($A6,TIPOS_OPCION_H,0)),OR($A6="SELECCION_MEJOR_RESPUESTA",$A6="SELECCION_SIMPLE",$A6="SELECCION_UNICA",$A6="SELECCION_DE_LA_MEJOR_RESPUESTA",$A6="SUBITEM_CASO",$A6="SUBITEM_DE_CASO_O_PROBLEMA")),TRUE,LEN(TRIM($H6))=0)</formula1>
    </dataValidation>
    <dataValidation sqref="H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IF(OR(ISNUMBER(MATCH($A60,TIPOS_OPCION_H,0)),OR($A60="SELECCION_MEJOR_RESPUESTA",$A60="SELECCION_SIMPLE",$A60="SELECCION_UNICA",$A60="SELECCION_DE_LA_MEJOR_RESPUESTA",$A60="SUBITEM_CASO",$A60="SUBITEM_DE_CASO_O_PROBLEMA")),TRUE,LEN(TRIM($H60))=0)</formula1>
    </dataValidation>
    <dataValidation sqref="H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IF(OR(ISNUMBER(MATCH($A61,TIPOS_OPCION_H,0)),OR($A61="SELECCION_MEJOR_RESPUESTA",$A61="SELECCION_SIMPLE",$A61="SELECCION_UNICA",$A61="SELECCION_DE_LA_MEJOR_RESPUESTA",$A61="SUBITEM_CASO",$A61="SUBITEM_DE_CASO_O_PROBLEMA")),TRUE,LEN(TRIM($H61))=0)</formula1>
    </dataValidation>
    <dataValidation sqref="H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IF(OR(ISNUMBER(MATCH($A7,TIPOS_OPCION_H,0)),OR($A7="SELECCION_MEJOR_RESPUESTA",$A7="SELECCION_SIMPLE",$A7="SELECCION_UNICA",$A7="SELECCION_DE_LA_MEJOR_RESPUESTA",$A7="SUBITEM_CASO",$A7="SUBITEM_DE_CASO_O_PROBLEMA")),TRUE,LEN(TRIM($H7))=0)</formula1>
    </dataValidation>
    <dataValidation sqref="H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IF(OR(ISNUMBER(MATCH($A8,TIPOS_OPCION_H,0)),OR($A8="SELECCION_MEJOR_RESPUESTA",$A8="SELECCION_SIMPLE",$A8="SELECCION_UNICA",$A8="SELECCION_DE_LA_MEJOR_RESPUESTA",$A8="SUBITEM_CASO",$A8="SUBITEM_DE_CASO_O_PROBLEMA")),TRUE,LEN(TRIM($H8))=0)</formula1>
    </dataValidation>
    <dataValidation sqref="H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IF(OR(ISNUMBER(MATCH($A9,TIPOS_OPCION_H,0)),OR($A9="SELECCION_MEJOR_RESPUESTA",$A9="SELECCION_SIMPLE",$A9="SELECCION_UNICA",$A9="SELECCION_DE_LA_MEJOR_RESPUESTA",$A9="SUBITEM_CASO",$A9="SUBITEM_DE_CASO_O_PROBLEMA")),TRUE,LEN(TRIM($H9))=0)</formula1>
    </dataValidation>
    <dataValidation sqref="I1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INDIRECT(IF(OR($A10="SELECCION_MEJOR_RESPUESTA",$A10="SELECCION_SIMPLE",$A10="SELECCION_UNICA",$A10="SELECCION_DE_LA_MEJOR_RESPUESTA",$A10="SUBITEM_CASO",$A10="SUBITEM_DE_CASO_O_PROBLEMA"),"RESP_ABCDE",IFERROR(VLOOKUP($A10,MAPA_RESPUESTA_TIPO,2,FALSE),"RESP_VACIA")))</formula1>
    </dataValidation>
    <dataValidation sqref="I1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INDIRECT(IF(OR($A11="SELECCION_MEJOR_RESPUESTA",$A11="SELECCION_SIMPLE",$A11="SELECCION_UNICA",$A11="SELECCION_DE_LA_MEJOR_RESPUESTA",$A11="SUBITEM_CASO",$A11="SUBITEM_DE_CASO_O_PROBLEMA"),"RESP_ABCDE",IFERROR(VLOOKUP($A11,MAPA_RESPUESTA_TIPO,2,FALSE),"RESP_VACIA")))</formula1>
    </dataValidation>
    <dataValidation sqref="I1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INDIRECT(IF(OR($A12="SELECCION_MEJOR_RESPUESTA",$A12="SELECCION_SIMPLE",$A12="SELECCION_UNICA",$A12="SELECCION_DE_LA_MEJOR_RESPUESTA",$A12="SUBITEM_CASO",$A12="SUBITEM_DE_CASO_O_PROBLEMA"),"RESP_ABCDE",IFERROR(VLOOKUP($A12,MAPA_RESPUESTA_TIPO,2,FALSE),"RESP_VACIA")))</formula1>
    </dataValidation>
    <dataValidation sqref="I1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INDIRECT(IF(OR($A13="SELECCION_MEJOR_RESPUESTA",$A13="SELECCION_SIMPLE",$A13="SELECCION_UNICA",$A13="SELECCION_DE_LA_MEJOR_RESPUESTA",$A13="SUBITEM_CASO",$A13="SUBITEM_DE_CASO_O_PROBLEMA"),"RESP_ABCDE",IFERROR(VLOOKUP($A13,MAPA_RESPUESTA_TIPO,2,FALSE),"RESP_VACIA")))</formula1>
    </dataValidation>
    <dataValidation sqref="I1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INDIRECT(IF(OR($A14="SELECCION_MEJOR_RESPUESTA",$A14="SELECCION_SIMPLE",$A14="SELECCION_UNICA",$A14="SELECCION_DE_LA_MEJOR_RESPUESTA",$A14="SUBITEM_CASO",$A14="SUBITEM_DE_CASO_O_PROBLEMA"),"RESP_ABCDE",IFERROR(VLOOKUP($A14,MAPA_RESPUESTA_TIPO,2,FALSE),"RESP_VACIA")))</formula1>
    </dataValidation>
    <dataValidation sqref="I1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INDIRECT(IF(OR($A15="SELECCION_MEJOR_RESPUESTA",$A15="SELECCION_SIMPLE",$A15="SELECCION_UNICA",$A15="SELECCION_DE_LA_MEJOR_RESPUESTA",$A15="SUBITEM_CASO",$A15="SUBITEM_DE_CASO_O_PROBLEMA"),"RESP_ABCDE",IFERROR(VLOOKUP($A15,MAPA_RESPUESTA_TIPO,2,FALSE),"RESP_VACIA")))</formula1>
    </dataValidation>
    <dataValidation sqref="I1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INDIRECT(IF(OR($A16="SELECCION_MEJOR_RESPUESTA",$A16="SELECCION_SIMPLE",$A16="SELECCION_UNICA",$A16="SELECCION_DE_LA_MEJOR_RESPUESTA",$A16="SUBITEM_CASO",$A16="SUBITEM_DE_CASO_O_PROBLEMA"),"RESP_ABCDE",IFERROR(VLOOKUP($A16,MAPA_RESPUESTA_TIPO,2,FALSE),"RESP_VACIA")))</formula1>
    </dataValidation>
    <dataValidation sqref="I1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INDIRECT(IF(OR($A17="SELECCION_MEJOR_RESPUESTA",$A17="SELECCION_SIMPLE",$A17="SELECCION_UNICA",$A17="SELECCION_DE_LA_MEJOR_RESPUESTA",$A17="SUBITEM_CASO",$A17="SUBITEM_DE_CASO_O_PROBLEMA"),"RESP_ABCDE",IFERROR(VLOOKUP($A17,MAPA_RESPUESTA_TIPO,2,FALSE),"RESP_VACIA")))</formula1>
    </dataValidation>
    <dataValidation sqref="I1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INDIRECT(IF(OR($A18="SELECCION_MEJOR_RESPUESTA",$A18="SELECCION_SIMPLE",$A18="SELECCION_UNICA",$A18="SELECCION_DE_LA_MEJOR_RESPUESTA",$A18="SUBITEM_CASO",$A18="SUBITEM_DE_CASO_O_PROBLEMA"),"RESP_ABCDE",IFERROR(VLOOKUP($A18,MAPA_RESPUESTA_TIPO,2,FALSE),"RESP_VACIA")))</formula1>
    </dataValidation>
    <dataValidation sqref="I1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INDIRECT(IF(OR($A19="SELECCION_MEJOR_RESPUESTA",$A19="SELECCION_SIMPLE",$A19="SELECCION_UNICA",$A19="SELECCION_DE_LA_MEJOR_RESPUESTA",$A19="SUBITEM_CASO",$A19="SUBITEM_DE_CASO_O_PROBLEMA"),"RESP_ABCDE",IFERROR(VLOOKUP($A19,MAPA_RESPUESTA_TIPO,2,FALSE),"RESP_VACIA")))</formula1>
    </dataValidation>
    <dataValidation sqref="I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INDIRECT(IF(OR($A2="SELECCION_MEJOR_RESPUESTA",$A2="SELECCION_SIMPLE",$A2="SELECCION_UNICA",$A2="SELECCION_DE_LA_MEJOR_RESPUESTA",$A2="SUBITEM_CASO",$A2="SUBITEM_DE_CASO_O_PROBLEMA"),"RESP_ABCDE",IFERROR(VLOOKUP($A2,MAPA_RESPUESTA_TIPO,2,FALSE),"RESP_VACIA")))</formula1>
    </dataValidation>
    <dataValidation sqref="I2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INDIRECT(IF(OR($A20="SELECCION_MEJOR_RESPUESTA",$A20="SELECCION_SIMPLE",$A20="SELECCION_UNICA",$A20="SELECCION_DE_LA_MEJOR_RESPUESTA",$A20="SUBITEM_CASO",$A20="SUBITEM_DE_CASO_O_PROBLEMA"),"RESP_ABCDE",IFERROR(VLOOKUP($A20,MAPA_RESPUESTA_TIPO,2,FALSE),"RESP_VACIA")))</formula1>
    </dataValidation>
    <dataValidation sqref="I2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INDIRECT(IF(OR($A21="SELECCION_MEJOR_RESPUESTA",$A21="SELECCION_SIMPLE",$A21="SELECCION_UNICA",$A21="SELECCION_DE_LA_MEJOR_RESPUESTA",$A21="SUBITEM_CASO",$A21="SUBITEM_DE_CASO_O_PROBLEMA"),"RESP_ABCDE",IFERROR(VLOOKUP($A21,MAPA_RESPUESTA_TIPO,2,FALSE),"RESP_VACIA")))</formula1>
    </dataValidation>
    <dataValidation sqref="I2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INDIRECT(IF(OR($A22="SELECCION_MEJOR_RESPUESTA",$A22="SELECCION_SIMPLE",$A22="SELECCION_UNICA",$A22="SELECCION_DE_LA_MEJOR_RESPUESTA",$A22="SUBITEM_CASO",$A22="SUBITEM_DE_CASO_O_PROBLEMA"),"RESP_ABCDE",IFERROR(VLOOKUP($A22,MAPA_RESPUESTA_TIPO,2,FALSE),"RESP_VACIA")))</formula1>
    </dataValidation>
    <dataValidation sqref="I2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INDIRECT(IF(OR($A23="SELECCION_MEJOR_RESPUESTA",$A23="SELECCION_SIMPLE",$A23="SELECCION_UNICA",$A23="SELECCION_DE_LA_MEJOR_RESPUESTA",$A23="SUBITEM_CASO",$A23="SUBITEM_DE_CASO_O_PROBLEMA"),"RESP_ABCDE",IFERROR(VLOOKUP($A23,MAPA_RESPUESTA_TIPO,2,FALSE),"RESP_VACIA")))</formula1>
    </dataValidation>
    <dataValidation sqref="I2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INDIRECT(IF(OR($A24="SELECCION_MEJOR_RESPUESTA",$A24="SELECCION_SIMPLE",$A24="SELECCION_UNICA",$A24="SELECCION_DE_LA_MEJOR_RESPUESTA",$A24="SUBITEM_CASO",$A24="SUBITEM_DE_CASO_O_PROBLEMA"),"RESP_ABCDE",IFERROR(VLOOKUP($A24,MAPA_RESPUESTA_TIPO,2,FALSE),"RESP_VACIA")))</formula1>
    </dataValidation>
    <dataValidation sqref="I2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INDIRECT(IF(OR($A25="SELECCION_MEJOR_RESPUESTA",$A25="SELECCION_SIMPLE",$A25="SELECCION_UNICA",$A25="SELECCION_DE_LA_MEJOR_RESPUESTA",$A25="SUBITEM_CASO",$A25="SUBITEM_DE_CASO_O_PROBLEMA"),"RESP_ABCDE",IFERROR(VLOOKUP($A25,MAPA_RESPUESTA_TIPO,2,FALSE),"RESP_VACIA")))</formula1>
    </dataValidation>
    <dataValidation sqref="I2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INDIRECT(IF(OR($A26="SELECCION_MEJOR_RESPUESTA",$A26="SELECCION_SIMPLE",$A26="SELECCION_UNICA",$A26="SELECCION_DE_LA_MEJOR_RESPUESTA",$A26="SUBITEM_CASO",$A26="SUBITEM_DE_CASO_O_PROBLEMA"),"RESP_ABCDE",IFERROR(VLOOKUP($A26,MAPA_RESPUESTA_TIPO,2,FALSE),"RESP_VACIA")))</formula1>
    </dataValidation>
    <dataValidation sqref="I2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INDIRECT(IF(OR($A27="SELECCION_MEJOR_RESPUESTA",$A27="SELECCION_SIMPLE",$A27="SELECCION_UNICA",$A27="SELECCION_DE_LA_MEJOR_RESPUESTA",$A27="SUBITEM_CASO",$A27="SUBITEM_DE_CASO_O_PROBLEMA"),"RESP_ABCDE",IFERROR(VLOOKUP($A27,MAPA_RESPUESTA_TIPO,2,FALSE),"RESP_VACIA")))</formula1>
    </dataValidation>
    <dataValidation sqref="I2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INDIRECT(IF(OR($A28="SELECCION_MEJOR_RESPUESTA",$A28="SELECCION_SIMPLE",$A28="SELECCION_UNICA",$A28="SELECCION_DE_LA_MEJOR_RESPUESTA",$A28="SUBITEM_CASO",$A28="SUBITEM_DE_CASO_O_PROBLEMA"),"RESP_ABCDE",IFERROR(VLOOKUP($A28,MAPA_RESPUESTA_TIPO,2,FALSE),"RESP_VACIA")))</formula1>
    </dataValidation>
    <dataValidation sqref="I2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INDIRECT(IF(OR($A29="SELECCION_MEJOR_RESPUESTA",$A29="SELECCION_SIMPLE",$A29="SELECCION_UNICA",$A29="SELECCION_DE_LA_MEJOR_RESPUESTA",$A29="SUBITEM_CASO",$A29="SUBITEM_DE_CASO_O_PROBLEMA"),"RESP_ABCDE",IFERROR(VLOOKUP($A29,MAPA_RESPUESTA_TIPO,2,FALSE),"RESP_VACIA")))</formula1>
    </dataValidation>
    <dataValidation sqref="I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INDIRECT(IF(OR($A3="SELECCION_MEJOR_RESPUESTA",$A3="SELECCION_SIMPLE",$A3="SELECCION_UNICA",$A3="SELECCION_DE_LA_MEJOR_RESPUESTA",$A3="SUBITEM_CASO",$A3="SUBITEM_DE_CASO_O_PROBLEMA"),"RESP_ABCDE",IFERROR(VLOOKUP($A3,MAPA_RESPUESTA_TIPO,2,FALSE),"RESP_VACIA")))</formula1>
    </dataValidation>
    <dataValidation sqref="I3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INDIRECT(IF(OR($A30="SELECCION_MEJOR_RESPUESTA",$A30="SELECCION_SIMPLE",$A30="SELECCION_UNICA",$A30="SELECCION_DE_LA_MEJOR_RESPUESTA",$A30="SUBITEM_CASO",$A30="SUBITEM_DE_CASO_O_PROBLEMA"),"RESP_ABCDE",IFERROR(VLOOKUP($A30,MAPA_RESPUESTA_TIPO,2,FALSE),"RESP_VACIA")))</formula1>
    </dataValidation>
    <dataValidation sqref="I3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INDIRECT(IF(OR($A31="SELECCION_MEJOR_RESPUESTA",$A31="SELECCION_SIMPLE",$A31="SELECCION_UNICA",$A31="SELECCION_DE_LA_MEJOR_RESPUESTA",$A31="SUBITEM_CASO",$A31="SUBITEM_DE_CASO_O_PROBLEMA"),"RESP_ABCDE",IFERROR(VLOOKUP($A31,MAPA_RESPUESTA_TIPO,2,FALSE),"RESP_VACIA")))</formula1>
    </dataValidation>
    <dataValidation sqref="I3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INDIRECT(IF(OR($A32="SELECCION_MEJOR_RESPUESTA",$A32="SELECCION_SIMPLE",$A32="SELECCION_UNICA",$A32="SELECCION_DE_LA_MEJOR_RESPUESTA",$A32="SUBITEM_CASO",$A32="SUBITEM_DE_CASO_O_PROBLEMA"),"RESP_ABCDE",IFERROR(VLOOKUP($A32,MAPA_RESPUESTA_TIPO,2,FALSE),"RESP_VACIA")))</formula1>
    </dataValidation>
    <dataValidation sqref="I3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INDIRECT(IF(OR($A33="SELECCION_MEJOR_RESPUESTA",$A33="SELECCION_SIMPLE",$A33="SELECCION_UNICA",$A33="SELECCION_DE_LA_MEJOR_RESPUESTA",$A33="SUBITEM_CASO",$A33="SUBITEM_DE_CASO_O_PROBLEMA"),"RESP_ABCDE",IFERROR(VLOOKUP($A33,MAPA_RESPUESTA_TIPO,2,FALSE),"RESP_VACIA")))</formula1>
    </dataValidation>
    <dataValidation sqref="I3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INDIRECT(IF(OR($A34="SELECCION_MEJOR_RESPUESTA",$A34="SELECCION_SIMPLE",$A34="SELECCION_UNICA",$A34="SELECCION_DE_LA_MEJOR_RESPUESTA",$A34="SUBITEM_CASO",$A34="SUBITEM_DE_CASO_O_PROBLEMA"),"RESP_ABCDE",IFERROR(VLOOKUP($A34,MAPA_RESPUESTA_TIPO,2,FALSE),"RESP_VACIA")))</formula1>
    </dataValidation>
    <dataValidation sqref="I3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INDIRECT(IF(OR($A35="SELECCION_MEJOR_RESPUESTA",$A35="SELECCION_SIMPLE",$A35="SELECCION_UNICA",$A35="SELECCION_DE_LA_MEJOR_RESPUESTA",$A35="SUBITEM_CASO",$A35="SUBITEM_DE_CASO_O_PROBLEMA"),"RESP_ABCDE",IFERROR(VLOOKUP($A35,MAPA_RESPUESTA_TIPO,2,FALSE),"RESP_VACIA")))</formula1>
    </dataValidation>
    <dataValidation sqref="I3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INDIRECT(IF(OR($A36="SELECCION_MEJOR_RESPUESTA",$A36="SELECCION_SIMPLE",$A36="SELECCION_UNICA",$A36="SELECCION_DE_LA_MEJOR_RESPUESTA",$A36="SUBITEM_CASO",$A36="SUBITEM_DE_CASO_O_PROBLEMA"),"RESP_ABCDE",IFERROR(VLOOKUP($A36,MAPA_RESPUESTA_TIPO,2,FALSE),"RESP_VACIA")))</formula1>
    </dataValidation>
    <dataValidation sqref="I3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INDIRECT(IF(OR($A37="SELECCION_MEJOR_RESPUESTA",$A37="SELECCION_SIMPLE",$A37="SELECCION_UNICA",$A37="SELECCION_DE_LA_MEJOR_RESPUESTA",$A37="SUBITEM_CASO",$A37="SUBITEM_DE_CASO_O_PROBLEMA"),"RESP_ABCDE",IFERROR(VLOOKUP($A37,MAPA_RESPUESTA_TIPO,2,FALSE),"RESP_VACIA")))</formula1>
    </dataValidation>
    <dataValidation sqref="I3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INDIRECT(IF(OR($A38="SELECCION_MEJOR_RESPUESTA",$A38="SELECCION_SIMPLE",$A38="SELECCION_UNICA",$A38="SELECCION_DE_LA_MEJOR_RESPUESTA",$A38="SUBITEM_CASO",$A38="SUBITEM_DE_CASO_O_PROBLEMA"),"RESP_ABCDE",IFERROR(VLOOKUP($A38,MAPA_RESPUESTA_TIPO,2,FALSE),"RESP_VACIA")))</formula1>
    </dataValidation>
    <dataValidation sqref="I3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INDIRECT(IF(OR($A39="SELECCION_MEJOR_RESPUESTA",$A39="SELECCION_SIMPLE",$A39="SELECCION_UNICA",$A39="SELECCION_DE_LA_MEJOR_RESPUESTA",$A39="SUBITEM_CASO",$A39="SUBITEM_DE_CASO_O_PROBLEMA"),"RESP_ABCDE",IFERROR(VLOOKUP($A39,MAPA_RESPUESTA_TIPO,2,FALSE),"RESP_VACIA")))</formula1>
    </dataValidation>
    <dataValidation sqref="I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INDIRECT(IF(OR($A4="SELECCION_MEJOR_RESPUESTA",$A4="SELECCION_SIMPLE",$A4="SELECCION_UNICA",$A4="SELECCION_DE_LA_MEJOR_RESPUESTA",$A4="SUBITEM_CASO",$A4="SUBITEM_DE_CASO_O_PROBLEMA"),"RESP_ABCDE",IFERROR(VLOOKUP($A4,MAPA_RESPUESTA_TIPO,2,FALSE),"RESP_VACIA")))</formula1>
    </dataValidation>
    <dataValidation sqref="I4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INDIRECT(IF(OR($A40="SELECCION_MEJOR_RESPUESTA",$A40="SELECCION_SIMPLE",$A40="SELECCION_UNICA",$A40="SELECCION_DE_LA_MEJOR_RESPUESTA",$A40="SUBITEM_CASO",$A40="SUBITEM_DE_CASO_O_PROBLEMA"),"RESP_ABCDE",IFERROR(VLOOKUP($A40,MAPA_RESPUESTA_TIPO,2,FALSE),"RESP_VACIA")))</formula1>
    </dataValidation>
    <dataValidation sqref="I4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INDIRECT(IF(OR($A41="SELECCION_MEJOR_RESPUESTA",$A41="SELECCION_SIMPLE",$A41="SELECCION_UNICA",$A41="SELECCION_DE_LA_MEJOR_RESPUESTA",$A41="SUBITEM_CASO",$A41="SUBITEM_DE_CASO_O_PROBLEMA"),"RESP_ABCDE",IFERROR(VLOOKUP($A41,MAPA_RESPUESTA_TIPO,2,FALSE),"RESP_VACIA")))</formula1>
    </dataValidation>
    <dataValidation sqref="I4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INDIRECT(IF(OR($A42="SELECCION_MEJOR_RESPUESTA",$A42="SELECCION_SIMPLE",$A42="SELECCION_UNICA",$A42="SELECCION_DE_LA_MEJOR_RESPUESTA",$A42="SUBITEM_CASO",$A42="SUBITEM_DE_CASO_O_PROBLEMA"),"RESP_ABCDE",IFERROR(VLOOKUP($A42,MAPA_RESPUESTA_TIPO,2,FALSE),"RESP_VACIA")))</formula1>
    </dataValidation>
    <dataValidation sqref="I4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INDIRECT(IF(OR($A43="SELECCION_MEJOR_RESPUESTA",$A43="SELECCION_SIMPLE",$A43="SELECCION_UNICA",$A43="SELECCION_DE_LA_MEJOR_RESPUESTA",$A43="SUBITEM_CASO",$A43="SUBITEM_DE_CASO_O_PROBLEMA"),"RESP_ABCDE",IFERROR(VLOOKUP($A43,MAPA_RESPUESTA_TIPO,2,FALSE),"RESP_VACIA")))</formula1>
    </dataValidation>
    <dataValidation sqref="I4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INDIRECT(IF(OR($A44="SELECCION_MEJOR_RESPUESTA",$A44="SELECCION_SIMPLE",$A44="SELECCION_UNICA",$A44="SELECCION_DE_LA_MEJOR_RESPUESTA",$A44="SUBITEM_CASO",$A44="SUBITEM_DE_CASO_O_PROBLEMA"),"RESP_ABCDE",IFERROR(VLOOKUP($A44,MAPA_RESPUESTA_TIPO,2,FALSE),"RESP_VACIA")))</formula1>
    </dataValidation>
    <dataValidation sqref="I4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INDIRECT(IF(OR($A45="SELECCION_MEJOR_RESPUESTA",$A45="SELECCION_SIMPLE",$A45="SELECCION_UNICA",$A45="SELECCION_DE_LA_MEJOR_RESPUESTA",$A45="SUBITEM_CASO",$A45="SUBITEM_DE_CASO_O_PROBLEMA"),"RESP_ABCDE",IFERROR(VLOOKUP($A45,MAPA_RESPUESTA_TIPO,2,FALSE),"RESP_VACIA")))</formula1>
    </dataValidation>
    <dataValidation sqref="I4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INDIRECT(IF(OR($A46="SELECCION_MEJOR_RESPUESTA",$A46="SELECCION_SIMPLE",$A46="SELECCION_UNICA",$A46="SELECCION_DE_LA_MEJOR_RESPUESTA",$A46="SUBITEM_CASO",$A46="SUBITEM_DE_CASO_O_PROBLEMA"),"RESP_ABCDE",IFERROR(VLOOKUP($A46,MAPA_RESPUESTA_TIPO,2,FALSE),"RESP_VACIA")))</formula1>
    </dataValidation>
    <dataValidation sqref="I4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INDIRECT(IF(OR($A47="SELECCION_MEJOR_RESPUESTA",$A47="SELECCION_SIMPLE",$A47="SELECCION_UNICA",$A47="SELECCION_DE_LA_MEJOR_RESPUESTA",$A47="SUBITEM_CASO",$A47="SUBITEM_DE_CASO_O_PROBLEMA"),"RESP_ABCDE",IFERROR(VLOOKUP($A47,MAPA_RESPUESTA_TIPO,2,FALSE),"RESP_VACIA")))</formula1>
    </dataValidation>
    <dataValidation sqref="I4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INDIRECT(IF(OR($A48="SELECCION_MEJOR_RESPUESTA",$A48="SELECCION_SIMPLE",$A48="SELECCION_UNICA",$A48="SELECCION_DE_LA_MEJOR_RESPUESTA",$A48="SUBITEM_CASO",$A48="SUBITEM_DE_CASO_O_PROBLEMA"),"RESP_ABCDE",IFERROR(VLOOKUP($A48,MAPA_RESPUESTA_TIPO,2,FALSE),"RESP_VACIA")))</formula1>
    </dataValidation>
    <dataValidation sqref="I4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INDIRECT(IF(OR($A49="SELECCION_MEJOR_RESPUESTA",$A49="SELECCION_SIMPLE",$A49="SELECCION_UNICA",$A49="SELECCION_DE_LA_MEJOR_RESPUESTA",$A49="SUBITEM_CASO",$A49="SUBITEM_DE_CASO_O_PROBLEMA"),"RESP_ABCDE",IFERROR(VLOOKUP($A49,MAPA_RESPUESTA_TIPO,2,FALSE),"RESP_VACIA")))</formula1>
    </dataValidation>
    <dataValidation sqref="I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INDIRECT(IF(OR($A5="SELECCION_MEJOR_RESPUESTA",$A5="SELECCION_SIMPLE",$A5="SELECCION_UNICA",$A5="SELECCION_DE_LA_MEJOR_RESPUESTA",$A5="SUBITEM_CASO",$A5="SUBITEM_DE_CASO_O_PROBLEMA"),"RESP_ABCDE",IFERROR(VLOOKUP($A5,MAPA_RESPUESTA_TIPO,2,FALSE),"RESP_VACIA")))</formula1>
    </dataValidation>
    <dataValidation sqref="I5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INDIRECT(IF(OR($A50="SELECCION_MEJOR_RESPUESTA",$A50="SELECCION_SIMPLE",$A50="SELECCION_UNICA",$A50="SELECCION_DE_LA_MEJOR_RESPUESTA",$A50="SUBITEM_CASO",$A50="SUBITEM_DE_CASO_O_PROBLEMA"),"RESP_ABCDE",IFERROR(VLOOKUP($A50,MAPA_RESPUESTA_TIPO,2,FALSE),"RESP_VACIA")))</formula1>
    </dataValidation>
    <dataValidation sqref="I5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INDIRECT(IF(OR($A51="SELECCION_MEJOR_RESPUESTA",$A51="SELECCION_SIMPLE",$A51="SELECCION_UNICA",$A51="SELECCION_DE_LA_MEJOR_RESPUESTA",$A51="SUBITEM_CASO",$A51="SUBITEM_DE_CASO_O_PROBLEMA"),"RESP_ABCDE",IFERROR(VLOOKUP($A51,MAPA_RESPUESTA_TIPO,2,FALSE),"RESP_VACIA")))</formula1>
    </dataValidation>
    <dataValidation sqref="I5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INDIRECT(IF(OR($A52="SELECCION_MEJOR_RESPUESTA",$A52="SELECCION_SIMPLE",$A52="SELECCION_UNICA",$A52="SELECCION_DE_LA_MEJOR_RESPUESTA",$A52="SUBITEM_CASO",$A52="SUBITEM_DE_CASO_O_PROBLEMA"),"RESP_ABCDE",IFERROR(VLOOKUP($A52,MAPA_RESPUESTA_TIPO,2,FALSE),"RESP_VACIA")))</formula1>
    </dataValidation>
    <dataValidation sqref="I5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INDIRECT(IF(OR($A53="SELECCION_MEJOR_RESPUESTA",$A53="SELECCION_SIMPLE",$A53="SELECCION_UNICA",$A53="SELECCION_DE_LA_MEJOR_RESPUESTA",$A53="SUBITEM_CASO",$A53="SUBITEM_DE_CASO_O_PROBLEMA"),"RESP_ABCDE",IFERROR(VLOOKUP($A53,MAPA_RESPUESTA_TIPO,2,FALSE),"RESP_VACIA")))</formula1>
    </dataValidation>
    <dataValidation sqref="I5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INDIRECT(IF(OR($A54="SELECCION_MEJOR_RESPUESTA",$A54="SELECCION_SIMPLE",$A54="SELECCION_UNICA",$A54="SELECCION_DE_LA_MEJOR_RESPUESTA",$A54="SUBITEM_CASO",$A54="SUBITEM_DE_CASO_O_PROBLEMA"),"RESP_ABCDE",IFERROR(VLOOKUP($A54,MAPA_RESPUESTA_TIPO,2,FALSE),"RESP_VACIA")))</formula1>
    </dataValidation>
    <dataValidation sqref="I5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INDIRECT(IF(OR($A55="SELECCION_MEJOR_RESPUESTA",$A55="SELECCION_SIMPLE",$A55="SELECCION_UNICA",$A55="SELECCION_DE_LA_MEJOR_RESPUESTA",$A55="SUBITEM_CASO",$A55="SUBITEM_DE_CASO_O_PROBLEMA"),"RESP_ABCDE",IFERROR(VLOOKUP($A55,MAPA_RESPUESTA_TIPO,2,FALSE),"RESP_VACIA")))</formula1>
    </dataValidation>
    <dataValidation sqref="I5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INDIRECT(IF(OR($A56="SELECCION_MEJOR_RESPUESTA",$A56="SELECCION_SIMPLE",$A56="SELECCION_UNICA",$A56="SELECCION_DE_LA_MEJOR_RESPUESTA",$A56="SUBITEM_CASO",$A56="SUBITEM_DE_CASO_O_PROBLEMA"),"RESP_ABCDE",IFERROR(VLOOKUP($A56,MAPA_RESPUESTA_TIPO,2,FALSE),"RESP_VACIA")))</formula1>
    </dataValidation>
    <dataValidation sqref="I5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INDIRECT(IF(OR($A57="SELECCION_MEJOR_RESPUESTA",$A57="SELECCION_SIMPLE",$A57="SELECCION_UNICA",$A57="SELECCION_DE_LA_MEJOR_RESPUESTA",$A57="SUBITEM_CASO",$A57="SUBITEM_DE_CASO_O_PROBLEMA"),"RESP_ABCDE",IFERROR(VLOOKUP($A57,MAPA_RESPUESTA_TIPO,2,FALSE),"RESP_VACIA")))</formula1>
    </dataValidation>
    <dataValidation sqref="I5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INDIRECT(IF(OR($A58="SELECCION_MEJOR_RESPUESTA",$A58="SELECCION_SIMPLE",$A58="SELECCION_UNICA",$A58="SELECCION_DE_LA_MEJOR_RESPUESTA",$A58="SUBITEM_CASO",$A58="SUBITEM_DE_CASO_O_PROBLEMA"),"RESP_ABCDE",IFERROR(VLOOKUP($A58,MAPA_RESPUESTA_TIPO,2,FALSE),"RESP_VACIA")))</formula1>
    </dataValidation>
    <dataValidation sqref="I5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INDIRECT(IF(OR($A59="SELECCION_MEJOR_RESPUESTA",$A59="SELECCION_SIMPLE",$A59="SELECCION_UNICA",$A59="SELECCION_DE_LA_MEJOR_RESPUESTA",$A59="SUBITEM_CASO",$A59="SUBITEM_DE_CASO_O_PROBLEMA"),"RESP_ABCDE",IFERROR(VLOOKUP($A59,MAPA_RESPUESTA_TIPO,2,FALSE),"RESP_VACIA")))</formula1>
    </dataValidation>
    <dataValidation sqref="I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INDIRECT(IF(OR($A6="SELECCION_MEJOR_RESPUESTA",$A6="SELECCION_SIMPLE",$A6="SELECCION_UNICA",$A6="SELECCION_DE_LA_MEJOR_RESPUESTA",$A6="SUBITEM_CASO",$A6="SUBITEM_DE_CASO_O_PROBLEMA"),"RESP_ABCDE",IFERROR(VLOOKUP($A6,MAPA_RESPUESTA_TIPO,2,FALSE),"RESP_VACIA")))</formula1>
    </dataValidation>
    <dataValidation sqref="I6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INDIRECT(IF(OR($A60="SELECCION_MEJOR_RESPUESTA",$A60="SELECCION_SIMPLE",$A60="SELECCION_UNICA",$A60="SELECCION_DE_LA_MEJOR_RESPUESTA",$A60="SUBITEM_CASO",$A60="SUBITEM_DE_CASO_O_PROBLEMA"),"RESP_ABCDE",IFERROR(VLOOKUP($A60,MAPA_RESPUESTA_TIPO,2,FALSE),"RESP_VACIA")))</formula1>
    </dataValidation>
    <dataValidation sqref="I6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INDIRECT(IF(OR($A61="SELECCION_MEJOR_RESPUESTA",$A61="SELECCION_SIMPLE",$A61="SELECCION_UNICA",$A61="SELECCION_DE_LA_MEJOR_RESPUESTA",$A61="SUBITEM_CASO",$A61="SUBITEM_DE_CASO_O_PROBLEMA"),"RESP_ABCDE",IFERROR(VLOOKUP($A61,MAPA_RESPUESTA_TIPO,2,FALSE),"RESP_VACIA")))</formula1>
    </dataValidation>
    <dataValidation sqref="I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INDIRECT(IF(OR($A7="SELECCION_MEJOR_RESPUESTA",$A7="SELECCION_SIMPLE",$A7="SELECCION_UNICA",$A7="SELECCION_DE_LA_MEJOR_RESPUESTA",$A7="SUBITEM_CASO",$A7="SUBITEM_DE_CASO_O_PROBLEMA"),"RESP_ABCDE",IFERROR(VLOOKUP($A7,MAPA_RESPUESTA_TIPO,2,FALSE),"RESP_VACIA")))</formula1>
    </dataValidation>
    <dataValidation sqref="I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INDIRECT(IF(OR($A8="SELECCION_MEJOR_RESPUESTA",$A8="SELECCION_SIMPLE",$A8="SELECCION_UNICA",$A8="SELECCION_DE_LA_MEJOR_RESPUESTA",$A8="SUBITEM_CASO",$A8="SUBITEM_DE_CASO_O_PROBLEMA"),"RESP_ABCDE",IFERROR(VLOOKUP($A8,MAPA_RESPUESTA_TIPO,2,FALSE),"RESP_VACIA")))</formula1>
    </dataValidation>
    <dataValidation sqref="I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INDIRECT(IF(OR($A9="SELECCION_MEJOR_RESPUESTA",$A9="SELECCION_SIMPLE",$A9="SELECCION_UNICA",$A9="SELECCION_DE_LA_MEJOR_RESPUESTA",$A9="SUBITEM_CASO",$A9="SUBITEM_DE_CASO_O_PROBLEMA"),"RESP_ABCDE",IFERROR(VLOOKUP($A9,MAPA_RESPUESTA_TIPO,2,FALSE),"RESP_VACIA")))</formula1>
    </dataValidation>
    <dataValidation sqref="J10" showDropDown="0" showInputMessage="0" showErrorMessage="1" allowBlank="1" errorTitle="Dificultad invalida" error="Use 1, 2 o 3. Casos/problemas y Emparejamiento Ampliado no llevan dificultad." type="list">
      <formula1>INDIRECT(IF(ISNUMBER(MATCH($A10,TIPOS_SIN_DIFICULTAD,0)),"RESP_VACIA","DIFICULTADES_123"))</formula1>
    </dataValidation>
    <dataValidation sqref="J11" showDropDown="0" showInputMessage="0" showErrorMessage="1" allowBlank="1" errorTitle="Dificultad invalida" error="Use 1, 2 o 3. Casos/problemas y Emparejamiento Ampliado no llevan dificultad." type="list">
      <formula1>INDIRECT(IF(ISNUMBER(MATCH($A11,TIPOS_SIN_DIFICULTAD,0)),"RESP_VACIA","DIFICULTADES_123"))</formula1>
    </dataValidation>
    <dataValidation sqref="J12" showDropDown="0" showInputMessage="0" showErrorMessage="1" allowBlank="1" errorTitle="Dificultad invalida" error="Use 1, 2 o 3. Casos/problemas y Emparejamiento Ampliado no llevan dificultad." type="list">
      <formula1>INDIRECT(IF(ISNUMBER(MATCH($A12,TIPOS_SIN_DIFICULTAD,0)),"RESP_VACIA","DIFICULTADES_123"))</formula1>
    </dataValidation>
    <dataValidation sqref="J13" showDropDown="0" showInputMessage="0" showErrorMessage="1" allowBlank="1" errorTitle="Dificultad invalida" error="Use 1, 2 o 3. Casos/problemas y Emparejamiento Ampliado no llevan dificultad." type="list">
      <formula1>INDIRECT(IF(ISNUMBER(MATCH($A13,TIPOS_SIN_DIFICULTAD,0)),"RESP_VACIA","DIFICULTADES_123"))</formula1>
    </dataValidation>
    <dataValidation sqref="J14" showDropDown="0" showInputMessage="0" showErrorMessage="1" allowBlank="1" errorTitle="Dificultad invalida" error="Use 1, 2 o 3. Casos/problemas y Emparejamiento Ampliado no llevan dificultad." type="list">
      <formula1>INDIRECT(IF(ISNUMBER(MATCH($A14,TIPOS_SIN_DIFICULTAD,0)),"RESP_VACIA","DIFICULTADES_123"))</formula1>
    </dataValidation>
    <dataValidation sqref="J15" showDropDown="0" showInputMessage="0" showErrorMessage="1" allowBlank="1" errorTitle="Dificultad invalida" error="Use 1, 2 o 3. Casos/problemas y Emparejamiento Ampliado no llevan dificultad." type="list">
      <formula1>INDIRECT(IF(ISNUMBER(MATCH($A15,TIPOS_SIN_DIFICULTAD,0)),"RESP_VACIA","DIFICULTADES_123"))</formula1>
    </dataValidation>
    <dataValidation sqref="J16" showDropDown="0" showInputMessage="0" showErrorMessage="1" allowBlank="1" errorTitle="Dificultad invalida" error="Use 1, 2 o 3. Casos/problemas y Emparejamiento Ampliado no llevan dificultad." type="list">
      <formula1>INDIRECT(IF(ISNUMBER(MATCH($A16,TIPOS_SIN_DIFICULTAD,0)),"RESP_VACIA","DIFICULTADES_123"))</formula1>
    </dataValidation>
    <dataValidation sqref="J17" showDropDown="0" showInputMessage="0" showErrorMessage="1" allowBlank="1" errorTitle="Dificultad invalida" error="Use 1, 2 o 3. Casos/problemas y Emparejamiento Ampliado no llevan dificultad." type="list">
      <formula1>INDIRECT(IF(ISNUMBER(MATCH($A17,TIPOS_SIN_DIFICULTAD,0)),"RESP_VACIA","DIFICULTADES_123"))</formula1>
    </dataValidation>
    <dataValidation sqref="J18" showDropDown="0" showInputMessage="0" showErrorMessage="1" allowBlank="1" errorTitle="Dificultad invalida" error="Use 1, 2 o 3. Casos/problemas y Emparejamiento Ampliado no llevan dificultad." type="list">
      <formula1>INDIRECT(IF(ISNUMBER(MATCH($A18,TIPOS_SIN_DIFICULTAD,0)),"RESP_VACIA","DIFICULTADES_123"))</formula1>
    </dataValidation>
    <dataValidation sqref="J19" showDropDown="0" showInputMessage="0" showErrorMessage="1" allowBlank="1" errorTitle="Dificultad invalida" error="Use 1, 2 o 3. Casos/problemas y Emparejamiento Ampliado no llevan dificultad." type="list">
      <formula1>INDIRECT(IF(ISNUMBER(MATCH($A19,TIPOS_SIN_DIFICULTAD,0)),"RESP_VACIA","DIFICULTADES_123"))</formula1>
    </dataValidation>
    <dataValidation sqref="J2" showDropDown="0" showInputMessage="0" showErrorMessage="1" allowBlank="1" errorTitle="Dificultad invalida" error="Use 1, 2 o 3. Casos/problemas y Emparejamiento Ampliado no llevan dificultad." type="list">
      <formula1>INDIRECT(IF(ISNUMBER(MATCH($A2,TIPOS_SIN_DIFICULTAD,0)),"RESP_VACIA","DIFICULTADES_123"))</formula1>
    </dataValidation>
    <dataValidation sqref="J20" showDropDown="0" showInputMessage="0" showErrorMessage="1" allowBlank="1" errorTitle="Dificultad invalida" error="Use 1, 2 o 3. Casos/problemas y Emparejamiento Ampliado no llevan dificultad." type="list">
      <formula1>INDIRECT(IF(ISNUMBER(MATCH($A20,TIPOS_SIN_DIFICULTAD,0)),"RESP_VACIA","DIFICULTADES_123"))</formula1>
    </dataValidation>
    <dataValidation sqref="J21" showDropDown="0" showInputMessage="0" showErrorMessage="1" allowBlank="1" errorTitle="Dificultad invalida" error="Use 1, 2 o 3. Casos/problemas y Emparejamiento Ampliado no llevan dificultad." type="list">
      <formula1>INDIRECT(IF(ISNUMBER(MATCH($A21,TIPOS_SIN_DIFICULTAD,0)),"RESP_VACIA","DIFICULTADES_123"))</formula1>
    </dataValidation>
    <dataValidation sqref="J22" showDropDown="0" showInputMessage="0" showErrorMessage="1" allowBlank="1" errorTitle="Dificultad invalida" error="Use 1, 2 o 3. Casos/problemas y Emparejamiento Ampliado no llevan dificultad." type="list">
      <formula1>INDIRECT(IF(ISNUMBER(MATCH($A22,TIPOS_SIN_DIFICULTAD,0)),"RESP_VACIA","DIFICULTADES_123"))</formula1>
    </dataValidation>
    <dataValidation sqref="J23" showDropDown="0" showInputMessage="0" showErrorMessage="1" allowBlank="1" errorTitle="Dificultad invalida" error="Use 1, 2 o 3. Casos/problemas y Emparejamiento Ampliado no llevan dificultad." type="list">
      <formula1>INDIRECT(IF(ISNUMBER(MATCH($A23,TIPOS_SIN_DIFICULTAD,0)),"RESP_VACIA","DIFICULTADES_123"))</formula1>
    </dataValidation>
    <dataValidation sqref="J24" showDropDown="0" showInputMessage="0" showErrorMessage="1" allowBlank="1" errorTitle="Dificultad invalida" error="Use 1, 2 o 3. Casos/problemas y Emparejamiento Ampliado no llevan dificultad." type="list">
      <formula1>INDIRECT(IF(ISNUMBER(MATCH($A24,TIPOS_SIN_DIFICULTAD,0)),"RESP_VACIA","DIFICULTADES_123"))</formula1>
    </dataValidation>
    <dataValidation sqref="J25" showDropDown="0" showInputMessage="0" showErrorMessage="1" allowBlank="1" errorTitle="Dificultad invalida" error="Use 1, 2 o 3. Casos/problemas y Emparejamiento Ampliado no llevan dificultad." type="list">
      <formula1>INDIRECT(IF(ISNUMBER(MATCH($A25,TIPOS_SIN_DIFICULTAD,0)),"RESP_VACIA","DIFICULTADES_123"))</formula1>
    </dataValidation>
    <dataValidation sqref="J26" showDropDown="0" showInputMessage="0" showErrorMessage="1" allowBlank="1" errorTitle="Dificultad invalida" error="Use 1, 2 o 3. Casos/problemas y Emparejamiento Ampliado no llevan dificultad." type="list">
      <formula1>INDIRECT(IF(ISNUMBER(MATCH($A26,TIPOS_SIN_DIFICULTAD,0)),"RESP_VACIA","DIFICULTADES_123"))</formula1>
    </dataValidation>
    <dataValidation sqref="J27" showDropDown="0" showInputMessage="0" showErrorMessage="1" allowBlank="1" errorTitle="Dificultad invalida" error="Use 1, 2 o 3. Casos/problemas y Emparejamiento Ampliado no llevan dificultad." type="list">
      <formula1>INDIRECT(IF(ISNUMBER(MATCH($A27,TIPOS_SIN_DIFICULTAD,0)),"RESP_VACIA","DIFICULTADES_123"))</formula1>
    </dataValidation>
    <dataValidation sqref="J28" showDropDown="0" showInputMessage="0" showErrorMessage="1" allowBlank="1" errorTitle="Dificultad invalida" error="Use 1, 2 o 3. Casos/problemas y Emparejamiento Ampliado no llevan dificultad." type="list">
      <formula1>INDIRECT(IF(ISNUMBER(MATCH($A28,TIPOS_SIN_DIFICULTAD,0)),"RESP_VACIA","DIFICULTADES_123"))</formula1>
    </dataValidation>
    <dataValidation sqref="J29" showDropDown="0" showInputMessage="0" showErrorMessage="1" allowBlank="1" errorTitle="Dificultad invalida" error="Use 1, 2 o 3. Casos/problemas y Emparejamiento Ampliado no llevan dificultad." type="list">
      <formula1>INDIRECT(IF(ISNUMBER(MATCH($A29,TIPOS_SIN_DIFICULTAD,0)),"RESP_VACIA","DIFICULTADES_123"))</formula1>
    </dataValidation>
    <dataValidation sqref="J3" showDropDown="0" showInputMessage="0" showErrorMessage="1" allowBlank="1" errorTitle="Dificultad invalida" error="Use 1, 2 o 3. Casos/problemas y Emparejamiento Ampliado no llevan dificultad." type="list">
      <formula1>INDIRECT(IF(ISNUMBER(MATCH($A3,TIPOS_SIN_DIFICULTAD,0)),"RESP_VACIA","DIFICULTADES_123"))</formula1>
    </dataValidation>
    <dataValidation sqref="J30" showDropDown="0" showInputMessage="0" showErrorMessage="1" allowBlank="1" errorTitle="Dificultad invalida" error="Use 1, 2 o 3. Casos/problemas y Emparejamiento Ampliado no llevan dificultad." type="list">
      <formula1>INDIRECT(IF(ISNUMBER(MATCH($A30,TIPOS_SIN_DIFICULTAD,0)),"RESP_VACIA","DIFICULTADES_123"))</formula1>
    </dataValidation>
    <dataValidation sqref="J31" showDropDown="0" showInputMessage="0" showErrorMessage="1" allowBlank="1" errorTitle="Dificultad invalida" error="Use 1, 2 o 3. Casos/problemas y Emparejamiento Ampliado no llevan dificultad." type="list">
      <formula1>INDIRECT(IF(ISNUMBER(MATCH($A31,TIPOS_SIN_DIFICULTAD,0)),"RESP_VACIA","DIFICULTADES_123"))</formula1>
    </dataValidation>
    <dataValidation sqref="J32" showDropDown="0" showInputMessage="0" showErrorMessage="1" allowBlank="1" errorTitle="Dificultad invalida" error="Use 1, 2 o 3. Casos/problemas y Emparejamiento Ampliado no llevan dificultad." type="list">
      <formula1>INDIRECT(IF(ISNUMBER(MATCH($A32,TIPOS_SIN_DIFICULTAD,0)),"RESP_VACIA","DIFICULTADES_123"))</formula1>
    </dataValidation>
    <dataValidation sqref="J33" showDropDown="0" showInputMessage="0" showErrorMessage="1" allowBlank="1" errorTitle="Dificultad invalida" error="Use 1, 2 o 3. Casos/problemas y Emparejamiento Ampliado no llevan dificultad." type="list">
      <formula1>INDIRECT(IF(ISNUMBER(MATCH($A33,TIPOS_SIN_DIFICULTAD,0)),"RESP_VACIA","DIFICULTADES_123"))</formula1>
    </dataValidation>
    <dataValidation sqref="J34" showDropDown="0" showInputMessage="0" showErrorMessage="1" allowBlank="1" errorTitle="Dificultad invalida" error="Use 1, 2 o 3. Casos/problemas y Emparejamiento Ampliado no llevan dificultad." type="list">
      <formula1>INDIRECT(IF(ISNUMBER(MATCH($A34,TIPOS_SIN_DIFICULTAD,0)),"RESP_VACIA","DIFICULTADES_123"))</formula1>
    </dataValidation>
    <dataValidation sqref="J35" showDropDown="0" showInputMessage="0" showErrorMessage="1" allowBlank="1" errorTitle="Dificultad invalida" error="Use 1, 2 o 3. Casos/problemas y Emparejamiento Ampliado no llevan dificultad." type="list">
      <formula1>INDIRECT(IF(ISNUMBER(MATCH($A35,TIPOS_SIN_DIFICULTAD,0)),"RESP_VACIA","DIFICULTADES_123"))</formula1>
    </dataValidation>
    <dataValidation sqref="J36" showDropDown="0" showInputMessage="0" showErrorMessage="1" allowBlank="1" errorTitle="Dificultad invalida" error="Use 1, 2 o 3. Casos/problemas y Emparejamiento Ampliado no llevan dificultad." type="list">
      <formula1>INDIRECT(IF(ISNUMBER(MATCH($A36,TIPOS_SIN_DIFICULTAD,0)),"RESP_VACIA","DIFICULTADES_123"))</formula1>
    </dataValidation>
    <dataValidation sqref="J37" showDropDown="0" showInputMessage="0" showErrorMessage="1" allowBlank="1" errorTitle="Dificultad invalida" error="Use 1, 2 o 3. Casos/problemas y Emparejamiento Ampliado no llevan dificultad." type="list">
      <formula1>INDIRECT(IF(ISNUMBER(MATCH($A37,TIPOS_SIN_DIFICULTAD,0)),"RESP_VACIA","DIFICULTADES_123"))</formula1>
    </dataValidation>
    <dataValidation sqref="J38" showDropDown="0" showInputMessage="0" showErrorMessage="1" allowBlank="1" errorTitle="Dificultad invalida" error="Use 1, 2 o 3. Casos/problemas y Emparejamiento Ampliado no llevan dificultad." type="list">
      <formula1>INDIRECT(IF(ISNUMBER(MATCH($A38,TIPOS_SIN_DIFICULTAD,0)),"RESP_VACIA","DIFICULTADES_123"))</formula1>
    </dataValidation>
    <dataValidation sqref="J39" showDropDown="0" showInputMessage="0" showErrorMessage="1" allowBlank="1" errorTitle="Dificultad invalida" error="Use 1, 2 o 3. Casos/problemas y Emparejamiento Ampliado no llevan dificultad." type="list">
      <formula1>INDIRECT(IF(ISNUMBER(MATCH($A39,TIPOS_SIN_DIFICULTAD,0)),"RESP_VACIA","DIFICULTADES_123"))</formula1>
    </dataValidation>
    <dataValidation sqref="J4" showDropDown="0" showInputMessage="0" showErrorMessage="1" allowBlank="1" errorTitle="Dificultad invalida" error="Use 1, 2 o 3. Casos/problemas y Emparejamiento Ampliado no llevan dificultad." type="list">
      <formula1>INDIRECT(IF(ISNUMBER(MATCH($A4,TIPOS_SIN_DIFICULTAD,0)),"RESP_VACIA","DIFICULTADES_123"))</formula1>
    </dataValidation>
    <dataValidation sqref="J40" showDropDown="0" showInputMessage="0" showErrorMessage="1" allowBlank="1" errorTitle="Dificultad invalida" error="Use 1, 2 o 3. Casos/problemas y Emparejamiento Ampliado no llevan dificultad." type="list">
      <formula1>INDIRECT(IF(ISNUMBER(MATCH($A40,TIPOS_SIN_DIFICULTAD,0)),"RESP_VACIA","DIFICULTADES_123"))</formula1>
    </dataValidation>
    <dataValidation sqref="J41" showDropDown="0" showInputMessage="0" showErrorMessage="1" allowBlank="1" errorTitle="Dificultad invalida" error="Use 1, 2 o 3. Casos/problemas y Emparejamiento Ampliado no llevan dificultad." type="list">
      <formula1>INDIRECT(IF(ISNUMBER(MATCH($A41,TIPOS_SIN_DIFICULTAD,0)),"RESP_VACIA","DIFICULTADES_123"))</formula1>
    </dataValidation>
    <dataValidation sqref="J42" showDropDown="0" showInputMessage="0" showErrorMessage="1" allowBlank="1" errorTitle="Dificultad invalida" error="Use 1, 2 o 3. Casos/problemas y Emparejamiento Ampliado no llevan dificultad." type="list">
      <formula1>INDIRECT(IF(ISNUMBER(MATCH($A42,TIPOS_SIN_DIFICULTAD,0)),"RESP_VACIA","DIFICULTADES_123"))</formula1>
    </dataValidation>
    <dataValidation sqref="J43" showDropDown="0" showInputMessage="0" showErrorMessage="1" allowBlank="1" errorTitle="Dificultad invalida" error="Use 1, 2 o 3. Casos/problemas y Emparejamiento Ampliado no llevan dificultad." type="list">
      <formula1>INDIRECT(IF(ISNUMBER(MATCH($A43,TIPOS_SIN_DIFICULTAD,0)),"RESP_VACIA","DIFICULTADES_123"))</formula1>
    </dataValidation>
    <dataValidation sqref="J44" showDropDown="0" showInputMessage="0" showErrorMessage="1" allowBlank="1" errorTitle="Dificultad invalida" error="Use 1, 2 o 3. Casos/problemas y Emparejamiento Ampliado no llevan dificultad." type="list">
      <formula1>INDIRECT(IF(ISNUMBER(MATCH($A44,TIPOS_SIN_DIFICULTAD,0)),"RESP_VACIA","DIFICULTADES_123"))</formula1>
    </dataValidation>
    <dataValidation sqref="J45" showDropDown="0" showInputMessage="0" showErrorMessage="1" allowBlank="1" errorTitle="Dificultad invalida" error="Use 1, 2 o 3. Casos/problemas y Emparejamiento Ampliado no llevan dificultad." type="list">
      <formula1>INDIRECT(IF(ISNUMBER(MATCH($A45,TIPOS_SIN_DIFICULTAD,0)),"RESP_VACIA","DIFICULTADES_123"))</formula1>
    </dataValidation>
    <dataValidation sqref="J46" showDropDown="0" showInputMessage="0" showErrorMessage="1" allowBlank="1" errorTitle="Dificultad invalida" error="Use 1, 2 o 3. Casos/problemas y Emparejamiento Ampliado no llevan dificultad." type="list">
      <formula1>INDIRECT(IF(ISNUMBER(MATCH($A46,TIPOS_SIN_DIFICULTAD,0)),"RESP_VACIA","DIFICULTADES_123"))</formula1>
    </dataValidation>
    <dataValidation sqref="J47" showDropDown="0" showInputMessage="0" showErrorMessage="1" allowBlank="1" errorTitle="Dificultad invalida" error="Use 1, 2 o 3. Casos/problemas y Emparejamiento Ampliado no llevan dificultad." type="list">
      <formula1>INDIRECT(IF(ISNUMBER(MATCH($A47,TIPOS_SIN_DIFICULTAD,0)),"RESP_VACIA","DIFICULTADES_123"))</formula1>
    </dataValidation>
    <dataValidation sqref="J48" showDropDown="0" showInputMessage="0" showErrorMessage="1" allowBlank="1" errorTitle="Dificultad invalida" error="Use 1, 2 o 3. Casos/problemas y Emparejamiento Ampliado no llevan dificultad." type="list">
      <formula1>INDIRECT(IF(ISNUMBER(MATCH($A48,TIPOS_SIN_DIFICULTAD,0)),"RESP_VACIA","DIFICULTADES_123"))</formula1>
    </dataValidation>
    <dataValidation sqref="J49" showDropDown="0" showInputMessage="0" showErrorMessage="1" allowBlank="1" errorTitle="Dificultad invalida" error="Use 1, 2 o 3. Casos/problemas y Emparejamiento Ampliado no llevan dificultad." type="list">
      <formula1>INDIRECT(IF(ISNUMBER(MATCH($A49,TIPOS_SIN_DIFICULTAD,0)),"RESP_VACIA","DIFICULTADES_123"))</formula1>
    </dataValidation>
    <dataValidation sqref="J5" showDropDown="0" showInputMessage="0" showErrorMessage="1" allowBlank="1" errorTitle="Dificultad invalida" error="Use 1, 2 o 3. Casos/problemas y Emparejamiento Ampliado no llevan dificultad." type="list">
      <formula1>INDIRECT(IF(ISNUMBER(MATCH($A5,TIPOS_SIN_DIFICULTAD,0)),"RESP_VACIA","DIFICULTADES_123"))</formula1>
    </dataValidation>
    <dataValidation sqref="J50" showDropDown="0" showInputMessage="0" showErrorMessage="1" allowBlank="1" errorTitle="Dificultad invalida" error="Use 1, 2 o 3. Casos/problemas y Emparejamiento Ampliado no llevan dificultad." type="list">
      <formula1>INDIRECT(IF(ISNUMBER(MATCH($A50,TIPOS_SIN_DIFICULTAD,0)),"RESP_VACIA","DIFICULTADES_123"))</formula1>
    </dataValidation>
    <dataValidation sqref="J51" showDropDown="0" showInputMessage="0" showErrorMessage="1" allowBlank="1" errorTitle="Dificultad invalida" error="Use 1, 2 o 3. Casos/problemas y Emparejamiento Ampliado no llevan dificultad." type="list">
      <formula1>INDIRECT(IF(ISNUMBER(MATCH($A51,TIPOS_SIN_DIFICULTAD,0)),"RESP_VACIA","DIFICULTADES_123"))</formula1>
    </dataValidation>
    <dataValidation sqref="J52" showDropDown="0" showInputMessage="0" showErrorMessage="1" allowBlank="1" errorTitle="Dificultad invalida" error="Use 1, 2 o 3. Casos/problemas y Emparejamiento Ampliado no llevan dificultad." type="list">
      <formula1>INDIRECT(IF(ISNUMBER(MATCH($A52,TIPOS_SIN_DIFICULTAD,0)),"RESP_VACIA","DIFICULTADES_123"))</formula1>
    </dataValidation>
    <dataValidation sqref="J53" showDropDown="0" showInputMessage="0" showErrorMessage="1" allowBlank="1" errorTitle="Dificultad invalida" error="Use 1, 2 o 3. Casos/problemas y Emparejamiento Ampliado no llevan dificultad." type="list">
      <formula1>INDIRECT(IF(ISNUMBER(MATCH($A53,TIPOS_SIN_DIFICULTAD,0)),"RESP_VACIA","DIFICULTADES_123"))</formula1>
    </dataValidation>
    <dataValidation sqref="J54" showDropDown="0" showInputMessage="0" showErrorMessage="1" allowBlank="1" errorTitle="Dificultad invalida" error="Use 1, 2 o 3. Casos/problemas y Emparejamiento Ampliado no llevan dificultad." type="list">
      <formula1>INDIRECT(IF(ISNUMBER(MATCH($A54,TIPOS_SIN_DIFICULTAD,0)),"RESP_VACIA","DIFICULTADES_123"))</formula1>
    </dataValidation>
    <dataValidation sqref="J55" showDropDown="0" showInputMessage="0" showErrorMessage="1" allowBlank="1" errorTitle="Dificultad invalida" error="Use 1, 2 o 3. Casos/problemas y Emparejamiento Ampliado no llevan dificultad." type="list">
      <formula1>INDIRECT(IF(ISNUMBER(MATCH($A55,TIPOS_SIN_DIFICULTAD,0)),"RESP_VACIA","DIFICULTADES_123"))</formula1>
    </dataValidation>
    <dataValidation sqref="J56" showDropDown="0" showInputMessage="0" showErrorMessage="1" allowBlank="1" errorTitle="Dificultad invalida" error="Use 1, 2 o 3. Casos/problemas y Emparejamiento Ampliado no llevan dificultad." type="list">
      <formula1>INDIRECT(IF(ISNUMBER(MATCH($A56,TIPOS_SIN_DIFICULTAD,0)),"RESP_VACIA","DIFICULTADES_123"))</formula1>
    </dataValidation>
    <dataValidation sqref="J57" showDropDown="0" showInputMessage="0" showErrorMessage="1" allowBlank="1" errorTitle="Dificultad invalida" error="Use 1, 2 o 3. Casos/problemas y Emparejamiento Ampliado no llevan dificultad." type="list">
      <formula1>INDIRECT(IF(ISNUMBER(MATCH($A57,TIPOS_SIN_DIFICULTAD,0)),"RESP_VACIA","DIFICULTADES_123"))</formula1>
    </dataValidation>
    <dataValidation sqref="J58" showDropDown="0" showInputMessage="0" showErrorMessage="1" allowBlank="1" errorTitle="Dificultad invalida" error="Use 1, 2 o 3. Casos/problemas y Emparejamiento Ampliado no llevan dificultad." type="list">
      <formula1>INDIRECT(IF(ISNUMBER(MATCH($A58,TIPOS_SIN_DIFICULTAD,0)),"RESP_VACIA","DIFICULTADES_123"))</formula1>
    </dataValidation>
    <dataValidation sqref="J59" showDropDown="0" showInputMessage="0" showErrorMessage="1" allowBlank="1" errorTitle="Dificultad invalida" error="Use 1, 2 o 3. Casos/problemas y Emparejamiento Ampliado no llevan dificultad." type="list">
      <formula1>INDIRECT(IF(ISNUMBER(MATCH($A59,TIPOS_SIN_DIFICULTAD,0)),"RESP_VACIA","DIFICULTADES_123"))</formula1>
    </dataValidation>
    <dataValidation sqref="J6" showDropDown="0" showInputMessage="0" showErrorMessage="1" allowBlank="1" errorTitle="Dificultad invalida" error="Use 1, 2 o 3. Casos/problemas y Emparejamiento Ampliado no llevan dificultad." type="list">
      <formula1>INDIRECT(IF(ISNUMBER(MATCH($A6,TIPOS_SIN_DIFICULTAD,0)),"RESP_VACIA","DIFICULTADES_123"))</formula1>
    </dataValidation>
    <dataValidation sqref="J60" showDropDown="0" showInputMessage="0" showErrorMessage="1" allowBlank="1" errorTitle="Dificultad invalida" error="Use 1, 2 o 3. Casos/problemas y Emparejamiento Ampliado no llevan dificultad." type="list">
      <formula1>INDIRECT(IF(ISNUMBER(MATCH($A60,TIPOS_SIN_DIFICULTAD,0)),"RESP_VACIA","DIFICULTADES_123"))</formula1>
    </dataValidation>
    <dataValidation sqref="J61" showDropDown="0" showInputMessage="0" showErrorMessage="1" allowBlank="1" errorTitle="Dificultad invalida" error="Use 1, 2 o 3. Casos/problemas y Emparejamiento Ampliado no llevan dificultad." type="list">
      <formula1>INDIRECT(IF(ISNUMBER(MATCH($A61,TIPOS_SIN_DIFICULTAD,0)),"RESP_VACIA","DIFICULTADES_123"))</formula1>
    </dataValidation>
    <dataValidation sqref="J7" showDropDown="0" showInputMessage="0" showErrorMessage="1" allowBlank="1" errorTitle="Dificultad invalida" error="Use 1, 2 o 3. Casos/problemas y Emparejamiento Ampliado no llevan dificultad." type="list">
      <formula1>INDIRECT(IF(ISNUMBER(MATCH($A7,TIPOS_SIN_DIFICULTAD,0)),"RESP_VACIA","DIFICULTADES_123"))</formula1>
    </dataValidation>
    <dataValidation sqref="J8" showDropDown="0" showInputMessage="0" showErrorMessage="1" allowBlank="1" errorTitle="Dificultad invalida" error="Use 1, 2 o 3. Casos/problemas y Emparejamiento Ampliado no llevan dificultad." type="list">
      <formula1>INDIRECT(IF(ISNUMBER(MATCH($A8,TIPOS_SIN_DIFICULTAD,0)),"RESP_VACIA","DIFICULTADES_123"))</formula1>
    </dataValidation>
    <dataValidation sqref="J9" showDropDown="0" showInputMessage="0" showErrorMessage="1" allowBlank="1" errorTitle="Dificultad invalida" error="Use 1, 2 o 3. Casos/problemas y Emparejamiento Ampliado no llevan dificultad." type="list">
      <formula1>INDIRECT(IF(ISNUMBER(MATCH($A9,TIPOS_SIN_DIFICULTAD,0)),"RESP_VACIA","DIFICULTADES_123"))</formula1>
    </dataValidation>
    <dataValidation sqref="A2:A101" showDropDown="0" showInputMessage="1" showErrorMessage="1" allowBlank="1" errorTitle="Tipo no válido" error="Seleccione un tipo desde la lista del formato oficial." promptTitle="Tipo de pregunta" prompt="Seleccione un tipo. Las columnas de incisos se completan automáticamente según la tipología." type="list">
      <formula1>LISTA_TIPOS_2P</formula1>
    </dataValidation>
    <dataValidation sqref="B62" showDropDown="0" showInputMessage="0" showErrorMessage="1" allowBlank="1" errorTitle="Grupo invalido" error="El grupo solo se llena en casos/problemas, subitems, emparejamiento ampliado y opciones de emparejamiento." type="custom">
      <formula1>IF(OR(ISNUMBER(MATCH($A62,TIPOS_REQUIEREN_GRUPO,0)),OR($A62="CASO_CLINICO_TRONCO",$A62="CASO_CLINICO",$A62="ITEMS_AGRUPADOS_POR_CASO_CLINICO_O_PROBLEMA",$A62="PROBLEMA",$A62="SUBPROBLEMA",$A62="SUBITEM_CASO",$A62="SUBITEM_DE_CASO_O_PROBLEMA",$A62="EMPAREJAMIENTO_TRONCO",$A62="EMPAREJAMIENTO_AMPLIADO",$A62="EMPAREJAMIENTO_DE_CONCEPTOS",$A62="OPCION_EMPAREJAMIENTO",$A62="OPCION_DE_EMPAREJAMIENTO_AMPLIADO")),LEN(TRIM($B62))&gt;0,LEN(TRIM($B62))=0)</formula1>
    </dataValidation>
    <dataValidation sqref="D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IF(OR(ISNUMBER(MATCH($A62,TIPOS_OPCION_D,0)),OR($A62="SELECCION_MEJOR_RESPUESTA",$A62="SELECCION_SIMPLE",$A62="SELECCION_UNICA",$A62="SELECCION_DE_LA_MEJOR_RESPUESTA",$A62="SUBITEM_CASO",$A62="SUBITEM_DE_CASO_O_PROBLEMA")),TRUE,LEN(TRIM($D62))=0)</formula1>
    </dataValidation>
    <dataValidation sqref="E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IF(OR(ISNUMBER(MATCH($A62,TIPOS_OPCION_E,0)),OR($A62="SELECCION_MEJOR_RESPUESTA",$A62="SELECCION_SIMPLE",$A62="SELECCION_UNICA",$A62="SELECCION_DE_LA_MEJOR_RESPUESTA",$A62="SUBITEM_CASO",$A62="SUBITEM_DE_CASO_O_PROBLEMA")),TRUE,LEN(TRIM($E62))=0)</formula1>
    </dataValidation>
    <dataValidation sqref="F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IF(OR(ISNUMBER(MATCH($A62,TIPOS_OPCION_F,0)),OR($A62="SELECCION_MEJOR_RESPUESTA",$A62="SELECCION_SIMPLE",$A62="SELECCION_UNICA",$A62="SELECCION_DE_LA_MEJOR_RESPUESTA",$A62="SUBITEM_CASO",$A62="SUBITEM_DE_CASO_O_PROBLEMA")),TRUE,LEN(TRIM($F62))=0)</formula1>
    </dataValidation>
    <dataValidation sqref="G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IF(OR(ISNUMBER(MATCH($A62,TIPOS_OPCION_G,0)),OR($A62="SELECCION_MEJOR_RESPUESTA",$A62="SELECCION_SIMPLE",$A62="SELECCION_UNICA",$A62="SELECCION_DE_LA_MEJOR_RESPUESTA",$A62="SUBITEM_CASO",$A62="SUBITEM_DE_CASO_O_PROBLEMA")),TRUE,LEN(TRIM($G62))=0)</formula1>
    </dataValidation>
    <dataValidation sqref="H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IF(OR(ISNUMBER(MATCH($A62,TIPOS_OPCION_H,0)),OR($A62="SELECCION_MEJOR_RESPUESTA",$A62="SELECCION_SIMPLE",$A62="SELECCION_UNICA",$A62="SELECCION_DE_LA_MEJOR_RESPUESTA",$A62="SUBITEM_CASO",$A62="SUBITEM_DE_CASO_O_PROBLEMA")),TRUE,LEN(TRIM($H62))=0)</formula1>
    </dataValidation>
    <dataValidation sqref="I6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INDIRECT(IF(OR($A62="SELECCION_MEJOR_RESPUESTA",$A62="SELECCION_SIMPLE",$A62="SELECCION_UNICA",$A62="SELECCION_DE_LA_MEJOR_RESPUESTA",$A62="SUBITEM_CASO",$A62="SUBITEM_DE_CASO_O_PROBLEMA"),"RESP_ABCDE",IFERROR(VLOOKUP($A62,MAPA_RESPUESTA_TIPO,2,FALSE),"RESP_VACIA")))</formula1>
    </dataValidation>
    <dataValidation sqref="J62" showDropDown="0" showInputMessage="0" showErrorMessage="1" allowBlank="1" errorTitle="Dificultad invalida" error="Use 1, 2 o 3. Casos/problemas y Emparejamiento Ampliado no llevan dificultad." type="list">
      <formula1>INDIRECT(IF(ISNUMBER(MATCH($A62,TIPOS_SIN_DIFICULTAD,0)),"RESP_VACIA","DIFICULTADES_123"))</formula1>
    </dataValidation>
    <dataValidation sqref="B63" showDropDown="0" showInputMessage="0" showErrorMessage="1" allowBlank="1" errorTitle="Grupo invalido" error="El grupo solo se llena en casos/problemas, subitems, emparejamiento ampliado y opciones de emparejamiento." type="custom">
      <formula1>IF(OR(ISNUMBER(MATCH($A63,TIPOS_REQUIEREN_GRUPO,0)),OR($A63="CASO_CLINICO_TRONCO",$A63="CASO_CLINICO",$A63="ITEMS_AGRUPADOS_POR_CASO_CLINICO_O_PROBLEMA",$A63="PROBLEMA",$A63="SUBPROBLEMA",$A63="SUBITEM_CASO",$A63="SUBITEM_DE_CASO_O_PROBLEMA",$A63="EMPAREJAMIENTO_TRONCO",$A63="EMPAREJAMIENTO_AMPLIADO",$A63="EMPAREJAMIENTO_DE_CONCEPTOS",$A63="OPCION_EMPAREJAMIENTO",$A63="OPCION_DE_EMPAREJAMIENTO_AMPLIADO")),LEN(TRIM($B63))&gt;0,LEN(TRIM($B63))=0)</formula1>
    </dataValidation>
    <dataValidation sqref="D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IF(OR(ISNUMBER(MATCH($A63,TIPOS_OPCION_D,0)),OR($A63="SELECCION_MEJOR_RESPUESTA",$A63="SELECCION_SIMPLE",$A63="SELECCION_UNICA",$A63="SELECCION_DE_LA_MEJOR_RESPUESTA",$A63="SUBITEM_CASO",$A63="SUBITEM_DE_CASO_O_PROBLEMA")),TRUE,LEN(TRIM($D63))=0)</formula1>
    </dataValidation>
    <dataValidation sqref="E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IF(OR(ISNUMBER(MATCH($A63,TIPOS_OPCION_E,0)),OR($A63="SELECCION_MEJOR_RESPUESTA",$A63="SELECCION_SIMPLE",$A63="SELECCION_UNICA",$A63="SELECCION_DE_LA_MEJOR_RESPUESTA",$A63="SUBITEM_CASO",$A63="SUBITEM_DE_CASO_O_PROBLEMA")),TRUE,LEN(TRIM($E63))=0)</formula1>
    </dataValidation>
    <dataValidation sqref="F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IF(OR(ISNUMBER(MATCH($A63,TIPOS_OPCION_F,0)),OR($A63="SELECCION_MEJOR_RESPUESTA",$A63="SELECCION_SIMPLE",$A63="SELECCION_UNICA",$A63="SELECCION_DE_LA_MEJOR_RESPUESTA",$A63="SUBITEM_CASO",$A63="SUBITEM_DE_CASO_O_PROBLEMA")),TRUE,LEN(TRIM($F63))=0)</formula1>
    </dataValidation>
    <dataValidation sqref="G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IF(OR(ISNUMBER(MATCH($A63,TIPOS_OPCION_G,0)),OR($A63="SELECCION_MEJOR_RESPUESTA",$A63="SELECCION_SIMPLE",$A63="SELECCION_UNICA",$A63="SELECCION_DE_LA_MEJOR_RESPUESTA",$A63="SUBITEM_CASO",$A63="SUBITEM_DE_CASO_O_PROBLEMA")),TRUE,LEN(TRIM($G63))=0)</formula1>
    </dataValidation>
    <dataValidation sqref="H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IF(OR(ISNUMBER(MATCH($A63,TIPOS_OPCION_H,0)),OR($A63="SELECCION_MEJOR_RESPUESTA",$A63="SELECCION_SIMPLE",$A63="SELECCION_UNICA",$A63="SELECCION_DE_LA_MEJOR_RESPUESTA",$A63="SUBITEM_CASO",$A63="SUBITEM_DE_CASO_O_PROBLEMA")),TRUE,LEN(TRIM($H63))=0)</formula1>
    </dataValidation>
    <dataValidation sqref="I6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INDIRECT(IF(OR($A63="SELECCION_MEJOR_RESPUESTA",$A63="SELECCION_SIMPLE",$A63="SELECCION_UNICA",$A63="SELECCION_DE_LA_MEJOR_RESPUESTA",$A63="SUBITEM_CASO",$A63="SUBITEM_DE_CASO_O_PROBLEMA"),"RESP_ABCDE",IFERROR(VLOOKUP($A63,MAPA_RESPUESTA_TIPO,2,FALSE),"RESP_VACIA")))</formula1>
    </dataValidation>
    <dataValidation sqref="J63" showDropDown="0" showInputMessage="0" showErrorMessage="1" allowBlank="1" errorTitle="Dificultad invalida" error="Use 1, 2 o 3. Casos/problemas y Emparejamiento Ampliado no llevan dificultad." type="list">
      <formula1>INDIRECT(IF(ISNUMBER(MATCH($A63,TIPOS_SIN_DIFICULTAD,0)),"RESP_VACIA","DIFICULTADES_123"))</formula1>
    </dataValidation>
    <dataValidation sqref="B64" showDropDown="0" showInputMessage="0" showErrorMessage="1" allowBlank="1" errorTitle="Grupo invalido" error="El grupo solo se llena en casos/problemas, subitems, emparejamiento ampliado y opciones de emparejamiento." type="custom">
      <formula1>IF(OR(ISNUMBER(MATCH($A64,TIPOS_REQUIEREN_GRUPO,0)),OR($A64="CASO_CLINICO_TRONCO",$A64="CASO_CLINICO",$A64="ITEMS_AGRUPADOS_POR_CASO_CLINICO_O_PROBLEMA",$A64="PROBLEMA",$A64="SUBPROBLEMA",$A64="SUBITEM_CASO",$A64="SUBITEM_DE_CASO_O_PROBLEMA",$A64="EMPAREJAMIENTO_TRONCO",$A64="EMPAREJAMIENTO_AMPLIADO",$A64="EMPAREJAMIENTO_DE_CONCEPTOS",$A64="OPCION_EMPAREJAMIENTO",$A64="OPCION_DE_EMPAREJAMIENTO_AMPLIADO")),LEN(TRIM($B64))&gt;0,LEN(TRIM($B64))=0)</formula1>
    </dataValidation>
    <dataValidation sqref="D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IF(OR(ISNUMBER(MATCH($A64,TIPOS_OPCION_D,0)),OR($A64="SELECCION_MEJOR_RESPUESTA",$A64="SELECCION_SIMPLE",$A64="SELECCION_UNICA",$A64="SELECCION_DE_LA_MEJOR_RESPUESTA",$A64="SUBITEM_CASO",$A64="SUBITEM_DE_CASO_O_PROBLEMA")),TRUE,LEN(TRIM($D64))=0)</formula1>
    </dataValidation>
    <dataValidation sqref="E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IF(OR(ISNUMBER(MATCH($A64,TIPOS_OPCION_E,0)),OR($A64="SELECCION_MEJOR_RESPUESTA",$A64="SELECCION_SIMPLE",$A64="SELECCION_UNICA",$A64="SELECCION_DE_LA_MEJOR_RESPUESTA",$A64="SUBITEM_CASO",$A64="SUBITEM_DE_CASO_O_PROBLEMA")),TRUE,LEN(TRIM($E64))=0)</formula1>
    </dataValidation>
    <dataValidation sqref="F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IF(OR(ISNUMBER(MATCH($A64,TIPOS_OPCION_F,0)),OR($A64="SELECCION_MEJOR_RESPUESTA",$A64="SELECCION_SIMPLE",$A64="SELECCION_UNICA",$A64="SELECCION_DE_LA_MEJOR_RESPUESTA",$A64="SUBITEM_CASO",$A64="SUBITEM_DE_CASO_O_PROBLEMA")),TRUE,LEN(TRIM($F64))=0)</formula1>
    </dataValidation>
    <dataValidation sqref="G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IF(OR(ISNUMBER(MATCH($A64,TIPOS_OPCION_G,0)),OR($A64="SELECCION_MEJOR_RESPUESTA",$A64="SELECCION_SIMPLE",$A64="SELECCION_UNICA",$A64="SELECCION_DE_LA_MEJOR_RESPUESTA",$A64="SUBITEM_CASO",$A64="SUBITEM_DE_CASO_O_PROBLEMA")),TRUE,LEN(TRIM($G64))=0)</formula1>
    </dataValidation>
    <dataValidation sqref="H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IF(OR(ISNUMBER(MATCH($A64,TIPOS_OPCION_H,0)),OR($A64="SELECCION_MEJOR_RESPUESTA",$A64="SELECCION_SIMPLE",$A64="SELECCION_UNICA",$A64="SELECCION_DE_LA_MEJOR_RESPUESTA",$A64="SUBITEM_CASO",$A64="SUBITEM_DE_CASO_O_PROBLEMA")),TRUE,LEN(TRIM($H64))=0)</formula1>
    </dataValidation>
    <dataValidation sqref="I6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INDIRECT(IF(OR($A64="SELECCION_MEJOR_RESPUESTA",$A64="SELECCION_SIMPLE",$A64="SELECCION_UNICA",$A64="SELECCION_DE_LA_MEJOR_RESPUESTA",$A64="SUBITEM_CASO",$A64="SUBITEM_DE_CASO_O_PROBLEMA"),"RESP_ABCDE",IFERROR(VLOOKUP($A64,MAPA_RESPUESTA_TIPO,2,FALSE),"RESP_VACIA")))</formula1>
    </dataValidation>
    <dataValidation sqref="J64" showDropDown="0" showInputMessage="0" showErrorMessage="1" allowBlank="1" errorTitle="Dificultad invalida" error="Use 1, 2 o 3. Casos/problemas y Emparejamiento Ampliado no llevan dificultad." type="list">
      <formula1>INDIRECT(IF(ISNUMBER(MATCH($A64,TIPOS_SIN_DIFICULTAD,0)),"RESP_VACIA","DIFICULTADES_123"))</formula1>
    </dataValidation>
    <dataValidation sqref="B65" showDropDown="0" showInputMessage="0" showErrorMessage="1" allowBlank="1" errorTitle="Grupo invalido" error="El grupo solo se llena en casos/problemas, subitems, emparejamiento ampliado y opciones de emparejamiento." type="custom">
      <formula1>IF(OR(ISNUMBER(MATCH($A65,TIPOS_REQUIEREN_GRUPO,0)),OR($A65="CASO_CLINICO_TRONCO",$A65="CASO_CLINICO",$A65="ITEMS_AGRUPADOS_POR_CASO_CLINICO_O_PROBLEMA",$A65="PROBLEMA",$A65="SUBPROBLEMA",$A65="SUBITEM_CASO",$A65="SUBITEM_DE_CASO_O_PROBLEMA",$A65="EMPAREJAMIENTO_TRONCO",$A65="EMPAREJAMIENTO_AMPLIADO",$A65="EMPAREJAMIENTO_DE_CONCEPTOS",$A65="OPCION_EMPAREJAMIENTO",$A65="OPCION_DE_EMPAREJAMIENTO_AMPLIADO")),LEN(TRIM($B65))&gt;0,LEN(TRIM($B65))=0)</formula1>
    </dataValidation>
    <dataValidation sqref="D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IF(OR(ISNUMBER(MATCH($A65,TIPOS_OPCION_D,0)),OR($A65="SELECCION_MEJOR_RESPUESTA",$A65="SELECCION_SIMPLE",$A65="SELECCION_UNICA",$A65="SELECCION_DE_LA_MEJOR_RESPUESTA",$A65="SUBITEM_CASO",$A65="SUBITEM_DE_CASO_O_PROBLEMA")),TRUE,LEN(TRIM($D65))=0)</formula1>
    </dataValidation>
    <dataValidation sqref="E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IF(OR(ISNUMBER(MATCH($A65,TIPOS_OPCION_E,0)),OR($A65="SELECCION_MEJOR_RESPUESTA",$A65="SELECCION_SIMPLE",$A65="SELECCION_UNICA",$A65="SELECCION_DE_LA_MEJOR_RESPUESTA",$A65="SUBITEM_CASO",$A65="SUBITEM_DE_CASO_O_PROBLEMA")),TRUE,LEN(TRIM($E65))=0)</formula1>
    </dataValidation>
    <dataValidation sqref="F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IF(OR(ISNUMBER(MATCH($A65,TIPOS_OPCION_F,0)),OR($A65="SELECCION_MEJOR_RESPUESTA",$A65="SELECCION_SIMPLE",$A65="SELECCION_UNICA",$A65="SELECCION_DE_LA_MEJOR_RESPUESTA",$A65="SUBITEM_CASO",$A65="SUBITEM_DE_CASO_O_PROBLEMA")),TRUE,LEN(TRIM($F65))=0)</formula1>
    </dataValidation>
    <dataValidation sqref="G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IF(OR(ISNUMBER(MATCH($A65,TIPOS_OPCION_G,0)),OR($A65="SELECCION_MEJOR_RESPUESTA",$A65="SELECCION_SIMPLE",$A65="SELECCION_UNICA",$A65="SELECCION_DE_LA_MEJOR_RESPUESTA",$A65="SUBITEM_CASO",$A65="SUBITEM_DE_CASO_O_PROBLEMA")),TRUE,LEN(TRIM($G65))=0)</formula1>
    </dataValidation>
    <dataValidation sqref="H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IF(OR(ISNUMBER(MATCH($A65,TIPOS_OPCION_H,0)),OR($A65="SELECCION_MEJOR_RESPUESTA",$A65="SELECCION_SIMPLE",$A65="SELECCION_UNICA",$A65="SELECCION_DE_LA_MEJOR_RESPUESTA",$A65="SUBITEM_CASO",$A65="SUBITEM_DE_CASO_O_PROBLEMA")),TRUE,LEN(TRIM($H65))=0)</formula1>
    </dataValidation>
    <dataValidation sqref="I6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INDIRECT(IF(OR($A65="SELECCION_MEJOR_RESPUESTA",$A65="SELECCION_SIMPLE",$A65="SELECCION_UNICA",$A65="SELECCION_DE_LA_MEJOR_RESPUESTA",$A65="SUBITEM_CASO",$A65="SUBITEM_DE_CASO_O_PROBLEMA"),"RESP_ABCDE",IFERROR(VLOOKUP($A65,MAPA_RESPUESTA_TIPO,2,FALSE),"RESP_VACIA")))</formula1>
    </dataValidation>
    <dataValidation sqref="J65" showDropDown="0" showInputMessage="0" showErrorMessage="1" allowBlank="1" errorTitle="Dificultad invalida" error="Use 1, 2 o 3. Casos/problemas y Emparejamiento Ampliado no llevan dificultad." type="list">
      <formula1>INDIRECT(IF(ISNUMBER(MATCH($A65,TIPOS_SIN_DIFICULTAD,0)),"RESP_VACIA","DIFICULTADES_123"))</formula1>
    </dataValidation>
    <dataValidation sqref="B66" showDropDown="0" showInputMessage="0" showErrorMessage="1" allowBlank="1" errorTitle="Grupo invalido" error="El grupo solo se llena en casos/problemas, subitems, emparejamiento ampliado y opciones de emparejamiento." type="custom">
      <formula1>IF(OR(ISNUMBER(MATCH($A66,TIPOS_REQUIEREN_GRUPO,0)),OR($A66="CASO_CLINICO_TRONCO",$A66="CASO_CLINICO",$A66="ITEMS_AGRUPADOS_POR_CASO_CLINICO_O_PROBLEMA",$A66="PROBLEMA",$A66="SUBPROBLEMA",$A66="SUBITEM_CASO",$A66="SUBITEM_DE_CASO_O_PROBLEMA",$A66="EMPAREJAMIENTO_TRONCO",$A66="EMPAREJAMIENTO_AMPLIADO",$A66="EMPAREJAMIENTO_DE_CONCEPTOS",$A66="OPCION_EMPAREJAMIENTO",$A66="OPCION_DE_EMPAREJAMIENTO_AMPLIADO")),LEN(TRIM($B66))&gt;0,LEN(TRIM($B66))=0)</formula1>
    </dataValidation>
    <dataValidation sqref="D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IF(OR(ISNUMBER(MATCH($A66,TIPOS_OPCION_D,0)),OR($A66="SELECCION_MEJOR_RESPUESTA",$A66="SELECCION_SIMPLE",$A66="SELECCION_UNICA",$A66="SELECCION_DE_LA_MEJOR_RESPUESTA",$A66="SUBITEM_CASO",$A66="SUBITEM_DE_CASO_O_PROBLEMA")),TRUE,LEN(TRIM($D66))=0)</formula1>
    </dataValidation>
    <dataValidation sqref="E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IF(OR(ISNUMBER(MATCH($A66,TIPOS_OPCION_E,0)),OR($A66="SELECCION_MEJOR_RESPUESTA",$A66="SELECCION_SIMPLE",$A66="SELECCION_UNICA",$A66="SELECCION_DE_LA_MEJOR_RESPUESTA",$A66="SUBITEM_CASO",$A66="SUBITEM_DE_CASO_O_PROBLEMA")),TRUE,LEN(TRIM($E66))=0)</formula1>
    </dataValidation>
    <dataValidation sqref="F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IF(OR(ISNUMBER(MATCH($A66,TIPOS_OPCION_F,0)),OR($A66="SELECCION_MEJOR_RESPUESTA",$A66="SELECCION_SIMPLE",$A66="SELECCION_UNICA",$A66="SELECCION_DE_LA_MEJOR_RESPUESTA",$A66="SUBITEM_CASO",$A66="SUBITEM_DE_CASO_O_PROBLEMA")),TRUE,LEN(TRIM($F66))=0)</formula1>
    </dataValidation>
    <dataValidation sqref="G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IF(OR(ISNUMBER(MATCH($A66,TIPOS_OPCION_G,0)),OR($A66="SELECCION_MEJOR_RESPUESTA",$A66="SELECCION_SIMPLE",$A66="SELECCION_UNICA",$A66="SELECCION_DE_LA_MEJOR_RESPUESTA",$A66="SUBITEM_CASO",$A66="SUBITEM_DE_CASO_O_PROBLEMA")),TRUE,LEN(TRIM($G66))=0)</formula1>
    </dataValidation>
    <dataValidation sqref="H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IF(OR(ISNUMBER(MATCH($A66,TIPOS_OPCION_H,0)),OR($A66="SELECCION_MEJOR_RESPUESTA",$A66="SELECCION_SIMPLE",$A66="SELECCION_UNICA",$A66="SELECCION_DE_LA_MEJOR_RESPUESTA",$A66="SUBITEM_CASO",$A66="SUBITEM_DE_CASO_O_PROBLEMA")),TRUE,LEN(TRIM($H66))=0)</formula1>
    </dataValidation>
    <dataValidation sqref="I6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INDIRECT(IF(OR($A66="SELECCION_MEJOR_RESPUESTA",$A66="SELECCION_SIMPLE",$A66="SELECCION_UNICA",$A66="SELECCION_DE_LA_MEJOR_RESPUESTA",$A66="SUBITEM_CASO",$A66="SUBITEM_DE_CASO_O_PROBLEMA"),"RESP_ABCDE",IFERROR(VLOOKUP($A66,MAPA_RESPUESTA_TIPO,2,FALSE),"RESP_VACIA")))</formula1>
    </dataValidation>
    <dataValidation sqref="J66" showDropDown="0" showInputMessage="0" showErrorMessage="1" allowBlank="1" errorTitle="Dificultad invalida" error="Use 1, 2 o 3. Casos/problemas y Emparejamiento Ampliado no llevan dificultad." type="list">
      <formula1>INDIRECT(IF(ISNUMBER(MATCH($A66,TIPOS_SIN_DIFICULTAD,0)),"RESP_VACIA","DIFICULTADES_123"))</formula1>
    </dataValidation>
    <dataValidation sqref="B67" showDropDown="0" showInputMessage="0" showErrorMessage="1" allowBlank="1" errorTitle="Grupo invalido" error="El grupo solo se llena en casos/problemas, subitems, emparejamiento ampliado y opciones de emparejamiento." type="custom">
      <formula1>IF(OR(ISNUMBER(MATCH($A67,TIPOS_REQUIEREN_GRUPO,0)),OR($A67="CASO_CLINICO_TRONCO",$A67="CASO_CLINICO",$A67="ITEMS_AGRUPADOS_POR_CASO_CLINICO_O_PROBLEMA",$A67="PROBLEMA",$A67="SUBPROBLEMA",$A67="SUBITEM_CASO",$A67="SUBITEM_DE_CASO_O_PROBLEMA",$A67="EMPAREJAMIENTO_TRONCO",$A67="EMPAREJAMIENTO_AMPLIADO",$A67="EMPAREJAMIENTO_DE_CONCEPTOS",$A67="OPCION_EMPAREJAMIENTO",$A67="OPCION_DE_EMPAREJAMIENTO_AMPLIADO")),LEN(TRIM($B67))&gt;0,LEN(TRIM($B67))=0)</formula1>
    </dataValidation>
    <dataValidation sqref="D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IF(OR(ISNUMBER(MATCH($A67,TIPOS_OPCION_D,0)),OR($A67="SELECCION_MEJOR_RESPUESTA",$A67="SELECCION_SIMPLE",$A67="SELECCION_UNICA",$A67="SELECCION_DE_LA_MEJOR_RESPUESTA",$A67="SUBITEM_CASO",$A67="SUBITEM_DE_CASO_O_PROBLEMA")),TRUE,LEN(TRIM($D67))=0)</formula1>
    </dataValidation>
    <dataValidation sqref="E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IF(OR(ISNUMBER(MATCH($A67,TIPOS_OPCION_E,0)),OR($A67="SELECCION_MEJOR_RESPUESTA",$A67="SELECCION_SIMPLE",$A67="SELECCION_UNICA",$A67="SELECCION_DE_LA_MEJOR_RESPUESTA",$A67="SUBITEM_CASO",$A67="SUBITEM_DE_CASO_O_PROBLEMA")),TRUE,LEN(TRIM($E67))=0)</formula1>
    </dataValidation>
    <dataValidation sqref="F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IF(OR(ISNUMBER(MATCH($A67,TIPOS_OPCION_F,0)),OR($A67="SELECCION_MEJOR_RESPUESTA",$A67="SELECCION_SIMPLE",$A67="SELECCION_UNICA",$A67="SELECCION_DE_LA_MEJOR_RESPUESTA",$A67="SUBITEM_CASO",$A67="SUBITEM_DE_CASO_O_PROBLEMA")),TRUE,LEN(TRIM($F67))=0)</formula1>
    </dataValidation>
    <dataValidation sqref="G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IF(OR(ISNUMBER(MATCH($A67,TIPOS_OPCION_G,0)),OR($A67="SELECCION_MEJOR_RESPUESTA",$A67="SELECCION_SIMPLE",$A67="SELECCION_UNICA",$A67="SELECCION_DE_LA_MEJOR_RESPUESTA",$A67="SUBITEM_CASO",$A67="SUBITEM_DE_CASO_O_PROBLEMA")),TRUE,LEN(TRIM($G67))=0)</formula1>
    </dataValidation>
    <dataValidation sqref="H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IF(OR(ISNUMBER(MATCH($A67,TIPOS_OPCION_H,0)),OR($A67="SELECCION_MEJOR_RESPUESTA",$A67="SELECCION_SIMPLE",$A67="SELECCION_UNICA",$A67="SELECCION_DE_LA_MEJOR_RESPUESTA",$A67="SUBITEM_CASO",$A67="SUBITEM_DE_CASO_O_PROBLEMA")),TRUE,LEN(TRIM($H67))=0)</formula1>
    </dataValidation>
    <dataValidation sqref="I6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INDIRECT(IF(OR($A67="SELECCION_MEJOR_RESPUESTA",$A67="SELECCION_SIMPLE",$A67="SELECCION_UNICA",$A67="SELECCION_DE_LA_MEJOR_RESPUESTA",$A67="SUBITEM_CASO",$A67="SUBITEM_DE_CASO_O_PROBLEMA"),"RESP_ABCDE",IFERROR(VLOOKUP($A67,MAPA_RESPUESTA_TIPO,2,FALSE),"RESP_VACIA")))</formula1>
    </dataValidation>
    <dataValidation sqref="J67" showDropDown="0" showInputMessage="0" showErrorMessage="1" allowBlank="1" errorTitle="Dificultad invalida" error="Use 1, 2 o 3. Casos/problemas y Emparejamiento Ampliado no llevan dificultad." type="list">
      <formula1>INDIRECT(IF(ISNUMBER(MATCH($A67,TIPOS_SIN_DIFICULTAD,0)),"RESP_VACIA","DIFICULTADES_123"))</formula1>
    </dataValidation>
    <dataValidation sqref="B68" showDropDown="0" showInputMessage="0" showErrorMessage="1" allowBlank="1" errorTitle="Grupo invalido" error="El grupo solo se llena en casos/problemas, subitems, emparejamiento ampliado y opciones de emparejamiento." type="custom">
      <formula1>IF(OR(ISNUMBER(MATCH($A68,TIPOS_REQUIEREN_GRUPO,0)),OR($A68="CASO_CLINICO_TRONCO",$A68="CASO_CLINICO",$A68="ITEMS_AGRUPADOS_POR_CASO_CLINICO_O_PROBLEMA",$A68="PROBLEMA",$A68="SUBPROBLEMA",$A68="SUBITEM_CASO",$A68="SUBITEM_DE_CASO_O_PROBLEMA",$A68="EMPAREJAMIENTO_TRONCO",$A68="EMPAREJAMIENTO_AMPLIADO",$A68="EMPAREJAMIENTO_DE_CONCEPTOS",$A68="OPCION_EMPAREJAMIENTO",$A68="OPCION_DE_EMPAREJAMIENTO_AMPLIADO")),LEN(TRIM($B68))&gt;0,LEN(TRIM($B68))=0)</formula1>
    </dataValidation>
    <dataValidation sqref="D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IF(OR(ISNUMBER(MATCH($A68,TIPOS_OPCION_D,0)),OR($A68="SELECCION_MEJOR_RESPUESTA",$A68="SELECCION_SIMPLE",$A68="SELECCION_UNICA",$A68="SELECCION_DE_LA_MEJOR_RESPUESTA",$A68="SUBITEM_CASO",$A68="SUBITEM_DE_CASO_O_PROBLEMA")),TRUE,LEN(TRIM($D68))=0)</formula1>
    </dataValidation>
    <dataValidation sqref="E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IF(OR(ISNUMBER(MATCH($A68,TIPOS_OPCION_E,0)),OR($A68="SELECCION_MEJOR_RESPUESTA",$A68="SELECCION_SIMPLE",$A68="SELECCION_UNICA",$A68="SELECCION_DE_LA_MEJOR_RESPUESTA",$A68="SUBITEM_CASO",$A68="SUBITEM_DE_CASO_O_PROBLEMA")),TRUE,LEN(TRIM($E68))=0)</formula1>
    </dataValidation>
    <dataValidation sqref="F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IF(OR(ISNUMBER(MATCH($A68,TIPOS_OPCION_F,0)),OR($A68="SELECCION_MEJOR_RESPUESTA",$A68="SELECCION_SIMPLE",$A68="SELECCION_UNICA",$A68="SELECCION_DE_LA_MEJOR_RESPUESTA",$A68="SUBITEM_CASO",$A68="SUBITEM_DE_CASO_O_PROBLEMA")),TRUE,LEN(TRIM($F68))=0)</formula1>
    </dataValidation>
    <dataValidation sqref="G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IF(OR(ISNUMBER(MATCH($A68,TIPOS_OPCION_G,0)),OR($A68="SELECCION_MEJOR_RESPUESTA",$A68="SELECCION_SIMPLE",$A68="SELECCION_UNICA",$A68="SELECCION_DE_LA_MEJOR_RESPUESTA",$A68="SUBITEM_CASO",$A68="SUBITEM_DE_CASO_O_PROBLEMA")),TRUE,LEN(TRIM($G68))=0)</formula1>
    </dataValidation>
    <dataValidation sqref="H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IF(OR(ISNUMBER(MATCH($A68,TIPOS_OPCION_H,0)),OR($A68="SELECCION_MEJOR_RESPUESTA",$A68="SELECCION_SIMPLE",$A68="SELECCION_UNICA",$A68="SELECCION_DE_LA_MEJOR_RESPUESTA",$A68="SUBITEM_CASO",$A68="SUBITEM_DE_CASO_O_PROBLEMA")),TRUE,LEN(TRIM($H68))=0)</formula1>
    </dataValidation>
    <dataValidation sqref="I6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INDIRECT(IF(OR($A68="SELECCION_MEJOR_RESPUESTA",$A68="SELECCION_SIMPLE",$A68="SELECCION_UNICA",$A68="SELECCION_DE_LA_MEJOR_RESPUESTA",$A68="SUBITEM_CASO",$A68="SUBITEM_DE_CASO_O_PROBLEMA"),"RESP_ABCDE",IFERROR(VLOOKUP($A68,MAPA_RESPUESTA_TIPO,2,FALSE),"RESP_VACIA")))</formula1>
    </dataValidation>
    <dataValidation sqref="J68" showDropDown="0" showInputMessage="0" showErrorMessage="1" allowBlank="1" errorTitle="Dificultad invalida" error="Use 1, 2 o 3. Casos/problemas y Emparejamiento Ampliado no llevan dificultad." type="list">
      <formula1>INDIRECT(IF(ISNUMBER(MATCH($A68,TIPOS_SIN_DIFICULTAD,0)),"RESP_VACIA","DIFICULTADES_123"))</formula1>
    </dataValidation>
    <dataValidation sqref="B69" showDropDown="0" showInputMessage="0" showErrorMessage="1" allowBlank="1" errorTitle="Grupo invalido" error="El grupo solo se llena en casos/problemas, subitems, emparejamiento ampliado y opciones de emparejamiento." type="custom">
      <formula1>IF(OR(ISNUMBER(MATCH($A69,TIPOS_REQUIEREN_GRUPO,0)),OR($A69="CASO_CLINICO_TRONCO",$A69="CASO_CLINICO",$A69="ITEMS_AGRUPADOS_POR_CASO_CLINICO_O_PROBLEMA",$A69="PROBLEMA",$A69="SUBPROBLEMA",$A69="SUBITEM_CASO",$A69="SUBITEM_DE_CASO_O_PROBLEMA",$A69="EMPAREJAMIENTO_TRONCO",$A69="EMPAREJAMIENTO_AMPLIADO",$A69="EMPAREJAMIENTO_DE_CONCEPTOS",$A69="OPCION_EMPAREJAMIENTO",$A69="OPCION_DE_EMPAREJAMIENTO_AMPLIADO")),LEN(TRIM($B69))&gt;0,LEN(TRIM($B69))=0)</formula1>
    </dataValidation>
    <dataValidation sqref="D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IF(OR(ISNUMBER(MATCH($A69,TIPOS_OPCION_D,0)),OR($A69="SELECCION_MEJOR_RESPUESTA",$A69="SELECCION_SIMPLE",$A69="SELECCION_UNICA",$A69="SELECCION_DE_LA_MEJOR_RESPUESTA",$A69="SUBITEM_CASO",$A69="SUBITEM_DE_CASO_O_PROBLEMA")),TRUE,LEN(TRIM($D69))=0)</formula1>
    </dataValidation>
    <dataValidation sqref="E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IF(OR(ISNUMBER(MATCH($A69,TIPOS_OPCION_E,0)),OR($A69="SELECCION_MEJOR_RESPUESTA",$A69="SELECCION_SIMPLE",$A69="SELECCION_UNICA",$A69="SELECCION_DE_LA_MEJOR_RESPUESTA",$A69="SUBITEM_CASO",$A69="SUBITEM_DE_CASO_O_PROBLEMA")),TRUE,LEN(TRIM($E69))=0)</formula1>
    </dataValidation>
    <dataValidation sqref="F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IF(OR(ISNUMBER(MATCH($A69,TIPOS_OPCION_F,0)),OR($A69="SELECCION_MEJOR_RESPUESTA",$A69="SELECCION_SIMPLE",$A69="SELECCION_UNICA",$A69="SELECCION_DE_LA_MEJOR_RESPUESTA",$A69="SUBITEM_CASO",$A69="SUBITEM_DE_CASO_O_PROBLEMA")),TRUE,LEN(TRIM($F69))=0)</formula1>
    </dataValidation>
    <dataValidation sqref="G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IF(OR(ISNUMBER(MATCH($A69,TIPOS_OPCION_G,0)),OR($A69="SELECCION_MEJOR_RESPUESTA",$A69="SELECCION_SIMPLE",$A69="SELECCION_UNICA",$A69="SELECCION_DE_LA_MEJOR_RESPUESTA",$A69="SUBITEM_CASO",$A69="SUBITEM_DE_CASO_O_PROBLEMA")),TRUE,LEN(TRIM($G69))=0)</formula1>
    </dataValidation>
    <dataValidation sqref="H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IF(OR(ISNUMBER(MATCH($A69,TIPOS_OPCION_H,0)),OR($A69="SELECCION_MEJOR_RESPUESTA",$A69="SELECCION_SIMPLE",$A69="SELECCION_UNICA",$A69="SELECCION_DE_LA_MEJOR_RESPUESTA",$A69="SUBITEM_CASO",$A69="SUBITEM_DE_CASO_O_PROBLEMA")),TRUE,LEN(TRIM($H69))=0)</formula1>
    </dataValidation>
    <dataValidation sqref="I6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INDIRECT(IF(OR($A69="SELECCION_MEJOR_RESPUESTA",$A69="SELECCION_SIMPLE",$A69="SELECCION_UNICA",$A69="SELECCION_DE_LA_MEJOR_RESPUESTA",$A69="SUBITEM_CASO",$A69="SUBITEM_DE_CASO_O_PROBLEMA"),"RESP_ABCDE",IFERROR(VLOOKUP($A69,MAPA_RESPUESTA_TIPO,2,FALSE),"RESP_VACIA")))</formula1>
    </dataValidation>
    <dataValidation sqref="J69" showDropDown="0" showInputMessage="0" showErrorMessage="1" allowBlank="1" errorTitle="Dificultad invalida" error="Use 1, 2 o 3. Casos/problemas y Emparejamiento Ampliado no llevan dificultad." type="list">
      <formula1>INDIRECT(IF(ISNUMBER(MATCH($A69,TIPOS_SIN_DIFICULTAD,0)),"RESP_VACIA","DIFICULTADES_123"))</formula1>
    </dataValidation>
    <dataValidation sqref="B70" showDropDown="0" showInputMessage="0" showErrorMessage="1" allowBlank="1" errorTitle="Grupo invalido" error="El grupo solo se llena en casos/problemas, subitems, emparejamiento ampliado y opciones de emparejamiento." type="custom">
      <formula1>IF(OR(ISNUMBER(MATCH($A70,TIPOS_REQUIEREN_GRUPO,0)),OR($A70="CASO_CLINICO_TRONCO",$A70="CASO_CLINICO",$A70="ITEMS_AGRUPADOS_POR_CASO_CLINICO_O_PROBLEMA",$A70="PROBLEMA",$A70="SUBPROBLEMA",$A70="SUBITEM_CASO",$A70="SUBITEM_DE_CASO_O_PROBLEMA",$A70="EMPAREJAMIENTO_TRONCO",$A70="EMPAREJAMIENTO_AMPLIADO",$A70="EMPAREJAMIENTO_DE_CONCEPTOS",$A70="OPCION_EMPAREJAMIENTO",$A70="OPCION_DE_EMPAREJAMIENTO_AMPLIADO")),LEN(TRIM($B70))&gt;0,LEN(TRIM($B70))=0)</formula1>
    </dataValidation>
    <dataValidation sqref="D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IF(OR(ISNUMBER(MATCH($A70,TIPOS_OPCION_D,0)),OR($A70="SELECCION_MEJOR_RESPUESTA",$A70="SELECCION_SIMPLE",$A70="SELECCION_UNICA",$A70="SELECCION_DE_LA_MEJOR_RESPUESTA",$A70="SUBITEM_CASO",$A70="SUBITEM_DE_CASO_O_PROBLEMA")),TRUE,LEN(TRIM($D70))=0)</formula1>
    </dataValidation>
    <dataValidation sqref="E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IF(OR(ISNUMBER(MATCH($A70,TIPOS_OPCION_E,0)),OR($A70="SELECCION_MEJOR_RESPUESTA",$A70="SELECCION_SIMPLE",$A70="SELECCION_UNICA",$A70="SELECCION_DE_LA_MEJOR_RESPUESTA",$A70="SUBITEM_CASO",$A70="SUBITEM_DE_CASO_O_PROBLEMA")),TRUE,LEN(TRIM($E70))=0)</formula1>
    </dataValidation>
    <dataValidation sqref="F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IF(OR(ISNUMBER(MATCH($A70,TIPOS_OPCION_F,0)),OR($A70="SELECCION_MEJOR_RESPUESTA",$A70="SELECCION_SIMPLE",$A70="SELECCION_UNICA",$A70="SELECCION_DE_LA_MEJOR_RESPUESTA",$A70="SUBITEM_CASO",$A70="SUBITEM_DE_CASO_O_PROBLEMA")),TRUE,LEN(TRIM($F70))=0)</formula1>
    </dataValidation>
    <dataValidation sqref="G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IF(OR(ISNUMBER(MATCH($A70,TIPOS_OPCION_G,0)),OR($A70="SELECCION_MEJOR_RESPUESTA",$A70="SELECCION_SIMPLE",$A70="SELECCION_UNICA",$A70="SELECCION_DE_LA_MEJOR_RESPUESTA",$A70="SUBITEM_CASO",$A70="SUBITEM_DE_CASO_O_PROBLEMA")),TRUE,LEN(TRIM($G70))=0)</formula1>
    </dataValidation>
    <dataValidation sqref="H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IF(OR(ISNUMBER(MATCH($A70,TIPOS_OPCION_H,0)),OR($A70="SELECCION_MEJOR_RESPUESTA",$A70="SELECCION_SIMPLE",$A70="SELECCION_UNICA",$A70="SELECCION_DE_LA_MEJOR_RESPUESTA",$A70="SUBITEM_CASO",$A70="SUBITEM_DE_CASO_O_PROBLEMA")),TRUE,LEN(TRIM($H70))=0)</formula1>
    </dataValidation>
    <dataValidation sqref="I7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INDIRECT(IF(OR($A70="SELECCION_MEJOR_RESPUESTA",$A70="SELECCION_SIMPLE",$A70="SELECCION_UNICA",$A70="SELECCION_DE_LA_MEJOR_RESPUESTA",$A70="SUBITEM_CASO",$A70="SUBITEM_DE_CASO_O_PROBLEMA"),"RESP_ABCDE",IFERROR(VLOOKUP($A70,MAPA_RESPUESTA_TIPO,2,FALSE),"RESP_VACIA")))</formula1>
    </dataValidation>
    <dataValidation sqref="J70" showDropDown="0" showInputMessage="0" showErrorMessage="1" allowBlank="1" errorTitle="Dificultad invalida" error="Use 1, 2 o 3. Casos/problemas y Emparejamiento Ampliado no llevan dificultad." type="list">
      <formula1>INDIRECT(IF(ISNUMBER(MATCH($A70,TIPOS_SIN_DIFICULTAD,0)),"RESP_VACIA","DIFICULTADES_123"))</formula1>
    </dataValidation>
    <dataValidation sqref="B71" showDropDown="0" showInputMessage="0" showErrorMessage="1" allowBlank="1" errorTitle="Grupo invalido" error="El grupo solo se llena en casos/problemas, subitems, emparejamiento ampliado y opciones de emparejamiento." type="custom">
      <formula1>IF(OR(ISNUMBER(MATCH($A71,TIPOS_REQUIEREN_GRUPO,0)),OR($A71="CASO_CLINICO_TRONCO",$A71="CASO_CLINICO",$A71="ITEMS_AGRUPADOS_POR_CASO_CLINICO_O_PROBLEMA",$A71="PROBLEMA",$A71="SUBPROBLEMA",$A71="SUBITEM_CASO",$A71="SUBITEM_DE_CASO_O_PROBLEMA",$A71="EMPAREJAMIENTO_TRONCO",$A71="EMPAREJAMIENTO_AMPLIADO",$A71="EMPAREJAMIENTO_DE_CONCEPTOS",$A71="OPCION_EMPAREJAMIENTO",$A71="OPCION_DE_EMPAREJAMIENTO_AMPLIADO")),LEN(TRIM($B71))&gt;0,LEN(TRIM($B71))=0)</formula1>
    </dataValidation>
    <dataValidation sqref="D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IF(OR(ISNUMBER(MATCH($A71,TIPOS_OPCION_D,0)),OR($A71="SELECCION_MEJOR_RESPUESTA",$A71="SELECCION_SIMPLE",$A71="SELECCION_UNICA",$A71="SELECCION_DE_LA_MEJOR_RESPUESTA",$A71="SUBITEM_CASO",$A71="SUBITEM_DE_CASO_O_PROBLEMA")),TRUE,LEN(TRIM($D71))=0)</formula1>
    </dataValidation>
    <dataValidation sqref="E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IF(OR(ISNUMBER(MATCH($A71,TIPOS_OPCION_E,0)),OR($A71="SELECCION_MEJOR_RESPUESTA",$A71="SELECCION_SIMPLE",$A71="SELECCION_UNICA",$A71="SELECCION_DE_LA_MEJOR_RESPUESTA",$A71="SUBITEM_CASO",$A71="SUBITEM_DE_CASO_O_PROBLEMA")),TRUE,LEN(TRIM($E71))=0)</formula1>
    </dataValidation>
    <dataValidation sqref="F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IF(OR(ISNUMBER(MATCH($A71,TIPOS_OPCION_F,0)),OR($A71="SELECCION_MEJOR_RESPUESTA",$A71="SELECCION_SIMPLE",$A71="SELECCION_UNICA",$A71="SELECCION_DE_LA_MEJOR_RESPUESTA",$A71="SUBITEM_CASO",$A71="SUBITEM_DE_CASO_O_PROBLEMA")),TRUE,LEN(TRIM($F71))=0)</formula1>
    </dataValidation>
    <dataValidation sqref="G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IF(OR(ISNUMBER(MATCH($A71,TIPOS_OPCION_G,0)),OR($A71="SELECCION_MEJOR_RESPUESTA",$A71="SELECCION_SIMPLE",$A71="SELECCION_UNICA",$A71="SELECCION_DE_LA_MEJOR_RESPUESTA",$A71="SUBITEM_CASO",$A71="SUBITEM_DE_CASO_O_PROBLEMA")),TRUE,LEN(TRIM($G71))=0)</formula1>
    </dataValidation>
    <dataValidation sqref="H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IF(OR(ISNUMBER(MATCH($A71,TIPOS_OPCION_H,0)),OR($A71="SELECCION_MEJOR_RESPUESTA",$A71="SELECCION_SIMPLE",$A71="SELECCION_UNICA",$A71="SELECCION_DE_LA_MEJOR_RESPUESTA",$A71="SUBITEM_CASO",$A71="SUBITEM_DE_CASO_O_PROBLEMA")),TRUE,LEN(TRIM($H71))=0)</formula1>
    </dataValidation>
    <dataValidation sqref="I7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INDIRECT(IF(OR($A71="SELECCION_MEJOR_RESPUESTA",$A71="SELECCION_SIMPLE",$A71="SELECCION_UNICA",$A71="SELECCION_DE_LA_MEJOR_RESPUESTA",$A71="SUBITEM_CASO",$A71="SUBITEM_DE_CASO_O_PROBLEMA"),"RESP_ABCDE",IFERROR(VLOOKUP($A71,MAPA_RESPUESTA_TIPO,2,FALSE),"RESP_VACIA")))</formula1>
    </dataValidation>
    <dataValidation sqref="J71" showDropDown="0" showInputMessage="0" showErrorMessage="1" allowBlank="1" errorTitle="Dificultad invalida" error="Use 1, 2 o 3. Casos/problemas y Emparejamiento Ampliado no llevan dificultad." type="list">
      <formula1>INDIRECT(IF(ISNUMBER(MATCH($A71,TIPOS_SIN_DIFICULTAD,0)),"RESP_VACIA","DIFICULTADES_123"))</formula1>
    </dataValidation>
    <dataValidation sqref="B72" showDropDown="0" showInputMessage="0" showErrorMessage="1" allowBlank="1" errorTitle="Grupo invalido" error="El grupo solo se llena en casos/problemas, subitems, emparejamiento ampliado y opciones de emparejamiento." type="custom">
      <formula1>IF(OR(ISNUMBER(MATCH($A72,TIPOS_REQUIEREN_GRUPO,0)),OR($A72="CASO_CLINICO_TRONCO",$A72="CASO_CLINICO",$A72="ITEMS_AGRUPADOS_POR_CASO_CLINICO_O_PROBLEMA",$A72="PROBLEMA",$A72="SUBPROBLEMA",$A72="SUBITEM_CASO",$A72="SUBITEM_DE_CASO_O_PROBLEMA",$A72="EMPAREJAMIENTO_TRONCO",$A72="EMPAREJAMIENTO_AMPLIADO",$A72="EMPAREJAMIENTO_DE_CONCEPTOS",$A72="OPCION_EMPAREJAMIENTO",$A72="OPCION_DE_EMPAREJAMIENTO_AMPLIADO")),LEN(TRIM($B72))&gt;0,LEN(TRIM($B72))=0)</formula1>
    </dataValidation>
    <dataValidation sqref="D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IF(OR(ISNUMBER(MATCH($A72,TIPOS_OPCION_D,0)),OR($A72="SELECCION_MEJOR_RESPUESTA",$A72="SELECCION_SIMPLE",$A72="SELECCION_UNICA",$A72="SELECCION_DE_LA_MEJOR_RESPUESTA",$A72="SUBITEM_CASO",$A72="SUBITEM_DE_CASO_O_PROBLEMA")),TRUE,LEN(TRIM($D72))=0)</formula1>
    </dataValidation>
    <dataValidation sqref="E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IF(OR(ISNUMBER(MATCH($A72,TIPOS_OPCION_E,0)),OR($A72="SELECCION_MEJOR_RESPUESTA",$A72="SELECCION_SIMPLE",$A72="SELECCION_UNICA",$A72="SELECCION_DE_LA_MEJOR_RESPUESTA",$A72="SUBITEM_CASO",$A72="SUBITEM_DE_CASO_O_PROBLEMA")),TRUE,LEN(TRIM($E72))=0)</formula1>
    </dataValidation>
    <dataValidation sqref="F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IF(OR(ISNUMBER(MATCH($A72,TIPOS_OPCION_F,0)),OR($A72="SELECCION_MEJOR_RESPUESTA",$A72="SELECCION_SIMPLE",$A72="SELECCION_UNICA",$A72="SELECCION_DE_LA_MEJOR_RESPUESTA",$A72="SUBITEM_CASO",$A72="SUBITEM_DE_CASO_O_PROBLEMA")),TRUE,LEN(TRIM($F72))=0)</formula1>
    </dataValidation>
    <dataValidation sqref="G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IF(OR(ISNUMBER(MATCH($A72,TIPOS_OPCION_G,0)),OR($A72="SELECCION_MEJOR_RESPUESTA",$A72="SELECCION_SIMPLE",$A72="SELECCION_UNICA",$A72="SELECCION_DE_LA_MEJOR_RESPUESTA",$A72="SUBITEM_CASO",$A72="SUBITEM_DE_CASO_O_PROBLEMA")),TRUE,LEN(TRIM($G72))=0)</formula1>
    </dataValidation>
    <dataValidation sqref="H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IF(OR(ISNUMBER(MATCH($A72,TIPOS_OPCION_H,0)),OR($A72="SELECCION_MEJOR_RESPUESTA",$A72="SELECCION_SIMPLE",$A72="SELECCION_UNICA",$A72="SELECCION_DE_LA_MEJOR_RESPUESTA",$A72="SUBITEM_CASO",$A72="SUBITEM_DE_CASO_O_PROBLEMA")),TRUE,LEN(TRIM($H72))=0)</formula1>
    </dataValidation>
    <dataValidation sqref="I7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INDIRECT(IF(OR($A72="SELECCION_MEJOR_RESPUESTA",$A72="SELECCION_SIMPLE",$A72="SELECCION_UNICA",$A72="SELECCION_DE_LA_MEJOR_RESPUESTA",$A72="SUBITEM_CASO",$A72="SUBITEM_DE_CASO_O_PROBLEMA"),"RESP_ABCDE",IFERROR(VLOOKUP($A72,MAPA_RESPUESTA_TIPO,2,FALSE),"RESP_VACIA")))</formula1>
    </dataValidation>
    <dataValidation sqref="J72" showDropDown="0" showInputMessage="0" showErrorMessage="1" allowBlank="1" errorTitle="Dificultad invalida" error="Use 1, 2 o 3. Casos/problemas y Emparejamiento Ampliado no llevan dificultad." type="list">
      <formula1>INDIRECT(IF(ISNUMBER(MATCH($A72,TIPOS_SIN_DIFICULTAD,0)),"RESP_VACIA","DIFICULTADES_123"))</formula1>
    </dataValidation>
    <dataValidation sqref="B73" showDropDown="0" showInputMessage="0" showErrorMessage="1" allowBlank="1" errorTitle="Grupo invalido" error="El grupo solo se llena en casos/problemas, subitems, emparejamiento ampliado y opciones de emparejamiento." type="custom">
      <formula1>IF(OR(ISNUMBER(MATCH($A73,TIPOS_REQUIEREN_GRUPO,0)),OR($A73="CASO_CLINICO_TRONCO",$A73="CASO_CLINICO",$A73="ITEMS_AGRUPADOS_POR_CASO_CLINICO_O_PROBLEMA",$A73="PROBLEMA",$A73="SUBPROBLEMA",$A73="SUBITEM_CASO",$A73="SUBITEM_DE_CASO_O_PROBLEMA",$A73="EMPAREJAMIENTO_TRONCO",$A73="EMPAREJAMIENTO_AMPLIADO",$A73="EMPAREJAMIENTO_DE_CONCEPTOS",$A73="OPCION_EMPAREJAMIENTO",$A73="OPCION_DE_EMPAREJAMIENTO_AMPLIADO")),LEN(TRIM($B73))&gt;0,LEN(TRIM($B73))=0)</formula1>
    </dataValidation>
    <dataValidation sqref="D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IF(OR(ISNUMBER(MATCH($A73,TIPOS_OPCION_D,0)),OR($A73="SELECCION_MEJOR_RESPUESTA",$A73="SELECCION_SIMPLE",$A73="SELECCION_UNICA",$A73="SELECCION_DE_LA_MEJOR_RESPUESTA",$A73="SUBITEM_CASO",$A73="SUBITEM_DE_CASO_O_PROBLEMA")),TRUE,LEN(TRIM($D73))=0)</formula1>
    </dataValidation>
    <dataValidation sqref="E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IF(OR(ISNUMBER(MATCH($A73,TIPOS_OPCION_E,0)),OR($A73="SELECCION_MEJOR_RESPUESTA",$A73="SELECCION_SIMPLE",$A73="SELECCION_UNICA",$A73="SELECCION_DE_LA_MEJOR_RESPUESTA",$A73="SUBITEM_CASO",$A73="SUBITEM_DE_CASO_O_PROBLEMA")),TRUE,LEN(TRIM($E73))=0)</formula1>
    </dataValidation>
    <dataValidation sqref="F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IF(OR(ISNUMBER(MATCH($A73,TIPOS_OPCION_F,0)),OR($A73="SELECCION_MEJOR_RESPUESTA",$A73="SELECCION_SIMPLE",$A73="SELECCION_UNICA",$A73="SELECCION_DE_LA_MEJOR_RESPUESTA",$A73="SUBITEM_CASO",$A73="SUBITEM_DE_CASO_O_PROBLEMA")),TRUE,LEN(TRIM($F73))=0)</formula1>
    </dataValidation>
    <dataValidation sqref="G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IF(OR(ISNUMBER(MATCH($A73,TIPOS_OPCION_G,0)),OR($A73="SELECCION_MEJOR_RESPUESTA",$A73="SELECCION_SIMPLE",$A73="SELECCION_UNICA",$A73="SELECCION_DE_LA_MEJOR_RESPUESTA",$A73="SUBITEM_CASO",$A73="SUBITEM_DE_CASO_O_PROBLEMA")),TRUE,LEN(TRIM($G73))=0)</formula1>
    </dataValidation>
    <dataValidation sqref="H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IF(OR(ISNUMBER(MATCH($A73,TIPOS_OPCION_H,0)),OR($A73="SELECCION_MEJOR_RESPUESTA",$A73="SELECCION_SIMPLE",$A73="SELECCION_UNICA",$A73="SELECCION_DE_LA_MEJOR_RESPUESTA",$A73="SUBITEM_CASO",$A73="SUBITEM_DE_CASO_O_PROBLEMA")),TRUE,LEN(TRIM($H73))=0)</formula1>
    </dataValidation>
    <dataValidation sqref="I7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INDIRECT(IF(OR($A73="SELECCION_MEJOR_RESPUESTA",$A73="SELECCION_SIMPLE",$A73="SELECCION_UNICA",$A73="SELECCION_DE_LA_MEJOR_RESPUESTA",$A73="SUBITEM_CASO",$A73="SUBITEM_DE_CASO_O_PROBLEMA"),"RESP_ABCDE",IFERROR(VLOOKUP($A73,MAPA_RESPUESTA_TIPO,2,FALSE),"RESP_VACIA")))</formula1>
    </dataValidation>
    <dataValidation sqref="J73" showDropDown="0" showInputMessage="0" showErrorMessage="1" allowBlank="1" errorTitle="Dificultad invalida" error="Use 1, 2 o 3. Casos/problemas y Emparejamiento Ampliado no llevan dificultad." type="list">
      <formula1>INDIRECT(IF(ISNUMBER(MATCH($A73,TIPOS_SIN_DIFICULTAD,0)),"RESP_VACIA","DIFICULTADES_123"))</formula1>
    </dataValidation>
    <dataValidation sqref="B74" showDropDown="0" showInputMessage="0" showErrorMessage="1" allowBlank="1" errorTitle="Grupo invalido" error="El grupo solo se llena en casos/problemas, subitems, emparejamiento ampliado y opciones de emparejamiento." type="custom">
      <formula1>IF(OR(ISNUMBER(MATCH($A74,TIPOS_REQUIEREN_GRUPO,0)),OR($A74="CASO_CLINICO_TRONCO",$A74="CASO_CLINICO",$A74="ITEMS_AGRUPADOS_POR_CASO_CLINICO_O_PROBLEMA",$A74="PROBLEMA",$A74="SUBPROBLEMA",$A74="SUBITEM_CASO",$A74="SUBITEM_DE_CASO_O_PROBLEMA",$A74="EMPAREJAMIENTO_TRONCO",$A74="EMPAREJAMIENTO_AMPLIADO",$A74="EMPAREJAMIENTO_DE_CONCEPTOS",$A74="OPCION_EMPAREJAMIENTO",$A74="OPCION_DE_EMPAREJAMIENTO_AMPLIADO")),LEN(TRIM($B74))&gt;0,LEN(TRIM($B74))=0)</formula1>
    </dataValidation>
    <dataValidation sqref="D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IF(OR(ISNUMBER(MATCH($A74,TIPOS_OPCION_D,0)),OR($A74="SELECCION_MEJOR_RESPUESTA",$A74="SELECCION_SIMPLE",$A74="SELECCION_UNICA",$A74="SELECCION_DE_LA_MEJOR_RESPUESTA",$A74="SUBITEM_CASO",$A74="SUBITEM_DE_CASO_O_PROBLEMA")),TRUE,LEN(TRIM($D74))=0)</formula1>
    </dataValidation>
    <dataValidation sqref="E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IF(OR(ISNUMBER(MATCH($A74,TIPOS_OPCION_E,0)),OR($A74="SELECCION_MEJOR_RESPUESTA",$A74="SELECCION_SIMPLE",$A74="SELECCION_UNICA",$A74="SELECCION_DE_LA_MEJOR_RESPUESTA",$A74="SUBITEM_CASO",$A74="SUBITEM_DE_CASO_O_PROBLEMA")),TRUE,LEN(TRIM($E74))=0)</formula1>
    </dataValidation>
    <dataValidation sqref="F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IF(OR(ISNUMBER(MATCH($A74,TIPOS_OPCION_F,0)),OR($A74="SELECCION_MEJOR_RESPUESTA",$A74="SELECCION_SIMPLE",$A74="SELECCION_UNICA",$A74="SELECCION_DE_LA_MEJOR_RESPUESTA",$A74="SUBITEM_CASO",$A74="SUBITEM_DE_CASO_O_PROBLEMA")),TRUE,LEN(TRIM($F74))=0)</formula1>
    </dataValidation>
    <dataValidation sqref="G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IF(OR(ISNUMBER(MATCH($A74,TIPOS_OPCION_G,0)),OR($A74="SELECCION_MEJOR_RESPUESTA",$A74="SELECCION_SIMPLE",$A74="SELECCION_UNICA",$A74="SELECCION_DE_LA_MEJOR_RESPUESTA",$A74="SUBITEM_CASO",$A74="SUBITEM_DE_CASO_O_PROBLEMA")),TRUE,LEN(TRIM($G74))=0)</formula1>
    </dataValidation>
    <dataValidation sqref="H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IF(OR(ISNUMBER(MATCH($A74,TIPOS_OPCION_H,0)),OR($A74="SELECCION_MEJOR_RESPUESTA",$A74="SELECCION_SIMPLE",$A74="SELECCION_UNICA",$A74="SELECCION_DE_LA_MEJOR_RESPUESTA",$A74="SUBITEM_CASO",$A74="SUBITEM_DE_CASO_O_PROBLEMA")),TRUE,LEN(TRIM($H74))=0)</formula1>
    </dataValidation>
    <dataValidation sqref="I7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INDIRECT(IF(OR($A74="SELECCION_MEJOR_RESPUESTA",$A74="SELECCION_SIMPLE",$A74="SELECCION_UNICA",$A74="SELECCION_DE_LA_MEJOR_RESPUESTA",$A74="SUBITEM_CASO",$A74="SUBITEM_DE_CASO_O_PROBLEMA"),"RESP_ABCDE",IFERROR(VLOOKUP($A74,MAPA_RESPUESTA_TIPO,2,FALSE),"RESP_VACIA")))</formula1>
    </dataValidation>
    <dataValidation sqref="J74" showDropDown="0" showInputMessage="0" showErrorMessage="1" allowBlank="1" errorTitle="Dificultad invalida" error="Use 1, 2 o 3. Casos/problemas y Emparejamiento Ampliado no llevan dificultad." type="list">
      <formula1>INDIRECT(IF(ISNUMBER(MATCH($A74,TIPOS_SIN_DIFICULTAD,0)),"RESP_VACIA","DIFICULTADES_123"))</formula1>
    </dataValidation>
    <dataValidation sqref="B75" showDropDown="0" showInputMessage="0" showErrorMessage="1" allowBlank="1" errorTitle="Grupo invalido" error="El grupo solo se llena en casos/problemas, subitems, emparejamiento ampliado y opciones de emparejamiento." type="custom">
      <formula1>IF(OR(ISNUMBER(MATCH($A75,TIPOS_REQUIEREN_GRUPO,0)),OR($A75="CASO_CLINICO_TRONCO",$A75="CASO_CLINICO",$A75="ITEMS_AGRUPADOS_POR_CASO_CLINICO_O_PROBLEMA",$A75="PROBLEMA",$A75="SUBPROBLEMA",$A75="SUBITEM_CASO",$A75="SUBITEM_DE_CASO_O_PROBLEMA",$A75="EMPAREJAMIENTO_TRONCO",$A75="EMPAREJAMIENTO_AMPLIADO",$A75="EMPAREJAMIENTO_DE_CONCEPTOS",$A75="OPCION_EMPAREJAMIENTO",$A75="OPCION_DE_EMPAREJAMIENTO_AMPLIADO")),LEN(TRIM($B75))&gt;0,LEN(TRIM($B75))=0)</formula1>
    </dataValidation>
    <dataValidation sqref="D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IF(OR(ISNUMBER(MATCH($A75,TIPOS_OPCION_D,0)),OR($A75="SELECCION_MEJOR_RESPUESTA",$A75="SELECCION_SIMPLE",$A75="SELECCION_UNICA",$A75="SELECCION_DE_LA_MEJOR_RESPUESTA",$A75="SUBITEM_CASO",$A75="SUBITEM_DE_CASO_O_PROBLEMA")),TRUE,LEN(TRIM($D75))=0)</formula1>
    </dataValidation>
    <dataValidation sqref="E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IF(OR(ISNUMBER(MATCH($A75,TIPOS_OPCION_E,0)),OR($A75="SELECCION_MEJOR_RESPUESTA",$A75="SELECCION_SIMPLE",$A75="SELECCION_UNICA",$A75="SELECCION_DE_LA_MEJOR_RESPUESTA",$A75="SUBITEM_CASO",$A75="SUBITEM_DE_CASO_O_PROBLEMA")),TRUE,LEN(TRIM($E75))=0)</formula1>
    </dataValidation>
    <dataValidation sqref="F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IF(OR(ISNUMBER(MATCH($A75,TIPOS_OPCION_F,0)),OR($A75="SELECCION_MEJOR_RESPUESTA",$A75="SELECCION_SIMPLE",$A75="SELECCION_UNICA",$A75="SELECCION_DE_LA_MEJOR_RESPUESTA",$A75="SUBITEM_CASO",$A75="SUBITEM_DE_CASO_O_PROBLEMA")),TRUE,LEN(TRIM($F75))=0)</formula1>
    </dataValidation>
    <dataValidation sqref="G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IF(OR(ISNUMBER(MATCH($A75,TIPOS_OPCION_G,0)),OR($A75="SELECCION_MEJOR_RESPUESTA",$A75="SELECCION_SIMPLE",$A75="SELECCION_UNICA",$A75="SELECCION_DE_LA_MEJOR_RESPUESTA",$A75="SUBITEM_CASO",$A75="SUBITEM_DE_CASO_O_PROBLEMA")),TRUE,LEN(TRIM($G75))=0)</formula1>
    </dataValidation>
    <dataValidation sqref="H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IF(OR(ISNUMBER(MATCH($A75,TIPOS_OPCION_H,0)),OR($A75="SELECCION_MEJOR_RESPUESTA",$A75="SELECCION_SIMPLE",$A75="SELECCION_UNICA",$A75="SELECCION_DE_LA_MEJOR_RESPUESTA",$A75="SUBITEM_CASO",$A75="SUBITEM_DE_CASO_O_PROBLEMA")),TRUE,LEN(TRIM($H75))=0)</formula1>
    </dataValidation>
    <dataValidation sqref="I7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INDIRECT(IF(OR($A75="SELECCION_MEJOR_RESPUESTA",$A75="SELECCION_SIMPLE",$A75="SELECCION_UNICA",$A75="SELECCION_DE_LA_MEJOR_RESPUESTA",$A75="SUBITEM_CASO",$A75="SUBITEM_DE_CASO_O_PROBLEMA"),"RESP_ABCDE",IFERROR(VLOOKUP($A75,MAPA_RESPUESTA_TIPO,2,FALSE),"RESP_VACIA")))</formula1>
    </dataValidation>
    <dataValidation sqref="J75" showDropDown="0" showInputMessage="0" showErrorMessage="1" allowBlank="1" errorTitle="Dificultad invalida" error="Use 1, 2 o 3. Casos/problemas y Emparejamiento Ampliado no llevan dificultad." type="list">
      <formula1>INDIRECT(IF(ISNUMBER(MATCH($A75,TIPOS_SIN_DIFICULTAD,0)),"RESP_VACIA","DIFICULTADES_123"))</formula1>
    </dataValidation>
    <dataValidation sqref="B76" showDropDown="0" showInputMessage="0" showErrorMessage="1" allowBlank="1" errorTitle="Grupo invalido" error="El grupo solo se llena en casos/problemas, subitems, emparejamiento ampliado y opciones de emparejamiento." type="custom">
      <formula1>IF(OR(ISNUMBER(MATCH($A76,TIPOS_REQUIEREN_GRUPO,0)),OR($A76="CASO_CLINICO_TRONCO",$A76="CASO_CLINICO",$A76="ITEMS_AGRUPADOS_POR_CASO_CLINICO_O_PROBLEMA",$A76="PROBLEMA",$A76="SUBPROBLEMA",$A76="SUBITEM_CASO",$A76="SUBITEM_DE_CASO_O_PROBLEMA",$A76="EMPAREJAMIENTO_TRONCO",$A76="EMPAREJAMIENTO_AMPLIADO",$A76="EMPAREJAMIENTO_DE_CONCEPTOS",$A76="OPCION_EMPAREJAMIENTO",$A76="OPCION_DE_EMPAREJAMIENTO_AMPLIADO")),LEN(TRIM($B76))&gt;0,LEN(TRIM($B76))=0)</formula1>
    </dataValidation>
    <dataValidation sqref="D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IF(OR(ISNUMBER(MATCH($A76,TIPOS_OPCION_D,0)),OR($A76="SELECCION_MEJOR_RESPUESTA",$A76="SELECCION_SIMPLE",$A76="SELECCION_UNICA",$A76="SELECCION_DE_LA_MEJOR_RESPUESTA",$A76="SUBITEM_CASO",$A76="SUBITEM_DE_CASO_O_PROBLEMA")),TRUE,LEN(TRIM($D76))=0)</formula1>
    </dataValidation>
    <dataValidation sqref="E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IF(OR(ISNUMBER(MATCH($A76,TIPOS_OPCION_E,0)),OR($A76="SELECCION_MEJOR_RESPUESTA",$A76="SELECCION_SIMPLE",$A76="SELECCION_UNICA",$A76="SELECCION_DE_LA_MEJOR_RESPUESTA",$A76="SUBITEM_CASO",$A76="SUBITEM_DE_CASO_O_PROBLEMA")),TRUE,LEN(TRIM($E76))=0)</formula1>
    </dataValidation>
    <dataValidation sqref="F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IF(OR(ISNUMBER(MATCH($A76,TIPOS_OPCION_F,0)),OR($A76="SELECCION_MEJOR_RESPUESTA",$A76="SELECCION_SIMPLE",$A76="SELECCION_UNICA",$A76="SELECCION_DE_LA_MEJOR_RESPUESTA",$A76="SUBITEM_CASO",$A76="SUBITEM_DE_CASO_O_PROBLEMA")),TRUE,LEN(TRIM($F76))=0)</formula1>
    </dataValidation>
    <dataValidation sqref="G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IF(OR(ISNUMBER(MATCH($A76,TIPOS_OPCION_G,0)),OR($A76="SELECCION_MEJOR_RESPUESTA",$A76="SELECCION_SIMPLE",$A76="SELECCION_UNICA",$A76="SELECCION_DE_LA_MEJOR_RESPUESTA",$A76="SUBITEM_CASO",$A76="SUBITEM_DE_CASO_O_PROBLEMA")),TRUE,LEN(TRIM($G76))=0)</formula1>
    </dataValidation>
    <dataValidation sqref="H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IF(OR(ISNUMBER(MATCH($A76,TIPOS_OPCION_H,0)),OR($A76="SELECCION_MEJOR_RESPUESTA",$A76="SELECCION_SIMPLE",$A76="SELECCION_UNICA",$A76="SELECCION_DE_LA_MEJOR_RESPUESTA",$A76="SUBITEM_CASO",$A76="SUBITEM_DE_CASO_O_PROBLEMA")),TRUE,LEN(TRIM($H76))=0)</formula1>
    </dataValidation>
    <dataValidation sqref="I7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INDIRECT(IF(OR($A76="SELECCION_MEJOR_RESPUESTA",$A76="SELECCION_SIMPLE",$A76="SELECCION_UNICA",$A76="SELECCION_DE_LA_MEJOR_RESPUESTA",$A76="SUBITEM_CASO",$A76="SUBITEM_DE_CASO_O_PROBLEMA"),"RESP_ABCDE",IFERROR(VLOOKUP($A76,MAPA_RESPUESTA_TIPO,2,FALSE),"RESP_VACIA")))</formula1>
    </dataValidation>
    <dataValidation sqref="J76" showDropDown="0" showInputMessage="0" showErrorMessage="1" allowBlank="1" errorTitle="Dificultad invalida" error="Use 1, 2 o 3. Casos/problemas y Emparejamiento Ampliado no llevan dificultad." type="list">
      <formula1>INDIRECT(IF(ISNUMBER(MATCH($A76,TIPOS_SIN_DIFICULTAD,0)),"RESP_VACIA","DIFICULTADES_123"))</formula1>
    </dataValidation>
    <dataValidation sqref="B77" showDropDown="0" showInputMessage="0" showErrorMessage="1" allowBlank="1" errorTitle="Grupo invalido" error="El grupo solo se llena en casos/problemas, subitems, emparejamiento ampliado y opciones de emparejamiento." type="custom">
      <formula1>IF(OR(ISNUMBER(MATCH($A77,TIPOS_REQUIEREN_GRUPO,0)),OR($A77="CASO_CLINICO_TRONCO",$A77="CASO_CLINICO",$A77="ITEMS_AGRUPADOS_POR_CASO_CLINICO_O_PROBLEMA",$A77="PROBLEMA",$A77="SUBPROBLEMA",$A77="SUBITEM_CASO",$A77="SUBITEM_DE_CASO_O_PROBLEMA",$A77="EMPAREJAMIENTO_TRONCO",$A77="EMPAREJAMIENTO_AMPLIADO",$A77="EMPAREJAMIENTO_DE_CONCEPTOS",$A77="OPCION_EMPAREJAMIENTO",$A77="OPCION_DE_EMPAREJAMIENTO_AMPLIADO")),LEN(TRIM($B77))&gt;0,LEN(TRIM($B77))=0)</formula1>
    </dataValidation>
    <dataValidation sqref="D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IF(OR(ISNUMBER(MATCH($A77,TIPOS_OPCION_D,0)),OR($A77="SELECCION_MEJOR_RESPUESTA",$A77="SELECCION_SIMPLE",$A77="SELECCION_UNICA",$A77="SELECCION_DE_LA_MEJOR_RESPUESTA",$A77="SUBITEM_CASO",$A77="SUBITEM_DE_CASO_O_PROBLEMA")),TRUE,LEN(TRIM($D77))=0)</formula1>
    </dataValidation>
    <dataValidation sqref="E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IF(OR(ISNUMBER(MATCH($A77,TIPOS_OPCION_E,0)),OR($A77="SELECCION_MEJOR_RESPUESTA",$A77="SELECCION_SIMPLE",$A77="SELECCION_UNICA",$A77="SELECCION_DE_LA_MEJOR_RESPUESTA",$A77="SUBITEM_CASO",$A77="SUBITEM_DE_CASO_O_PROBLEMA")),TRUE,LEN(TRIM($E77))=0)</formula1>
    </dataValidation>
    <dataValidation sqref="F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IF(OR(ISNUMBER(MATCH($A77,TIPOS_OPCION_F,0)),OR($A77="SELECCION_MEJOR_RESPUESTA",$A77="SELECCION_SIMPLE",$A77="SELECCION_UNICA",$A77="SELECCION_DE_LA_MEJOR_RESPUESTA",$A77="SUBITEM_CASO",$A77="SUBITEM_DE_CASO_O_PROBLEMA")),TRUE,LEN(TRIM($F77))=0)</formula1>
    </dataValidation>
    <dataValidation sqref="G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IF(OR(ISNUMBER(MATCH($A77,TIPOS_OPCION_G,0)),OR($A77="SELECCION_MEJOR_RESPUESTA",$A77="SELECCION_SIMPLE",$A77="SELECCION_UNICA",$A77="SELECCION_DE_LA_MEJOR_RESPUESTA",$A77="SUBITEM_CASO",$A77="SUBITEM_DE_CASO_O_PROBLEMA")),TRUE,LEN(TRIM($G77))=0)</formula1>
    </dataValidation>
    <dataValidation sqref="H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IF(OR(ISNUMBER(MATCH($A77,TIPOS_OPCION_H,0)),OR($A77="SELECCION_MEJOR_RESPUESTA",$A77="SELECCION_SIMPLE",$A77="SELECCION_UNICA",$A77="SELECCION_DE_LA_MEJOR_RESPUESTA",$A77="SUBITEM_CASO",$A77="SUBITEM_DE_CASO_O_PROBLEMA")),TRUE,LEN(TRIM($H77))=0)</formula1>
    </dataValidation>
    <dataValidation sqref="I7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INDIRECT(IF(OR($A77="SELECCION_MEJOR_RESPUESTA",$A77="SELECCION_SIMPLE",$A77="SELECCION_UNICA",$A77="SELECCION_DE_LA_MEJOR_RESPUESTA",$A77="SUBITEM_CASO",$A77="SUBITEM_DE_CASO_O_PROBLEMA"),"RESP_ABCDE",IFERROR(VLOOKUP($A77,MAPA_RESPUESTA_TIPO,2,FALSE),"RESP_VACIA")))</formula1>
    </dataValidation>
    <dataValidation sqref="J77" showDropDown="0" showInputMessage="0" showErrorMessage="1" allowBlank="1" errorTitle="Dificultad invalida" error="Use 1, 2 o 3. Casos/problemas y Emparejamiento Ampliado no llevan dificultad." type="list">
      <formula1>INDIRECT(IF(ISNUMBER(MATCH($A77,TIPOS_SIN_DIFICULTAD,0)),"RESP_VACIA","DIFICULTADES_123"))</formula1>
    </dataValidation>
    <dataValidation sqref="B78" showDropDown="0" showInputMessage="0" showErrorMessage="1" allowBlank="1" errorTitle="Grupo invalido" error="El grupo solo se llena en casos/problemas, subitems, emparejamiento ampliado y opciones de emparejamiento." type="custom">
      <formula1>IF(OR(ISNUMBER(MATCH($A78,TIPOS_REQUIEREN_GRUPO,0)),OR($A78="CASO_CLINICO_TRONCO",$A78="CASO_CLINICO",$A78="ITEMS_AGRUPADOS_POR_CASO_CLINICO_O_PROBLEMA",$A78="PROBLEMA",$A78="SUBPROBLEMA",$A78="SUBITEM_CASO",$A78="SUBITEM_DE_CASO_O_PROBLEMA",$A78="EMPAREJAMIENTO_TRONCO",$A78="EMPAREJAMIENTO_AMPLIADO",$A78="EMPAREJAMIENTO_DE_CONCEPTOS",$A78="OPCION_EMPAREJAMIENTO",$A78="OPCION_DE_EMPAREJAMIENTO_AMPLIADO")),LEN(TRIM($B78))&gt;0,LEN(TRIM($B78))=0)</formula1>
    </dataValidation>
    <dataValidation sqref="D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IF(OR(ISNUMBER(MATCH($A78,TIPOS_OPCION_D,0)),OR($A78="SELECCION_MEJOR_RESPUESTA",$A78="SELECCION_SIMPLE",$A78="SELECCION_UNICA",$A78="SELECCION_DE_LA_MEJOR_RESPUESTA",$A78="SUBITEM_CASO",$A78="SUBITEM_DE_CASO_O_PROBLEMA")),TRUE,LEN(TRIM($D78))=0)</formula1>
    </dataValidation>
    <dataValidation sqref="E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IF(OR(ISNUMBER(MATCH($A78,TIPOS_OPCION_E,0)),OR($A78="SELECCION_MEJOR_RESPUESTA",$A78="SELECCION_SIMPLE",$A78="SELECCION_UNICA",$A78="SELECCION_DE_LA_MEJOR_RESPUESTA",$A78="SUBITEM_CASO",$A78="SUBITEM_DE_CASO_O_PROBLEMA")),TRUE,LEN(TRIM($E78))=0)</formula1>
    </dataValidation>
    <dataValidation sqref="F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IF(OR(ISNUMBER(MATCH($A78,TIPOS_OPCION_F,0)),OR($A78="SELECCION_MEJOR_RESPUESTA",$A78="SELECCION_SIMPLE",$A78="SELECCION_UNICA",$A78="SELECCION_DE_LA_MEJOR_RESPUESTA",$A78="SUBITEM_CASO",$A78="SUBITEM_DE_CASO_O_PROBLEMA")),TRUE,LEN(TRIM($F78))=0)</formula1>
    </dataValidation>
    <dataValidation sqref="G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IF(OR(ISNUMBER(MATCH($A78,TIPOS_OPCION_G,0)),OR($A78="SELECCION_MEJOR_RESPUESTA",$A78="SELECCION_SIMPLE",$A78="SELECCION_UNICA",$A78="SELECCION_DE_LA_MEJOR_RESPUESTA",$A78="SUBITEM_CASO",$A78="SUBITEM_DE_CASO_O_PROBLEMA")),TRUE,LEN(TRIM($G78))=0)</formula1>
    </dataValidation>
    <dataValidation sqref="H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IF(OR(ISNUMBER(MATCH($A78,TIPOS_OPCION_H,0)),OR($A78="SELECCION_MEJOR_RESPUESTA",$A78="SELECCION_SIMPLE",$A78="SELECCION_UNICA",$A78="SELECCION_DE_LA_MEJOR_RESPUESTA",$A78="SUBITEM_CASO",$A78="SUBITEM_DE_CASO_O_PROBLEMA")),TRUE,LEN(TRIM($H78))=0)</formula1>
    </dataValidation>
    <dataValidation sqref="I7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INDIRECT(IF(OR($A78="SELECCION_MEJOR_RESPUESTA",$A78="SELECCION_SIMPLE",$A78="SELECCION_UNICA",$A78="SELECCION_DE_LA_MEJOR_RESPUESTA",$A78="SUBITEM_CASO",$A78="SUBITEM_DE_CASO_O_PROBLEMA"),"RESP_ABCDE",IFERROR(VLOOKUP($A78,MAPA_RESPUESTA_TIPO,2,FALSE),"RESP_VACIA")))</formula1>
    </dataValidation>
    <dataValidation sqref="J78" showDropDown="0" showInputMessage="0" showErrorMessage="1" allowBlank="1" errorTitle="Dificultad invalida" error="Use 1, 2 o 3. Casos/problemas y Emparejamiento Ampliado no llevan dificultad." type="list">
      <formula1>INDIRECT(IF(ISNUMBER(MATCH($A78,TIPOS_SIN_DIFICULTAD,0)),"RESP_VACIA","DIFICULTADES_123"))</formula1>
    </dataValidation>
    <dataValidation sqref="B79" showDropDown="0" showInputMessage="0" showErrorMessage="1" allowBlank="1" errorTitle="Grupo invalido" error="El grupo solo se llena en casos/problemas, subitems, emparejamiento ampliado y opciones de emparejamiento." type="custom">
      <formula1>IF(OR(ISNUMBER(MATCH($A79,TIPOS_REQUIEREN_GRUPO,0)),OR($A79="CASO_CLINICO_TRONCO",$A79="CASO_CLINICO",$A79="ITEMS_AGRUPADOS_POR_CASO_CLINICO_O_PROBLEMA",$A79="PROBLEMA",$A79="SUBPROBLEMA",$A79="SUBITEM_CASO",$A79="SUBITEM_DE_CASO_O_PROBLEMA",$A79="EMPAREJAMIENTO_TRONCO",$A79="EMPAREJAMIENTO_AMPLIADO",$A79="EMPAREJAMIENTO_DE_CONCEPTOS",$A79="OPCION_EMPAREJAMIENTO",$A79="OPCION_DE_EMPAREJAMIENTO_AMPLIADO")),LEN(TRIM($B79))&gt;0,LEN(TRIM($B79))=0)</formula1>
    </dataValidation>
    <dataValidation sqref="D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IF(OR(ISNUMBER(MATCH($A79,TIPOS_OPCION_D,0)),OR($A79="SELECCION_MEJOR_RESPUESTA",$A79="SELECCION_SIMPLE",$A79="SELECCION_UNICA",$A79="SELECCION_DE_LA_MEJOR_RESPUESTA",$A79="SUBITEM_CASO",$A79="SUBITEM_DE_CASO_O_PROBLEMA")),TRUE,LEN(TRIM($D79))=0)</formula1>
    </dataValidation>
    <dataValidation sqref="E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IF(OR(ISNUMBER(MATCH($A79,TIPOS_OPCION_E,0)),OR($A79="SELECCION_MEJOR_RESPUESTA",$A79="SELECCION_SIMPLE",$A79="SELECCION_UNICA",$A79="SELECCION_DE_LA_MEJOR_RESPUESTA",$A79="SUBITEM_CASO",$A79="SUBITEM_DE_CASO_O_PROBLEMA")),TRUE,LEN(TRIM($E79))=0)</formula1>
    </dataValidation>
    <dataValidation sqref="F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IF(OR(ISNUMBER(MATCH($A79,TIPOS_OPCION_F,0)),OR($A79="SELECCION_MEJOR_RESPUESTA",$A79="SELECCION_SIMPLE",$A79="SELECCION_UNICA",$A79="SELECCION_DE_LA_MEJOR_RESPUESTA",$A79="SUBITEM_CASO",$A79="SUBITEM_DE_CASO_O_PROBLEMA")),TRUE,LEN(TRIM($F79))=0)</formula1>
    </dataValidation>
    <dataValidation sqref="G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IF(OR(ISNUMBER(MATCH($A79,TIPOS_OPCION_G,0)),OR($A79="SELECCION_MEJOR_RESPUESTA",$A79="SELECCION_SIMPLE",$A79="SELECCION_UNICA",$A79="SELECCION_DE_LA_MEJOR_RESPUESTA",$A79="SUBITEM_CASO",$A79="SUBITEM_DE_CASO_O_PROBLEMA")),TRUE,LEN(TRIM($G79))=0)</formula1>
    </dataValidation>
    <dataValidation sqref="H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IF(OR(ISNUMBER(MATCH($A79,TIPOS_OPCION_H,0)),OR($A79="SELECCION_MEJOR_RESPUESTA",$A79="SELECCION_SIMPLE",$A79="SELECCION_UNICA",$A79="SELECCION_DE_LA_MEJOR_RESPUESTA",$A79="SUBITEM_CASO",$A79="SUBITEM_DE_CASO_O_PROBLEMA")),TRUE,LEN(TRIM($H79))=0)</formula1>
    </dataValidation>
    <dataValidation sqref="I7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INDIRECT(IF(OR($A79="SELECCION_MEJOR_RESPUESTA",$A79="SELECCION_SIMPLE",$A79="SELECCION_UNICA",$A79="SELECCION_DE_LA_MEJOR_RESPUESTA",$A79="SUBITEM_CASO",$A79="SUBITEM_DE_CASO_O_PROBLEMA"),"RESP_ABCDE",IFERROR(VLOOKUP($A79,MAPA_RESPUESTA_TIPO,2,FALSE),"RESP_VACIA")))</formula1>
    </dataValidation>
    <dataValidation sqref="J79" showDropDown="0" showInputMessage="0" showErrorMessage="1" allowBlank="1" errorTitle="Dificultad invalida" error="Use 1, 2 o 3. Casos/problemas y Emparejamiento Ampliado no llevan dificultad." type="list">
      <formula1>INDIRECT(IF(ISNUMBER(MATCH($A79,TIPOS_SIN_DIFICULTAD,0)),"RESP_VACIA","DIFICULTADES_123"))</formula1>
    </dataValidation>
    <dataValidation sqref="B80" showDropDown="0" showInputMessage="0" showErrorMessage="1" allowBlank="1" errorTitle="Grupo invalido" error="El grupo solo se llena en casos/problemas, subitems, emparejamiento ampliado y opciones de emparejamiento." type="custom">
      <formula1>IF(OR(ISNUMBER(MATCH($A80,TIPOS_REQUIEREN_GRUPO,0)),OR($A80="CASO_CLINICO_TRONCO",$A80="CASO_CLINICO",$A80="ITEMS_AGRUPADOS_POR_CASO_CLINICO_O_PROBLEMA",$A80="PROBLEMA",$A80="SUBPROBLEMA",$A80="SUBITEM_CASO",$A80="SUBITEM_DE_CASO_O_PROBLEMA",$A80="EMPAREJAMIENTO_TRONCO",$A80="EMPAREJAMIENTO_AMPLIADO",$A80="EMPAREJAMIENTO_DE_CONCEPTOS",$A80="OPCION_EMPAREJAMIENTO",$A80="OPCION_DE_EMPAREJAMIENTO_AMPLIADO")),LEN(TRIM($B80))&gt;0,LEN(TRIM($B80))=0)</formula1>
    </dataValidation>
    <dataValidation sqref="D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IF(OR(ISNUMBER(MATCH($A80,TIPOS_OPCION_D,0)),OR($A80="SELECCION_MEJOR_RESPUESTA",$A80="SELECCION_SIMPLE",$A80="SELECCION_UNICA",$A80="SELECCION_DE_LA_MEJOR_RESPUESTA",$A80="SUBITEM_CASO",$A80="SUBITEM_DE_CASO_O_PROBLEMA")),TRUE,LEN(TRIM($D80))=0)</formula1>
    </dataValidation>
    <dataValidation sqref="E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IF(OR(ISNUMBER(MATCH($A80,TIPOS_OPCION_E,0)),OR($A80="SELECCION_MEJOR_RESPUESTA",$A80="SELECCION_SIMPLE",$A80="SELECCION_UNICA",$A80="SELECCION_DE_LA_MEJOR_RESPUESTA",$A80="SUBITEM_CASO",$A80="SUBITEM_DE_CASO_O_PROBLEMA")),TRUE,LEN(TRIM($E80))=0)</formula1>
    </dataValidation>
    <dataValidation sqref="F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IF(OR(ISNUMBER(MATCH($A80,TIPOS_OPCION_F,0)),OR($A80="SELECCION_MEJOR_RESPUESTA",$A80="SELECCION_SIMPLE",$A80="SELECCION_UNICA",$A80="SELECCION_DE_LA_MEJOR_RESPUESTA",$A80="SUBITEM_CASO",$A80="SUBITEM_DE_CASO_O_PROBLEMA")),TRUE,LEN(TRIM($F80))=0)</formula1>
    </dataValidation>
    <dataValidation sqref="G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IF(OR(ISNUMBER(MATCH($A80,TIPOS_OPCION_G,0)),OR($A80="SELECCION_MEJOR_RESPUESTA",$A80="SELECCION_SIMPLE",$A80="SELECCION_UNICA",$A80="SELECCION_DE_LA_MEJOR_RESPUESTA",$A80="SUBITEM_CASO",$A80="SUBITEM_DE_CASO_O_PROBLEMA")),TRUE,LEN(TRIM($G80))=0)</formula1>
    </dataValidation>
    <dataValidation sqref="H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IF(OR(ISNUMBER(MATCH($A80,TIPOS_OPCION_H,0)),OR($A80="SELECCION_MEJOR_RESPUESTA",$A80="SELECCION_SIMPLE",$A80="SELECCION_UNICA",$A80="SELECCION_DE_LA_MEJOR_RESPUESTA",$A80="SUBITEM_CASO",$A80="SUBITEM_DE_CASO_O_PROBLEMA")),TRUE,LEN(TRIM($H80))=0)</formula1>
    </dataValidation>
    <dataValidation sqref="I8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INDIRECT(IF(OR($A80="SELECCION_MEJOR_RESPUESTA",$A80="SELECCION_SIMPLE",$A80="SELECCION_UNICA",$A80="SELECCION_DE_LA_MEJOR_RESPUESTA",$A80="SUBITEM_CASO",$A80="SUBITEM_DE_CASO_O_PROBLEMA"),"RESP_ABCDE",IFERROR(VLOOKUP($A80,MAPA_RESPUESTA_TIPO,2,FALSE),"RESP_VACIA")))</formula1>
    </dataValidation>
    <dataValidation sqref="J80" showDropDown="0" showInputMessage="0" showErrorMessage="1" allowBlank="1" errorTitle="Dificultad invalida" error="Use 1, 2 o 3. Casos/problemas y Emparejamiento Ampliado no llevan dificultad." type="list">
      <formula1>INDIRECT(IF(ISNUMBER(MATCH($A80,TIPOS_SIN_DIFICULTAD,0)),"RESP_VACIA","DIFICULTADES_123"))</formula1>
    </dataValidation>
    <dataValidation sqref="B81" showDropDown="0" showInputMessage="0" showErrorMessage="1" allowBlank="1" errorTitle="Grupo invalido" error="El grupo solo se llena en casos/problemas, subitems, emparejamiento ampliado y opciones de emparejamiento." type="custom">
      <formula1>IF(OR(ISNUMBER(MATCH($A81,TIPOS_REQUIEREN_GRUPO,0)),OR($A81="CASO_CLINICO_TRONCO",$A81="CASO_CLINICO",$A81="ITEMS_AGRUPADOS_POR_CASO_CLINICO_O_PROBLEMA",$A81="PROBLEMA",$A81="SUBPROBLEMA",$A81="SUBITEM_CASO",$A81="SUBITEM_DE_CASO_O_PROBLEMA",$A81="EMPAREJAMIENTO_TRONCO",$A81="EMPAREJAMIENTO_AMPLIADO",$A81="EMPAREJAMIENTO_DE_CONCEPTOS",$A81="OPCION_EMPAREJAMIENTO",$A81="OPCION_DE_EMPAREJAMIENTO_AMPLIADO")),LEN(TRIM($B81))&gt;0,LEN(TRIM($B81))=0)</formula1>
    </dataValidation>
    <dataValidation sqref="D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IF(OR(ISNUMBER(MATCH($A81,TIPOS_OPCION_D,0)),OR($A81="SELECCION_MEJOR_RESPUESTA",$A81="SELECCION_SIMPLE",$A81="SELECCION_UNICA",$A81="SELECCION_DE_LA_MEJOR_RESPUESTA",$A81="SUBITEM_CASO",$A81="SUBITEM_DE_CASO_O_PROBLEMA")),TRUE,LEN(TRIM($D81))=0)</formula1>
    </dataValidation>
    <dataValidation sqref="E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IF(OR(ISNUMBER(MATCH($A81,TIPOS_OPCION_E,0)),OR($A81="SELECCION_MEJOR_RESPUESTA",$A81="SELECCION_SIMPLE",$A81="SELECCION_UNICA",$A81="SELECCION_DE_LA_MEJOR_RESPUESTA",$A81="SUBITEM_CASO",$A81="SUBITEM_DE_CASO_O_PROBLEMA")),TRUE,LEN(TRIM($E81))=0)</formula1>
    </dataValidation>
    <dataValidation sqref="F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IF(OR(ISNUMBER(MATCH($A81,TIPOS_OPCION_F,0)),OR($A81="SELECCION_MEJOR_RESPUESTA",$A81="SELECCION_SIMPLE",$A81="SELECCION_UNICA",$A81="SELECCION_DE_LA_MEJOR_RESPUESTA",$A81="SUBITEM_CASO",$A81="SUBITEM_DE_CASO_O_PROBLEMA")),TRUE,LEN(TRIM($F81))=0)</formula1>
    </dataValidation>
    <dataValidation sqref="G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IF(OR(ISNUMBER(MATCH($A81,TIPOS_OPCION_G,0)),OR($A81="SELECCION_MEJOR_RESPUESTA",$A81="SELECCION_SIMPLE",$A81="SELECCION_UNICA",$A81="SELECCION_DE_LA_MEJOR_RESPUESTA",$A81="SUBITEM_CASO",$A81="SUBITEM_DE_CASO_O_PROBLEMA")),TRUE,LEN(TRIM($G81))=0)</formula1>
    </dataValidation>
    <dataValidation sqref="H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IF(OR(ISNUMBER(MATCH($A81,TIPOS_OPCION_H,0)),OR($A81="SELECCION_MEJOR_RESPUESTA",$A81="SELECCION_SIMPLE",$A81="SELECCION_UNICA",$A81="SELECCION_DE_LA_MEJOR_RESPUESTA",$A81="SUBITEM_CASO",$A81="SUBITEM_DE_CASO_O_PROBLEMA")),TRUE,LEN(TRIM($H81))=0)</formula1>
    </dataValidation>
    <dataValidation sqref="I8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INDIRECT(IF(OR($A81="SELECCION_MEJOR_RESPUESTA",$A81="SELECCION_SIMPLE",$A81="SELECCION_UNICA",$A81="SELECCION_DE_LA_MEJOR_RESPUESTA",$A81="SUBITEM_CASO",$A81="SUBITEM_DE_CASO_O_PROBLEMA"),"RESP_ABCDE",IFERROR(VLOOKUP($A81,MAPA_RESPUESTA_TIPO,2,FALSE),"RESP_VACIA")))</formula1>
    </dataValidation>
    <dataValidation sqref="J81" showDropDown="0" showInputMessage="0" showErrorMessage="1" allowBlank="1" errorTitle="Dificultad invalida" error="Use 1, 2 o 3. Casos/problemas y Emparejamiento Ampliado no llevan dificultad." type="list">
      <formula1>INDIRECT(IF(ISNUMBER(MATCH($A81,TIPOS_SIN_DIFICULTAD,0)),"RESP_VACIA","DIFICULTADES_123"))</formula1>
    </dataValidation>
    <dataValidation sqref="B82" showDropDown="0" showInputMessage="0" showErrorMessage="1" allowBlank="1" errorTitle="Grupo invalido" error="El grupo solo se llena en casos/problemas, subitems, emparejamiento ampliado y opciones de emparejamiento." type="custom">
      <formula1>IF(OR(ISNUMBER(MATCH($A82,TIPOS_REQUIEREN_GRUPO,0)),OR($A82="CASO_CLINICO_TRONCO",$A82="CASO_CLINICO",$A82="ITEMS_AGRUPADOS_POR_CASO_CLINICO_O_PROBLEMA",$A82="PROBLEMA",$A82="SUBPROBLEMA",$A82="SUBITEM_CASO",$A82="SUBITEM_DE_CASO_O_PROBLEMA",$A82="EMPAREJAMIENTO_TRONCO",$A82="EMPAREJAMIENTO_AMPLIADO",$A82="EMPAREJAMIENTO_DE_CONCEPTOS",$A82="OPCION_EMPAREJAMIENTO",$A82="OPCION_DE_EMPAREJAMIENTO_AMPLIADO")),LEN(TRIM($B82))&gt;0,LEN(TRIM($B82))=0)</formula1>
    </dataValidation>
    <dataValidation sqref="D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IF(OR(ISNUMBER(MATCH($A82,TIPOS_OPCION_D,0)),OR($A82="SELECCION_MEJOR_RESPUESTA",$A82="SELECCION_SIMPLE",$A82="SELECCION_UNICA",$A82="SELECCION_DE_LA_MEJOR_RESPUESTA",$A82="SUBITEM_CASO",$A82="SUBITEM_DE_CASO_O_PROBLEMA")),TRUE,LEN(TRIM($D82))=0)</formula1>
    </dataValidation>
    <dataValidation sqref="E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IF(OR(ISNUMBER(MATCH($A82,TIPOS_OPCION_E,0)),OR($A82="SELECCION_MEJOR_RESPUESTA",$A82="SELECCION_SIMPLE",$A82="SELECCION_UNICA",$A82="SELECCION_DE_LA_MEJOR_RESPUESTA",$A82="SUBITEM_CASO",$A82="SUBITEM_DE_CASO_O_PROBLEMA")),TRUE,LEN(TRIM($E82))=0)</formula1>
    </dataValidation>
    <dataValidation sqref="F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IF(OR(ISNUMBER(MATCH($A82,TIPOS_OPCION_F,0)),OR($A82="SELECCION_MEJOR_RESPUESTA",$A82="SELECCION_SIMPLE",$A82="SELECCION_UNICA",$A82="SELECCION_DE_LA_MEJOR_RESPUESTA",$A82="SUBITEM_CASO",$A82="SUBITEM_DE_CASO_O_PROBLEMA")),TRUE,LEN(TRIM($F82))=0)</formula1>
    </dataValidation>
    <dataValidation sqref="G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IF(OR(ISNUMBER(MATCH($A82,TIPOS_OPCION_G,0)),OR($A82="SELECCION_MEJOR_RESPUESTA",$A82="SELECCION_SIMPLE",$A82="SELECCION_UNICA",$A82="SELECCION_DE_LA_MEJOR_RESPUESTA",$A82="SUBITEM_CASO",$A82="SUBITEM_DE_CASO_O_PROBLEMA")),TRUE,LEN(TRIM($G82))=0)</formula1>
    </dataValidation>
    <dataValidation sqref="H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IF(OR(ISNUMBER(MATCH($A82,TIPOS_OPCION_H,0)),OR($A82="SELECCION_MEJOR_RESPUESTA",$A82="SELECCION_SIMPLE",$A82="SELECCION_UNICA",$A82="SELECCION_DE_LA_MEJOR_RESPUESTA",$A82="SUBITEM_CASO",$A82="SUBITEM_DE_CASO_O_PROBLEMA")),TRUE,LEN(TRIM($H82))=0)</formula1>
    </dataValidation>
    <dataValidation sqref="I8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INDIRECT(IF(OR($A82="SELECCION_MEJOR_RESPUESTA",$A82="SELECCION_SIMPLE",$A82="SELECCION_UNICA",$A82="SELECCION_DE_LA_MEJOR_RESPUESTA",$A82="SUBITEM_CASO",$A82="SUBITEM_DE_CASO_O_PROBLEMA"),"RESP_ABCDE",IFERROR(VLOOKUP($A82,MAPA_RESPUESTA_TIPO,2,FALSE),"RESP_VACIA")))</formula1>
    </dataValidation>
    <dataValidation sqref="J82" showDropDown="0" showInputMessage="0" showErrorMessage="1" allowBlank="1" errorTitle="Dificultad invalida" error="Use 1, 2 o 3. Casos/problemas y Emparejamiento Ampliado no llevan dificultad." type="list">
      <formula1>INDIRECT(IF(ISNUMBER(MATCH($A82,TIPOS_SIN_DIFICULTAD,0)),"RESP_VACIA","DIFICULTADES_123"))</formula1>
    </dataValidation>
    <dataValidation sqref="B83" showDropDown="0" showInputMessage="0" showErrorMessage="1" allowBlank="1" errorTitle="Grupo invalido" error="El grupo solo se llena en casos/problemas, subitems, emparejamiento ampliado y opciones de emparejamiento." type="custom">
      <formula1>IF(OR(ISNUMBER(MATCH($A83,TIPOS_REQUIEREN_GRUPO,0)),OR($A83="CASO_CLINICO_TRONCO",$A83="CASO_CLINICO",$A83="ITEMS_AGRUPADOS_POR_CASO_CLINICO_O_PROBLEMA",$A83="PROBLEMA",$A83="SUBPROBLEMA",$A83="SUBITEM_CASO",$A83="SUBITEM_DE_CASO_O_PROBLEMA",$A83="EMPAREJAMIENTO_TRONCO",$A83="EMPAREJAMIENTO_AMPLIADO",$A83="EMPAREJAMIENTO_DE_CONCEPTOS",$A83="OPCION_EMPAREJAMIENTO",$A83="OPCION_DE_EMPAREJAMIENTO_AMPLIADO")),LEN(TRIM($B83))&gt;0,LEN(TRIM($B83))=0)</formula1>
    </dataValidation>
    <dataValidation sqref="D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IF(OR(ISNUMBER(MATCH($A83,TIPOS_OPCION_D,0)),OR($A83="SELECCION_MEJOR_RESPUESTA",$A83="SELECCION_SIMPLE",$A83="SELECCION_UNICA",$A83="SELECCION_DE_LA_MEJOR_RESPUESTA",$A83="SUBITEM_CASO",$A83="SUBITEM_DE_CASO_O_PROBLEMA")),TRUE,LEN(TRIM($D83))=0)</formula1>
    </dataValidation>
    <dataValidation sqref="E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IF(OR(ISNUMBER(MATCH($A83,TIPOS_OPCION_E,0)),OR($A83="SELECCION_MEJOR_RESPUESTA",$A83="SELECCION_SIMPLE",$A83="SELECCION_UNICA",$A83="SELECCION_DE_LA_MEJOR_RESPUESTA",$A83="SUBITEM_CASO",$A83="SUBITEM_DE_CASO_O_PROBLEMA")),TRUE,LEN(TRIM($E83))=0)</formula1>
    </dataValidation>
    <dataValidation sqref="F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IF(OR(ISNUMBER(MATCH($A83,TIPOS_OPCION_F,0)),OR($A83="SELECCION_MEJOR_RESPUESTA",$A83="SELECCION_SIMPLE",$A83="SELECCION_UNICA",$A83="SELECCION_DE_LA_MEJOR_RESPUESTA",$A83="SUBITEM_CASO",$A83="SUBITEM_DE_CASO_O_PROBLEMA")),TRUE,LEN(TRIM($F83))=0)</formula1>
    </dataValidation>
    <dataValidation sqref="G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IF(OR(ISNUMBER(MATCH($A83,TIPOS_OPCION_G,0)),OR($A83="SELECCION_MEJOR_RESPUESTA",$A83="SELECCION_SIMPLE",$A83="SELECCION_UNICA",$A83="SELECCION_DE_LA_MEJOR_RESPUESTA",$A83="SUBITEM_CASO",$A83="SUBITEM_DE_CASO_O_PROBLEMA")),TRUE,LEN(TRIM($G83))=0)</formula1>
    </dataValidation>
    <dataValidation sqref="H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IF(OR(ISNUMBER(MATCH($A83,TIPOS_OPCION_H,0)),OR($A83="SELECCION_MEJOR_RESPUESTA",$A83="SELECCION_SIMPLE",$A83="SELECCION_UNICA",$A83="SELECCION_DE_LA_MEJOR_RESPUESTA",$A83="SUBITEM_CASO",$A83="SUBITEM_DE_CASO_O_PROBLEMA")),TRUE,LEN(TRIM($H83))=0)</formula1>
    </dataValidation>
    <dataValidation sqref="I8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INDIRECT(IF(OR($A83="SELECCION_MEJOR_RESPUESTA",$A83="SELECCION_SIMPLE",$A83="SELECCION_UNICA",$A83="SELECCION_DE_LA_MEJOR_RESPUESTA",$A83="SUBITEM_CASO",$A83="SUBITEM_DE_CASO_O_PROBLEMA"),"RESP_ABCDE",IFERROR(VLOOKUP($A83,MAPA_RESPUESTA_TIPO,2,FALSE),"RESP_VACIA")))</formula1>
    </dataValidation>
    <dataValidation sqref="J83" showDropDown="0" showInputMessage="0" showErrorMessage="1" allowBlank="1" errorTitle="Dificultad invalida" error="Use 1, 2 o 3. Casos/problemas y Emparejamiento Ampliado no llevan dificultad." type="list">
      <formula1>INDIRECT(IF(ISNUMBER(MATCH($A83,TIPOS_SIN_DIFICULTAD,0)),"RESP_VACIA","DIFICULTADES_123"))</formula1>
    </dataValidation>
    <dataValidation sqref="B84" showDropDown="0" showInputMessage="0" showErrorMessage="1" allowBlank="1" errorTitle="Grupo invalido" error="El grupo solo se llena en casos/problemas, subitems, emparejamiento ampliado y opciones de emparejamiento." type="custom">
      <formula1>IF(OR(ISNUMBER(MATCH($A84,TIPOS_REQUIEREN_GRUPO,0)),OR($A84="CASO_CLINICO_TRONCO",$A84="CASO_CLINICO",$A84="ITEMS_AGRUPADOS_POR_CASO_CLINICO_O_PROBLEMA",$A84="PROBLEMA",$A84="SUBPROBLEMA",$A84="SUBITEM_CASO",$A84="SUBITEM_DE_CASO_O_PROBLEMA",$A84="EMPAREJAMIENTO_TRONCO",$A84="EMPAREJAMIENTO_AMPLIADO",$A84="EMPAREJAMIENTO_DE_CONCEPTOS",$A84="OPCION_EMPAREJAMIENTO",$A84="OPCION_DE_EMPAREJAMIENTO_AMPLIADO")),LEN(TRIM($B84))&gt;0,LEN(TRIM($B84))=0)</formula1>
    </dataValidation>
    <dataValidation sqref="D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IF(OR(ISNUMBER(MATCH($A84,TIPOS_OPCION_D,0)),OR($A84="SELECCION_MEJOR_RESPUESTA",$A84="SELECCION_SIMPLE",$A84="SELECCION_UNICA",$A84="SELECCION_DE_LA_MEJOR_RESPUESTA",$A84="SUBITEM_CASO",$A84="SUBITEM_DE_CASO_O_PROBLEMA")),TRUE,LEN(TRIM($D84))=0)</formula1>
    </dataValidation>
    <dataValidation sqref="E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IF(OR(ISNUMBER(MATCH($A84,TIPOS_OPCION_E,0)),OR($A84="SELECCION_MEJOR_RESPUESTA",$A84="SELECCION_SIMPLE",$A84="SELECCION_UNICA",$A84="SELECCION_DE_LA_MEJOR_RESPUESTA",$A84="SUBITEM_CASO",$A84="SUBITEM_DE_CASO_O_PROBLEMA")),TRUE,LEN(TRIM($E84))=0)</formula1>
    </dataValidation>
    <dataValidation sqref="F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IF(OR(ISNUMBER(MATCH($A84,TIPOS_OPCION_F,0)),OR($A84="SELECCION_MEJOR_RESPUESTA",$A84="SELECCION_SIMPLE",$A84="SELECCION_UNICA",$A84="SELECCION_DE_LA_MEJOR_RESPUESTA",$A84="SUBITEM_CASO",$A84="SUBITEM_DE_CASO_O_PROBLEMA")),TRUE,LEN(TRIM($F84))=0)</formula1>
    </dataValidation>
    <dataValidation sqref="G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IF(OR(ISNUMBER(MATCH($A84,TIPOS_OPCION_G,0)),OR($A84="SELECCION_MEJOR_RESPUESTA",$A84="SELECCION_SIMPLE",$A84="SELECCION_UNICA",$A84="SELECCION_DE_LA_MEJOR_RESPUESTA",$A84="SUBITEM_CASO",$A84="SUBITEM_DE_CASO_O_PROBLEMA")),TRUE,LEN(TRIM($G84))=0)</formula1>
    </dataValidation>
    <dataValidation sqref="H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IF(OR(ISNUMBER(MATCH($A84,TIPOS_OPCION_H,0)),OR($A84="SELECCION_MEJOR_RESPUESTA",$A84="SELECCION_SIMPLE",$A84="SELECCION_UNICA",$A84="SELECCION_DE_LA_MEJOR_RESPUESTA",$A84="SUBITEM_CASO",$A84="SUBITEM_DE_CASO_O_PROBLEMA")),TRUE,LEN(TRIM($H84))=0)</formula1>
    </dataValidation>
    <dataValidation sqref="I8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INDIRECT(IF(OR($A84="SELECCION_MEJOR_RESPUESTA",$A84="SELECCION_SIMPLE",$A84="SELECCION_UNICA",$A84="SELECCION_DE_LA_MEJOR_RESPUESTA",$A84="SUBITEM_CASO",$A84="SUBITEM_DE_CASO_O_PROBLEMA"),"RESP_ABCDE",IFERROR(VLOOKUP($A84,MAPA_RESPUESTA_TIPO,2,FALSE),"RESP_VACIA")))</formula1>
    </dataValidation>
    <dataValidation sqref="J84" showDropDown="0" showInputMessage="0" showErrorMessage="1" allowBlank="1" errorTitle="Dificultad invalida" error="Use 1, 2 o 3. Casos/problemas y Emparejamiento Ampliado no llevan dificultad." type="list">
      <formula1>INDIRECT(IF(ISNUMBER(MATCH($A84,TIPOS_SIN_DIFICULTAD,0)),"RESP_VACIA","DIFICULTADES_123"))</formula1>
    </dataValidation>
    <dataValidation sqref="B85" showDropDown="0" showInputMessage="0" showErrorMessage="1" allowBlank="1" errorTitle="Grupo invalido" error="El grupo solo se llena en casos/problemas, subitems, emparejamiento ampliado y opciones de emparejamiento." type="custom">
      <formula1>IF(OR(ISNUMBER(MATCH($A85,TIPOS_REQUIEREN_GRUPO,0)),OR($A85="CASO_CLINICO_TRONCO",$A85="CASO_CLINICO",$A85="ITEMS_AGRUPADOS_POR_CASO_CLINICO_O_PROBLEMA",$A85="PROBLEMA",$A85="SUBPROBLEMA",$A85="SUBITEM_CASO",$A85="SUBITEM_DE_CASO_O_PROBLEMA",$A85="EMPAREJAMIENTO_TRONCO",$A85="EMPAREJAMIENTO_AMPLIADO",$A85="EMPAREJAMIENTO_DE_CONCEPTOS",$A85="OPCION_EMPAREJAMIENTO",$A85="OPCION_DE_EMPAREJAMIENTO_AMPLIADO")),LEN(TRIM($B85))&gt;0,LEN(TRIM($B85))=0)</formula1>
    </dataValidation>
    <dataValidation sqref="D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IF(OR(ISNUMBER(MATCH($A85,TIPOS_OPCION_D,0)),OR($A85="SELECCION_MEJOR_RESPUESTA",$A85="SELECCION_SIMPLE",$A85="SELECCION_UNICA",$A85="SELECCION_DE_LA_MEJOR_RESPUESTA",$A85="SUBITEM_CASO",$A85="SUBITEM_DE_CASO_O_PROBLEMA")),TRUE,LEN(TRIM($D85))=0)</formula1>
    </dataValidation>
    <dataValidation sqref="E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IF(OR(ISNUMBER(MATCH($A85,TIPOS_OPCION_E,0)),OR($A85="SELECCION_MEJOR_RESPUESTA",$A85="SELECCION_SIMPLE",$A85="SELECCION_UNICA",$A85="SELECCION_DE_LA_MEJOR_RESPUESTA",$A85="SUBITEM_CASO",$A85="SUBITEM_DE_CASO_O_PROBLEMA")),TRUE,LEN(TRIM($E85))=0)</formula1>
    </dataValidation>
    <dataValidation sqref="F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IF(OR(ISNUMBER(MATCH($A85,TIPOS_OPCION_F,0)),OR($A85="SELECCION_MEJOR_RESPUESTA",$A85="SELECCION_SIMPLE",$A85="SELECCION_UNICA",$A85="SELECCION_DE_LA_MEJOR_RESPUESTA",$A85="SUBITEM_CASO",$A85="SUBITEM_DE_CASO_O_PROBLEMA")),TRUE,LEN(TRIM($F85))=0)</formula1>
    </dataValidation>
    <dataValidation sqref="G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IF(OR(ISNUMBER(MATCH($A85,TIPOS_OPCION_G,0)),OR($A85="SELECCION_MEJOR_RESPUESTA",$A85="SELECCION_SIMPLE",$A85="SELECCION_UNICA",$A85="SELECCION_DE_LA_MEJOR_RESPUESTA",$A85="SUBITEM_CASO",$A85="SUBITEM_DE_CASO_O_PROBLEMA")),TRUE,LEN(TRIM($G85))=0)</formula1>
    </dataValidation>
    <dataValidation sqref="H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IF(OR(ISNUMBER(MATCH($A85,TIPOS_OPCION_H,0)),OR($A85="SELECCION_MEJOR_RESPUESTA",$A85="SELECCION_SIMPLE",$A85="SELECCION_UNICA",$A85="SELECCION_DE_LA_MEJOR_RESPUESTA",$A85="SUBITEM_CASO",$A85="SUBITEM_DE_CASO_O_PROBLEMA")),TRUE,LEN(TRIM($H85))=0)</formula1>
    </dataValidation>
    <dataValidation sqref="I8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INDIRECT(IF(OR($A85="SELECCION_MEJOR_RESPUESTA",$A85="SELECCION_SIMPLE",$A85="SELECCION_UNICA",$A85="SELECCION_DE_LA_MEJOR_RESPUESTA",$A85="SUBITEM_CASO",$A85="SUBITEM_DE_CASO_O_PROBLEMA"),"RESP_ABCDE",IFERROR(VLOOKUP($A85,MAPA_RESPUESTA_TIPO,2,FALSE),"RESP_VACIA")))</formula1>
    </dataValidation>
    <dataValidation sqref="J85" showDropDown="0" showInputMessage="0" showErrorMessage="1" allowBlank="1" errorTitle="Dificultad invalida" error="Use 1, 2 o 3. Casos/problemas y Emparejamiento Ampliado no llevan dificultad." type="list">
      <formula1>INDIRECT(IF(ISNUMBER(MATCH($A85,TIPOS_SIN_DIFICULTAD,0)),"RESP_VACIA","DIFICULTADES_123"))</formula1>
    </dataValidation>
    <dataValidation sqref="B86" showDropDown="0" showInputMessage="0" showErrorMessage="1" allowBlank="1" errorTitle="Grupo invalido" error="El grupo solo se llena en casos/problemas, subitems, emparejamiento ampliado y opciones de emparejamiento." type="custom">
      <formula1>IF(OR(ISNUMBER(MATCH($A86,TIPOS_REQUIEREN_GRUPO,0)),OR($A86="CASO_CLINICO_TRONCO",$A86="CASO_CLINICO",$A86="ITEMS_AGRUPADOS_POR_CASO_CLINICO_O_PROBLEMA",$A86="PROBLEMA",$A86="SUBPROBLEMA",$A86="SUBITEM_CASO",$A86="SUBITEM_DE_CASO_O_PROBLEMA",$A86="EMPAREJAMIENTO_TRONCO",$A86="EMPAREJAMIENTO_AMPLIADO",$A86="EMPAREJAMIENTO_DE_CONCEPTOS",$A86="OPCION_EMPAREJAMIENTO",$A86="OPCION_DE_EMPAREJAMIENTO_AMPLIADO")),LEN(TRIM($B86))&gt;0,LEN(TRIM($B86))=0)</formula1>
    </dataValidation>
    <dataValidation sqref="D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IF(OR(ISNUMBER(MATCH($A86,TIPOS_OPCION_D,0)),OR($A86="SELECCION_MEJOR_RESPUESTA",$A86="SELECCION_SIMPLE",$A86="SELECCION_UNICA",$A86="SELECCION_DE_LA_MEJOR_RESPUESTA",$A86="SUBITEM_CASO",$A86="SUBITEM_DE_CASO_O_PROBLEMA")),TRUE,LEN(TRIM($D86))=0)</formula1>
    </dataValidation>
    <dataValidation sqref="E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IF(OR(ISNUMBER(MATCH($A86,TIPOS_OPCION_E,0)),OR($A86="SELECCION_MEJOR_RESPUESTA",$A86="SELECCION_SIMPLE",$A86="SELECCION_UNICA",$A86="SELECCION_DE_LA_MEJOR_RESPUESTA",$A86="SUBITEM_CASO",$A86="SUBITEM_DE_CASO_O_PROBLEMA")),TRUE,LEN(TRIM($E86))=0)</formula1>
    </dataValidation>
    <dataValidation sqref="F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IF(OR(ISNUMBER(MATCH($A86,TIPOS_OPCION_F,0)),OR($A86="SELECCION_MEJOR_RESPUESTA",$A86="SELECCION_SIMPLE",$A86="SELECCION_UNICA",$A86="SELECCION_DE_LA_MEJOR_RESPUESTA",$A86="SUBITEM_CASO",$A86="SUBITEM_DE_CASO_O_PROBLEMA")),TRUE,LEN(TRIM($F86))=0)</formula1>
    </dataValidation>
    <dataValidation sqref="G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IF(OR(ISNUMBER(MATCH($A86,TIPOS_OPCION_G,0)),OR($A86="SELECCION_MEJOR_RESPUESTA",$A86="SELECCION_SIMPLE",$A86="SELECCION_UNICA",$A86="SELECCION_DE_LA_MEJOR_RESPUESTA",$A86="SUBITEM_CASO",$A86="SUBITEM_DE_CASO_O_PROBLEMA")),TRUE,LEN(TRIM($G86))=0)</formula1>
    </dataValidation>
    <dataValidation sqref="H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IF(OR(ISNUMBER(MATCH($A86,TIPOS_OPCION_H,0)),OR($A86="SELECCION_MEJOR_RESPUESTA",$A86="SELECCION_SIMPLE",$A86="SELECCION_UNICA",$A86="SELECCION_DE_LA_MEJOR_RESPUESTA",$A86="SUBITEM_CASO",$A86="SUBITEM_DE_CASO_O_PROBLEMA")),TRUE,LEN(TRIM($H86))=0)</formula1>
    </dataValidation>
    <dataValidation sqref="I8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INDIRECT(IF(OR($A86="SELECCION_MEJOR_RESPUESTA",$A86="SELECCION_SIMPLE",$A86="SELECCION_UNICA",$A86="SELECCION_DE_LA_MEJOR_RESPUESTA",$A86="SUBITEM_CASO",$A86="SUBITEM_DE_CASO_O_PROBLEMA"),"RESP_ABCDE",IFERROR(VLOOKUP($A86,MAPA_RESPUESTA_TIPO,2,FALSE),"RESP_VACIA")))</formula1>
    </dataValidation>
    <dataValidation sqref="J86" showDropDown="0" showInputMessage="0" showErrorMessage="1" allowBlank="1" errorTitle="Dificultad invalida" error="Use 1, 2 o 3. Casos/problemas y Emparejamiento Ampliado no llevan dificultad." type="list">
      <formula1>INDIRECT(IF(ISNUMBER(MATCH($A86,TIPOS_SIN_DIFICULTAD,0)),"RESP_VACIA","DIFICULTADES_123"))</formula1>
    </dataValidation>
    <dataValidation sqref="B87" showDropDown="0" showInputMessage="0" showErrorMessage="1" allowBlank="1" errorTitle="Grupo invalido" error="El grupo solo se llena en casos/problemas, subitems, emparejamiento ampliado y opciones de emparejamiento." type="custom">
      <formula1>IF(OR(ISNUMBER(MATCH($A87,TIPOS_REQUIEREN_GRUPO,0)),OR($A87="CASO_CLINICO_TRONCO",$A87="CASO_CLINICO",$A87="ITEMS_AGRUPADOS_POR_CASO_CLINICO_O_PROBLEMA",$A87="PROBLEMA",$A87="SUBPROBLEMA",$A87="SUBITEM_CASO",$A87="SUBITEM_DE_CASO_O_PROBLEMA",$A87="EMPAREJAMIENTO_TRONCO",$A87="EMPAREJAMIENTO_AMPLIADO",$A87="EMPAREJAMIENTO_DE_CONCEPTOS",$A87="OPCION_EMPAREJAMIENTO",$A87="OPCION_DE_EMPAREJAMIENTO_AMPLIADO")),LEN(TRIM($B87))&gt;0,LEN(TRIM($B87))=0)</formula1>
    </dataValidation>
    <dataValidation sqref="D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IF(OR(ISNUMBER(MATCH($A87,TIPOS_OPCION_D,0)),OR($A87="SELECCION_MEJOR_RESPUESTA",$A87="SELECCION_SIMPLE",$A87="SELECCION_UNICA",$A87="SELECCION_DE_LA_MEJOR_RESPUESTA",$A87="SUBITEM_CASO",$A87="SUBITEM_DE_CASO_O_PROBLEMA")),TRUE,LEN(TRIM($D87))=0)</formula1>
    </dataValidation>
    <dataValidation sqref="E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IF(OR(ISNUMBER(MATCH($A87,TIPOS_OPCION_E,0)),OR($A87="SELECCION_MEJOR_RESPUESTA",$A87="SELECCION_SIMPLE",$A87="SELECCION_UNICA",$A87="SELECCION_DE_LA_MEJOR_RESPUESTA",$A87="SUBITEM_CASO",$A87="SUBITEM_DE_CASO_O_PROBLEMA")),TRUE,LEN(TRIM($E87))=0)</formula1>
    </dataValidation>
    <dataValidation sqref="F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IF(OR(ISNUMBER(MATCH($A87,TIPOS_OPCION_F,0)),OR($A87="SELECCION_MEJOR_RESPUESTA",$A87="SELECCION_SIMPLE",$A87="SELECCION_UNICA",$A87="SELECCION_DE_LA_MEJOR_RESPUESTA",$A87="SUBITEM_CASO",$A87="SUBITEM_DE_CASO_O_PROBLEMA")),TRUE,LEN(TRIM($F87))=0)</formula1>
    </dataValidation>
    <dataValidation sqref="G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IF(OR(ISNUMBER(MATCH($A87,TIPOS_OPCION_G,0)),OR($A87="SELECCION_MEJOR_RESPUESTA",$A87="SELECCION_SIMPLE",$A87="SELECCION_UNICA",$A87="SELECCION_DE_LA_MEJOR_RESPUESTA",$A87="SUBITEM_CASO",$A87="SUBITEM_DE_CASO_O_PROBLEMA")),TRUE,LEN(TRIM($G87))=0)</formula1>
    </dataValidation>
    <dataValidation sqref="H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IF(OR(ISNUMBER(MATCH($A87,TIPOS_OPCION_H,0)),OR($A87="SELECCION_MEJOR_RESPUESTA",$A87="SELECCION_SIMPLE",$A87="SELECCION_UNICA",$A87="SELECCION_DE_LA_MEJOR_RESPUESTA",$A87="SUBITEM_CASO",$A87="SUBITEM_DE_CASO_O_PROBLEMA")),TRUE,LEN(TRIM($H87))=0)</formula1>
    </dataValidation>
    <dataValidation sqref="I8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INDIRECT(IF(OR($A87="SELECCION_MEJOR_RESPUESTA",$A87="SELECCION_SIMPLE",$A87="SELECCION_UNICA",$A87="SELECCION_DE_LA_MEJOR_RESPUESTA",$A87="SUBITEM_CASO",$A87="SUBITEM_DE_CASO_O_PROBLEMA"),"RESP_ABCDE",IFERROR(VLOOKUP($A87,MAPA_RESPUESTA_TIPO,2,FALSE),"RESP_VACIA")))</formula1>
    </dataValidation>
    <dataValidation sqref="J87" showDropDown="0" showInputMessage="0" showErrorMessage="1" allowBlank="1" errorTitle="Dificultad invalida" error="Use 1, 2 o 3. Casos/problemas y Emparejamiento Ampliado no llevan dificultad." type="list">
      <formula1>INDIRECT(IF(ISNUMBER(MATCH($A87,TIPOS_SIN_DIFICULTAD,0)),"RESP_VACIA","DIFICULTADES_123"))</formula1>
    </dataValidation>
    <dataValidation sqref="B88" showDropDown="0" showInputMessage="0" showErrorMessage="1" allowBlank="1" errorTitle="Grupo invalido" error="El grupo solo se llena en casos/problemas, subitems, emparejamiento ampliado y opciones de emparejamiento." type="custom">
      <formula1>IF(OR(ISNUMBER(MATCH($A88,TIPOS_REQUIEREN_GRUPO,0)),OR($A88="CASO_CLINICO_TRONCO",$A88="CASO_CLINICO",$A88="ITEMS_AGRUPADOS_POR_CASO_CLINICO_O_PROBLEMA",$A88="PROBLEMA",$A88="SUBPROBLEMA",$A88="SUBITEM_CASO",$A88="SUBITEM_DE_CASO_O_PROBLEMA",$A88="EMPAREJAMIENTO_TRONCO",$A88="EMPAREJAMIENTO_AMPLIADO",$A88="EMPAREJAMIENTO_DE_CONCEPTOS",$A88="OPCION_EMPAREJAMIENTO",$A88="OPCION_DE_EMPAREJAMIENTO_AMPLIADO")),LEN(TRIM($B88))&gt;0,LEN(TRIM($B88))=0)</formula1>
    </dataValidation>
    <dataValidation sqref="D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IF(OR(ISNUMBER(MATCH($A88,TIPOS_OPCION_D,0)),OR($A88="SELECCION_MEJOR_RESPUESTA",$A88="SELECCION_SIMPLE",$A88="SELECCION_UNICA",$A88="SELECCION_DE_LA_MEJOR_RESPUESTA",$A88="SUBITEM_CASO",$A88="SUBITEM_DE_CASO_O_PROBLEMA")),TRUE,LEN(TRIM($D88))=0)</formula1>
    </dataValidation>
    <dataValidation sqref="E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IF(OR(ISNUMBER(MATCH($A88,TIPOS_OPCION_E,0)),OR($A88="SELECCION_MEJOR_RESPUESTA",$A88="SELECCION_SIMPLE",$A88="SELECCION_UNICA",$A88="SELECCION_DE_LA_MEJOR_RESPUESTA",$A88="SUBITEM_CASO",$A88="SUBITEM_DE_CASO_O_PROBLEMA")),TRUE,LEN(TRIM($E88))=0)</formula1>
    </dataValidation>
    <dataValidation sqref="F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IF(OR(ISNUMBER(MATCH($A88,TIPOS_OPCION_F,0)),OR($A88="SELECCION_MEJOR_RESPUESTA",$A88="SELECCION_SIMPLE",$A88="SELECCION_UNICA",$A88="SELECCION_DE_LA_MEJOR_RESPUESTA",$A88="SUBITEM_CASO",$A88="SUBITEM_DE_CASO_O_PROBLEMA")),TRUE,LEN(TRIM($F88))=0)</formula1>
    </dataValidation>
    <dataValidation sqref="G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IF(OR(ISNUMBER(MATCH($A88,TIPOS_OPCION_G,0)),OR($A88="SELECCION_MEJOR_RESPUESTA",$A88="SELECCION_SIMPLE",$A88="SELECCION_UNICA",$A88="SELECCION_DE_LA_MEJOR_RESPUESTA",$A88="SUBITEM_CASO",$A88="SUBITEM_DE_CASO_O_PROBLEMA")),TRUE,LEN(TRIM($G88))=0)</formula1>
    </dataValidation>
    <dataValidation sqref="H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IF(OR(ISNUMBER(MATCH($A88,TIPOS_OPCION_H,0)),OR($A88="SELECCION_MEJOR_RESPUESTA",$A88="SELECCION_SIMPLE",$A88="SELECCION_UNICA",$A88="SELECCION_DE_LA_MEJOR_RESPUESTA",$A88="SUBITEM_CASO",$A88="SUBITEM_DE_CASO_O_PROBLEMA")),TRUE,LEN(TRIM($H88))=0)</formula1>
    </dataValidation>
    <dataValidation sqref="I8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INDIRECT(IF(OR($A88="SELECCION_MEJOR_RESPUESTA",$A88="SELECCION_SIMPLE",$A88="SELECCION_UNICA",$A88="SELECCION_DE_LA_MEJOR_RESPUESTA",$A88="SUBITEM_CASO",$A88="SUBITEM_DE_CASO_O_PROBLEMA"),"RESP_ABCDE",IFERROR(VLOOKUP($A88,MAPA_RESPUESTA_TIPO,2,FALSE),"RESP_VACIA")))</formula1>
    </dataValidation>
    <dataValidation sqref="J88" showDropDown="0" showInputMessage="0" showErrorMessage="1" allowBlank="1" errorTitle="Dificultad invalida" error="Use 1, 2 o 3. Casos/problemas y Emparejamiento Ampliado no llevan dificultad." type="list">
      <formula1>INDIRECT(IF(ISNUMBER(MATCH($A88,TIPOS_SIN_DIFICULTAD,0)),"RESP_VACIA","DIFICULTADES_123"))</formula1>
    </dataValidation>
    <dataValidation sqref="B89" showDropDown="0" showInputMessage="0" showErrorMessage="1" allowBlank="1" errorTitle="Grupo invalido" error="El grupo solo se llena en casos/problemas, subitems, emparejamiento ampliado y opciones de emparejamiento." type="custom">
      <formula1>IF(OR(ISNUMBER(MATCH($A89,TIPOS_REQUIEREN_GRUPO,0)),OR($A89="CASO_CLINICO_TRONCO",$A89="CASO_CLINICO",$A89="ITEMS_AGRUPADOS_POR_CASO_CLINICO_O_PROBLEMA",$A89="PROBLEMA",$A89="SUBPROBLEMA",$A89="SUBITEM_CASO",$A89="SUBITEM_DE_CASO_O_PROBLEMA",$A89="EMPAREJAMIENTO_TRONCO",$A89="EMPAREJAMIENTO_AMPLIADO",$A89="EMPAREJAMIENTO_DE_CONCEPTOS",$A89="OPCION_EMPAREJAMIENTO",$A89="OPCION_DE_EMPAREJAMIENTO_AMPLIADO")),LEN(TRIM($B89))&gt;0,LEN(TRIM($B89))=0)</formula1>
    </dataValidation>
    <dataValidation sqref="D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IF(OR(ISNUMBER(MATCH($A89,TIPOS_OPCION_D,0)),OR($A89="SELECCION_MEJOR_RESPUESTA",$A89="SELECCION_SIMPLE",$A89="SELECCION_UNICA",$A89="SELECCION_DE_LA_MEJOR_RESPUESTA",$A89="SUBITEM_CASO",$A89="SUBITEM_DE_CASO_O_PROBLEMA")),TRUE,LEN(TRIM($D89))=0)</formula1>
    </dataValidation>
    <dataValidation sqref="E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IF(OR(ISNUMBER(MATCH($A89,TIPOS_OPCION_E,0)),OR($A89="SELECCION_MEJOR_RESPUESTA",$A89="SELECCION_SIMPLE",$A89="SELECCION_UNICA",$A89="SELECCION_DE_LA_MEJOR_RESPUESTA",$A89="SUBITEM_CASO",$A89="SUBITEM_DE_CASO_O_PROBLEMA")),TRUE,LEN(TRIM($E89))=0)</formula1>
    </dataValidation>
    <dataValidation sqref="F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IF(OR(ISNUMBER(MATCH($A89,TIPOS_OPCION_F,0)),OR($A89="SELECCION_MEJOR_RESPUESTA",$A89="SELECCION_SIMPLE",$A89="SELECCION_UNICA",$A89="SELECCION_DE_LA_MEJOR_RESPUESTA",$A89="SUBITEM_CASO",$A89="SUBITEM_DE_CASO_O_PROBLEMA")),TRUE,LEN(TRIM($F89))=0)</formula1>
    </dataValidation>
    <dataValidation sqref="G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IF(OR(ISNUMBER(MATCH($A89,TIPOS_OPCION_G,0)),OR($A89="SELECCION_MEJOR_RESPUESTA",$A89="SELECCION_SIMPLE",$A89="SELECCION_UNICA",$A89="SELECCION_DE_LA_MEJOR_RESPUESTA",$A89="SUBITEM_CASO",$A89="SUBITEM_DE_CASO_O_PROBLEMA")),TRUE,LEN(TRIM($G89))=0)</formula1>
    </dataValidation>
    <dataValidation sqref="H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IF(OR(ISNUMBER(MATCH($A89,TIPOS_OPCION_H,0)),OR($A89="SELECCION_MEJOR_RESPUESTA",$A89="SELECCION_SIMPLE",$A89="SELECCION_UNICA",$A89="SELECCION_DE_LA_MEJOR_RESPUESTA",$A89="SUBITEM_CASO",$A89="SUBITEM_DE_CASO_O_PROBLEMA")),TRUE,LEN(TRIM($H89))=0)</formula1>
    </dataValidation>
    <dataValidation sqref="I8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INDIRECT(IF(OR($A89="SELECCION_MEJOR_RESPUESTA",$A89="SELECCION_SIMPLE",$A89="SELECCION_UNICA",$A89="SELECCION_DE_LA_MEJOR_RESPUESTA",$A89="SUBITEM_CASO",$A89="SUBITEM_DE_CASO_O_PROBLEMA"),"RESP_ABCDE",IFERROR(VLOOKUP($A89,MAPA_RESPUESTA_TIPO,2,FALSE),"RESP_VACIA")))</formula1>
    </dataValidation>
    <dataValidation sqref="J89" showDropDown="0" showInputMessage="0" showErrorMessage="1" allowBlank="1" errorTitle="Dificultad invalida" error="Use 1, 2 o 3. Casos/problemas y Emparejamiento Ampliado no llevan dificultad." type="list">
      <formula1>INDIRECT(IF(ISNUMBER(MATCH($A89,TIPOS_SIN_DIFICULTAD,0)),"RESP_VACIA","DIFICULTADES_123"))</formula1>
    </dataValidation>
    <dataValidation sqref="B90" showDropDown="0" showInputMessage="0" showErrorMessage="1" allowBlank="1" errorTitle="Grupo invalido" error="El grupo solo se llena en casos/problemas, subitems, emparejamiento ampliado y opciones de emparejamiento." type="custom">
      <formula1>IF(OR(ISNUMBER(MATCH($A90,TIPOS_REQUIEREN_GRUPO,0)),OR($A90="CASO_CLINICO_TRONCO",$A90="CASO_CLINICO",$A90="ITEMS_AGRUPADOS_POR_CASO_CLINICO_O_PROBLEMA",$A90="PROBLEMA",$A90="SUBPROBLEMA",$A90="SUBITEM_CASO",$A90="SUBITEM_DE_CASO_O_PROBLEMA",$A90="EMPAREJAMIENTO_TRONCO",$A90="EMPAREJAMIENTO_AMPLIADO",$A90="EMPAREJAMIENTO_DE_CONCEPTOS",$A90="OPCION_EMPAREJAMIENTO",$A90="OPCION_DE_EMPAREJAMIENTO_AMPLIADO")),LEN(TRIM($B90))&gt;0,LEN(TRIM($B90))=0)</formula1>
    </dataValidation>
    <dataValidation sqref="D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IF(OR(ISNUMBER(MATCH($A90,TIPOS_OPCION_D,0)),OR($A90="SELECCION_MEJOR_RESPUESTA",$A90="SELECCION_SIMPLE",$A90="SELECCION_UNICA",$A90="SELECCION_DE_LA_MEJOR_RESPUESTA",$A90="SUBITEM_CASO",$A90="SUBITEM_DE_CASO_O_PROBLEMA")),TRUE,LEN(TRIM($D90))=0)</formula1>
    </dataValidation>
    <dataValidation sqref="E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IF(OR(ISNUMBER(MATCH($A90,TIPOS_OPCION_E,0)),OR($A90="SELECCION_MEJOR_RESPUESTA",$A90="SELECCION_SIMPLE",$A90="SELECCION_UNICA",$A90="SELECCION_DE_LA_MEJOR_RESPUESTA",$A90="SUBITEM_CASO",$A90="SUBITEM_DE_CASO_O_PROBLEMA")),TRUE,LEN(TRIM($E90))=0)</formula1>
    </dataValidation>
    <dataValidation sqref="F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IF(OR(ISNUMBER(MATCH($A90,TIPOS_OPCION_F,0)),OR($A90="SELECCION_MEJOR_RESPUESTA",$A90="SELECCION_SIMPLE",$A90="SELECCION_UNICA",$A90="SELECCION_DE_LA_MEJOR_RESPUESTA",$A90="SUBITEM_CASO",$A90="SUBITEM_DE_CASO_O_PROBLEMA")),TRUE,LEN(TRIM($F90))=0)</formula1>
    </dataValidation>
    <dataValidation sqref="G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IF(OR(ISNUMBER(MATCH($A90,TIPOS_OPCION_G,0)),OR($A90="SELECCION_MEJOR_RESPUESTA",$A90="SELECCION_SIMPLE",$A90="SELECCION_UNICA",$A90="SELECCION_DE_LA_MEJOR_RESPUESTA",$A90="SUBITEM_CASO",$A90="SUBITEM_DE_CASO_O_PROBLEMA")),TRUE,LEN(TRIM($G90))=0)</formula1>
    </dataValidation>
    <dataValidation sqref="H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IF(OR(ISNUMBER(MATCH($A90,TIPOS_OPCION_H,0)),OR($A90="SELECCION_MEJOR_RESPUESTA",$A90="SELECCION_SIMPLE",$A90="SELECCION_UNICA",$A90="SELECCION_DE_LA_MEJOR_RESPUESTA",$A90="SUBITEM_CASO",$A90="SUBITEM_DE_CASO_O_PROBLEMA")),TRUE,LEN(TRIM($H90))=0)</formula1>
    </dataValidation>
    <dataValidation sqref="I9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INDIRECT(IF(OR($A90="SELECCION_MEJOR_RESPUESTA",$A90="SELECCION_SIMPLE",$A90="SELECCION_UNICA",$A90="SELECCION_DE_LA_MEJOR_RESPUESTA",$A90="SUBITEM_CASO",$A90="SUBITEM_DE_CASO_O_PROBLEMA"),"RESP_ABCDE",IFERROR(VLOOKUP($A90,MAPA_RESPUESTA_TIPO,2,FALSE),"RESP_VACIA")))</formula1>
    </dataValidation>
    <dataValidation sqref="J90" showDropDown="0" showInputMessage="0" showErrorMessage="1" allowBlank="1" errorTitle="Dificultad invalida" error="Use 1, 2 o 3. Casos/problemas y Emparejamiento Ampliado no llevan dificultad." type="list">
      <formula1>INDIRECT(IF(ISNUMBER(MATCH($A90,TIPOS_SIN_DIFICULTAD,0)),"RESP_VACIA","DIFICULTADES_123"))</formula1>
    </dataValidation>
    <dataValidation sqref="B91" showDropDown="0" showInputMessage="0" showErrorMessage="1" allowBlank="1" errorTitle="Grupo invalido" error="El grupo solo se llena en casos/problemas, subitems, emparejamiento ampliado y opciones de emparejamiento." type="custom">
      <formula1>IF(OR(ISNUMBER(MATCH($A91,TIPOS_REQUIEREN_GRUPO,0)),OR($A91="CASO_CLINICO_TRONCO",$A91="CASO_CLINICO",$A91="ITEMS_AGRUPADOS_POR_CASO_CLINICO_O_PROBLEMA",$A91="PROBLEMA",$A91="SUBPROBLEMA",$A91="SUBITEM_CASO",$A91="SUBITEM_DE_CASO_O_PROBLEMA",$A91="EMPAREJAMIENTO_TRONCO",$A91="EMPAREJAMIENTO_AMPLIADO",$A91="EMPAREJAMIENTO_DE_CONCEPTOS",$A91="OPCION_EMPAREJAMIENTO",$A91="OPCION_DE_EMPAREJAMIENTO_AMPLIADO")),LEN(TRIM($B91))&gt;0,LEN(TRIM($B91))=0)</formula1>
    </dataValidation>
    <dataValidation sqref="D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IF(OR(ISNUMBER(MATCH($A91,TIPOS_OPCION_D,0)),OR($A91="SELECCION_MEJOR_RESPUESTA",$A91="SELECCION_SIMPLE",$A91="SELECCION_UNICA",$A91="SELECCION_DE_LA_MEJOR_RESPUESTA",$A91="SUBITEM_CASO",$A91="SUBITEM_DE_CASO_O_PROBLEMA")),TRUE,LEN(TRIM($D91))=0)</formula1>
    </dataValidation>
    <dataValidation sqref="E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IF(OR(ISNUMBER(MATCH($A91,TIPOS_OPCION_E,0)),OR($A91="SELECCION_MEJOR_RESPUESTA",$A91="SELECCION_SIMPLE",$A91="SELECCION_UNICA",$A91="SELECCION_DE_LA_MEJOR_RESPUESTA",$A91="SUBITEM_CASO",$A91="SUBITEM_DE_CASO_O_PROBLEMA")),TRUE,LEN(TRIM($E91))=0)</formula1>
    </dataValidation>
    <dataValidation sqref="F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IF(OR(ISNUMBER(MATCH($A91,TIPOS_OPCION_F,0)),OR($A91="SELECCION_MEJOR_RESPUESTA",$A91="SELECCION_SIMPLE",$A91="SELECCION_UNICA",$A91="SELECCION_DE_LA_MEJOR_RESPUESTA",$A91="SUBITEM_CASO",$A91="SUBITEM_DE_CASO_O_PROBLEMA")),TRUE,LEN(TRIM($F91))=0)</formula1>
    </dataValidation>
    <dataValidation sqref="G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IF(OR(ISNUMBER(MATCH($A91,TIPOS_OPCION_G,0)),OR($A91="SELECCION_MEJOR_RESPUESTA",$A91="SELECCION_SIMPLE",$A91="SELECCION_UNICA",$A91="SELECCION_DE_LA_MEJOR_RESPUESTA",$A91="SUBITEM_CASO",$A91="SUBITEM_DE_CASO_O_PROBLEMA")),TRUE,LEN(TRIM($G91))=0)</formula1>
    </dataValidation>
    <dataValidation sqref="H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IF(OR(ISNUMBER(MATCH($A91,TIPOS_OPCION_H,0)),OR($A91="SELECCION_MEJOR_RESPUESTA",$A91="SELECCION_SIMPLE",$A91="SELECCION_UNICA",$A91="SELECCION_DE_LA_MEJOR_RESPUESTA",$A91="SUBITEM_CASO",$A91="SUBITEM_DE_CASO_O_PROBLEMA")),TRUE,LEN(TRIM($H91))=0)</formula1>
    </dataValidation>
    <dataValidation sqref="I9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INDIRECT(IF(OR($A91="SELECCION_MEJOR_RESPUESTA",$A91="SELECCION_SIMPLE",$A91="SELECCION_UNICA",$A91="SELECCION_DE_LA_MEJOR_RESPUESTA",$A91="SUBITEM_CASO",$A91="SUBITEM_DE_CASO_O_PROBLEMA"),"RESP_ABCDE",IFERROR(VLOOKUP($A91,MAPA_RESPUESTA_TIPO,2,FALSE),"RESP_VACIA")))</formula1>
    </dataValidation>
    <dataValidation sqref="J91" showDropDown="0" showInputMessage="0" showErrorMessage="1" allowBlank="1" errorTitle="Dificultad invalida" error="Use 1, 2 o 3. Casos/problemas y Emparejamiento Ampliado no llevan dificultad." type="list">
      <formula1>INDIRECT(IF(ISNUMBER(MATCH($A91,TIPOS_SIN_DIFICULTAD,0)),"RESP_VACIA","DIFICULTADES_123"))</formula1>
    </dataValidation>
    <dataValidation sqref="B92" showDropDown="0" showInputMessage="0" showErrorMessage="1" allowBlank="1" errorTitle="Grupo invalido" error="El grupo solo se llena en casos/problemas, subitems, emparejamiento ampliado y opciones de emparejamiento." type="custom">
      <formula1>IF(OR(ISNUMBER(MATCH($A92,TIPOS_REQUIEREN_GRUPO,0)),OR($A92="CASO_CLINICO_TRONCO",$A92="CASO_CLINICO",$A92="ITEMS_AGRUPADOS_POR_CASO_CLINICO_O_PROBLEMA",$A92="PROBLEMA",$A92="SUBPROBLEMA",$A92="SUBITEM_CASO",$A92="SUBITEM_DE_CASO_O_PROBLEMA",$A92="EMPAREJAMIENTO_TRONCO",$A92="EMPAREJAMIENTO_AMPLIADO",$A92="EMPAREJAMIENTO_DE_CONCEPTOS",$A92="OPCION_EMPAREJAMIENTO",$A92="OPCION_DE_EMPAREJAMIENTO_AMPLIADO")),LEN(TRIM($B92))&gt;0,LEN(TRIM($B92))=0)</formula1>
    </dataValidation>
    <dataValidation sqref="D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IF(OR(ISNUMBER(MATCH($A92,TIPOS_OPCION_D,0)),OR($A92="SELECCION_MEJOR_RESPUESTA",$A92="SELECCION_SIMPLE",$A92="SELECCION_UNICA",$A92="SELECCION_DE_LA_MEJOR_RESPUESTA",$A92="SUBITEM_CASO",$A92="SUBITEM_DE_CASO_O_PROBLEMA")),TRUE,LEN(TRIM($D92))=0)</formula1>
    </dataValidation>
    <dataValidation sqref="E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IF(OR(ISNUMBER(MATCH($A92,TIPOS_OPCION_E,0)),OR($A92="SELECCION_MEJOR_RESPUESTA",$A92="SELECCION_SIMPLE",$A92="SELECCION_UNICA",$A92="SELECCION_DE_LA_MEJOR_RESPUESTA",$A92="SUBITEM_CASO",$A92="SUBITEM_DE_CASO_O_PROBLEMA")),TRUE,LEN(TRIM($E92))=0)</formula1>
    </dataValidation>
    <dataValidation sqref="F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IF(OR(ISNUMBER(MATCH($A92,TIPOS_OPCION_F,0)),OR($A92="SELECCION_MEJOR_RESPUESTA",$A92="SELECCION_SIMPLE",$A92="SELECCION_UNICA",$A92="SELECCION_DE_LA_MEJOR_RESPUESTA",$A92="SUBITEM_CASO",$A92="SUBITEM_DE_CASO_O_PROBLEMA")),TRUE,LEN(TRIM($F92))=0)</formula1>
    </dataValidation>
    <dataValidation sqref="G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IF(OR(ISNUMBER(MATCH($A92,TIPOS_OPCION_G,0)),OR($A92="SELECCION_MEJOR_RESPUESTA",$A92="SELECCION_SIMPLE",$A92="SELECCION_UNICA",$A92="SELECCION_DE_LA_MEJOR_RESPUESTA",$A92="SUBITEM_CASO",$A92="SUBITEM_DE_CASO_O_PROBLEMA")),TRUE,LEN(TRIM($G92))=0)</formula1>
    </dataValidation>
    <dataValidation sqref="H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IF(OR(ISNUMBER(MATCH($A92,TIPOS_OPCION_H,0)),OR($A92="SELECCION_MEJOR_RESPUESTA",$A92="SELECCION_SIMPLE",$A92="SELECCION_UNICA",$A92="SELECCION_DE_LA_MEJOR_RESPUESTA",$A92="SUBITEM_CASO",$A92="SUBITEM_DE_CASO_O_PROBLEMA")),TRUE,LEN(TRIM($H92))=0)</formula1>
    </dataValidation>
    <dataValidation sqref="I9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INDIRECT(IF(OR($A92="SELECCION_MEJOR_RESPUESTA",$A92="SELECCION_SIMPLE",$A92="SELECCION_UNICA",$A92="SELECCION_DE_LA_MEJOR_RESPUESTA",$A92="SUBITEM_CASO",$A92="SUBITEM_DE_CASO_O_PROBLEMA"),"RESP_ABCDE",IFERROR(VLOOKUP($A92,MAPA_RESPUESTA_TIPO,2,FALSE),"RESP_VACIA")))</formula1>
    </dataValidation>
    <dataValidation sqref="J92" showDropDown="0" showInputMessage="0" showErrorMessage="1" allowBlank="1" errorTitle="Dificultad invalida" error="Use 1, 2 o 3. Casos/problemas y Emparejamiento Ampliado no llevan dificultad." type="list">
      <formula1>INDIRECT(IF(ISNUMBER(MATCH($A92,TIPOS_SIN_DIFICULTAD,0)),"RESP_VACIA","DIFICULTADES_123"))</formula1>
    </dataValidation>
    <dataValidation sqref="B93" showDropDown="0" showInputMessage="0" showErrorMessage="1" allowBlank="1" errorTitle="Grupo invalido" error="El grupo solo se llena en casos/problemas, subitems, emparejamiento ampliado y opciones de emparejamiento." type="custom">
      <formula1>IF(OR(ISNUMBER(MATCH($A93,TIPOS_REQUIEREN_GRUPO,0)),OR($A93="CASO_CLINICO_TRONCO",$A93="CASO_CLINICO",$A93="ITEMS_AGRUPADOS_POR_CASO_CLINICO_O_PROBLEMA",$A93="PROBLEMA",$A93="SUBPROBLEMA",$A93="SUBITEM_CASO",$A93="SUBITEM_DE_CASO_O_PROBLEMA",$A93="EMPAREJAMIENTO_TRONCO",$A93="EMPAREJAMIENTO_AMPLIADO",$A93="EMPAREJAMIENTO_DE_CONCEPTOS",$A93="OPCION_EMPAREJAMIENTO",$A93="OPCION_DE_EMPAREJAMIENTO_AMPLIADO")),LEN(TRIM($B93))&gt;0,LEN(TRIM($B93))=0)</formula1>
    </dataValidation>
    <dataValidation sqref="D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IF(OR(ISNUMBER(MATCH($A93,TIPOS_OPCION_D,0)),OR($A93="SELECCION_MEJOR_RESPUESTA",$A93="SELECCION_SIMPLE",$A93="SELECCION_UNICA",$A93="SELECCION_DE_LA_MEJOR_RESPUESTA",$A93="SUBITEM_CASO",$A93="SUBITEM_DE_CASO_O_PROBLEMA")),TRUE,LEN(TRIM($D93))=0)</formula1>
    </dataValidation>
    <dataValidation sqref="E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IF(OR(ISNUMBER(MATCH($A93,TIPOS_OPCION_E,0)),OR($A93="SELECCION_MEJOR_RESPUESTA",$A93="SELECCION_SIMPLE",$A93="SELECCION_UNICA",$A93="SELECCION_DE_LA_MEJOR_RESPUESTA",$A93="SUBITEM_CASO",$A93="SUBITEM_DE_CASO_O_PROBLEMA")),TRUE,LEN(TRIM($E93))=0)</formula1>
    </dataValidation>
    <dataValidation sqref="F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IF(OR(ISNUMBER(MATCH($A93,TIPOS_OPCION_F,0)),OR($A93="SELECCION_MEJOR_RESPUESTA",$A93="SELECCION_SIMPLE",$A93="SELECCION_UNICA",$A93="SELECCION_DE_LA_MEJOR_RESPUESTA",$A93="SUBITEM_CASO",$A93="SUBITEM_DE_CASO_O_PROBLEMA")),TRUE,LEN(TRIM($F93))=0)</formula1>
    </dataValidation>
    <dataValidation sqref="G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IF(OR(ISNUMBER(MATCH($A93,TIPOS_OPCION_G,0)),OR($A93="SELECCION_MEJOR_RESPUESTA",$A93="SELECCION_SIMPLE",$A93="SELECCION_UNICA",$A93="SELECCION_DE_LA_MEJOR_RESPUESTA",$A93="SUBITEM_CASO",$A93="SUBITEM_DE_CASO_O_PROBLEMA")),TRUE,LEN(TRIM($G93))=0)</formula1>
    </dataValidation>
    <dataValidation sqref="H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IF(OR(ISNUMBER(MATCH($A93,TIPOS_OPCION_H,0)),OR($A93="SELECCION_MEJOR_RESPUESTA",$A93="SELECCION_SIMPLE",$A93="SELECCION_UNICA",$A93="SELECCION_DE_LA_MEJOR_RESPUESTA",$A93="SUBITEM_CASO",$A93="SUBITEM_DE_CASO_O_PROBLEMA")),TRUE,LEN(TRIM($H93))=0)</formula1>
    </dataValidation>
    <dataValidation sqref="I9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INDIRECT(IF(OR($A93="SELECCION_MEJOR_RESPUESTA",$A93="SELECCION_SIMPLE",$A93="SELECCION_UNICA",$A93="SELECCION_DE_LA_MEJOR_RESPUESTA",$A93="SUBITEM_CASO",$A93="SUBITEM_DE_CASO_O_PROBLEMA"),"RESP_ABCDE",IFERROR(VLOOKUP($A93,MAPA_RESPUESTA_TIPO,2,FALSE),"RESP_VACIA")))</formula1>
    </dataValidation>
    <dataValidation sqref="J93" showDropDown="0" showInputMessage="0" showErrorMessage="1" allowBlank="1" errorTitle="Dificultad invalida" error="Use 1, 2 o 3. Casos/problemas y Emparejamiento Ampliado no llevan dificultad." type="list">
      <formula1>INDIRECT(IF(ISNUMBER(MATCH($A93,TIPOS_SIN_DIFICULTAD,0)),"RESP_VACIA","DIFICULTADES_123"))</formula1>
    </dataValidation>
    <dataValidation sqref="B94" showDropDown="0" showInputMessage="0" showErrorMessage="1" allowBlank="1" errorTitle="Grupo invalido" error="El grupo solo se llena en casos/problemas, subitems, emparejamiento ampliado y opciones de emparejamiento." type="custom">
      <formula1>IF(OR(ISNUMBER(MATCH($A94,TIPOS_REQUIEREN_GRUPO,0)),OR($A94="CASO_CLINICO_TRONCO",$A94="CASO_CLINICO",$A94="ITEMS_AGRUPADOS_POR_CASO_CLINICO_O_PROBLEMA",$A94="PROBLEMA",$A94="SUBPROBLEMA",$A94="SUBITEM_CASO",$A94="SUBITEM_DE_CASO_O_PROBLEMA",$A94="EMPAREJAMIENTO_TRONCO",$A94="EMPAREJAMIENTO_AMPLIADO",$A94="EMPAREJAMIENTO_DE_CONCEPTOS",$A94="OPCION_EMPAREJAMIENTO",$A94="OPCION_DE_EMPAREJAMIENTO_AMPLIADO")),LEN(TRIM($B94))&gt;0,LEN(TRIM($B94))=0)</formula1>
    </dataValidation>
    <dataValidation sqref="D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IF(OR(ISNUMBER(MATCH($A94,TIPOS_OPCION_D,0)),OR($A94="SELECCION_MEJOR_RESPUESTA",$A94="SELECCION_SIMPLE",$A94="SELECCION_UNICA",$A94="SELECCION_DE_LA_MEJOR_RESPUESTA",$A94="SUBITEM_CASO",$A94="SUBITEM_DE_CASO_O_PROBLEMA")),TRUE,LEN(TRIM($D94))=0)</formula1>
    </dataValidation>
    <dataValidation sqref="E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IF(OR(ISNUMBER(MATCH($A94,TIPOS_OPCION_E,0)),OR($A94="SELECCION_MEJOR_RESPUESTA",$A94="SELECCION_SIMPLE",$A94="SELECCION_UNICA",$A94="SELECCION_DE_LA_MEJOR_RESPUESTA",$A94="SUBITEM_CASO",$A94="SUBITEM_DE_CASO_O_PROBLEMA")),TRUE,LEN(TRIM($E94))=0)</formula1>
    </dataValidation>
    <dataValidation sqref="F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IF(OR(ISNUMBER(MATCH($A94,TIPOS_OPCION_F,0)),OR($A94="SELECCION_MEJOR_RESPUESTA",$A94="SELECCION_SIMPLE",$A94="SELECCION_UNICA",$A94="SELECCION_DE_LA_MEJOR_RESPUESTA",$A94="SUBITEM_CASO",$A94="SUBITEM_DE_CASO_O_PROBLEMA")),TRUE,LEN(TRIM($F94))=0)</formula1>
    </dataValidation>
    <dataValidation sqref="G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IF(OR(ISNUMBER(MATCH($A94,TIPOS_OPCION_G,0)),OR($A94="SELECCION_MEJOR_RESPUESTA",$A94="SELECCION_SIMPLE",$A94="SELECCION_UNICA",$A94="SELECCION_DE_LA_MEJOR_RESPUESTA",$A94="SUBITEM_CASO",$A94="SUBITEM_DE_CASO_O_PROBLEMA")),TRUE,LEN(TRIM($G94))=0)</formula1>
    </dataValidation>
    <dataValidation sqref="H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IF(OR(ISNUMBER(MATCH($A94,TIPOS_OPCION_H,0)),OR($A94="SELECCION_MEJOR_RESPUESTA",$A94="SELECCION_SIMPLE",$A94="SELECCION_UNICA",$A94="SELECCION_DE_LA_MEJOR_RESPUESTA",$A94="SUBITEM_CASO",$A94="SUBITEM_DE_CASO_O_PROBLEMA")),TRUE,LEN(TRIM($H94))=0)</formula1>
    </dataValidation>
    <dataValidation sqref="I9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INDIRECT(IF(OR($A94="SELECCION_MEJOR_RESPUESTA",$A94="SELECCION_SIMPLE",$A94="SELECCION_UNICA",$A94="SELECCION_DE_LA_MEJOR_RESPUESTA",$A94="SUBITEM_CASO",$A94="SUBITEM_DE_CASO_O_PROBLEMA"),"RESP_ABCDE",IFERROR(VLOOKUP($A94,MAPA_RESPUESTA_TIPO,2,FALSE),"RESP_VACIA")))</formula1>
    </dataValidation>
    <dataValidation sqref="J94" showDropDown="0" showInputMessage="0" showErrorMessage="1" allowBlank="1" errorTitle="Dificultad invalida" error="Use 1, 2 o 3. Casos/problemas y Emparejamiento Ampliado no llevan dificultad." type="list">
      <formula1>INDIRECT(IF(ISNUMBER(MATCH($A94,TIPOS_SIN_DIFICULTAD,0)),"RESP_VACIA","DIFICULTADES_123"))</formula1>
    </dataValidation>
    <dataValidation sqref="B95" showDropDown="0" showInputMessage="0" showErrorMessage="1" allowBlank="1" errorTitle="Grupo invalido" error="El grupo solo se llena en casos/problemas, subitems, emparejamiento ampliado y opciones de emparejamiento." type="custom">
      <formula1>IF(OR(ISNUMBER(MATCH($A95,TIPOS_REQUIEREN_GRUPO,0)),OR($A95="CASO_CLINICO_TRONCO",$A95="CASO_CLINICO",$A95="ITEMS_AGRUPADOS_POR_CASO_CLINICO_O_PROBLEMA",$A95="PROBLEMA",$A95="SUBPROBLEMA",$A95="SUBITEM_CASO",$A95="SUBITEM_DE_CASO_O_PROBLEMA",$A95="EMPAREJAMIENTO_TRONCO",$A95="EMPAREJAMIENTO_AMPLIADO",$A95="EMPAREJAMIENTO_DE_CONCEPTOS",$A95="OPCION_EMPAREJAMIENTO",$A95="OPCION_DE_EMPAREJAMIENTO_AMPLIADO")),LEN(TRIM($B95))&gt;0,LEN(TRIM($B95))=0)</formula1>
    </dataValidation>
    <dataValidation sqref="D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IF(OR(ISNUMBER(MATCH($A95,TIPOS_OPCION_D,0)),OR($A95="SELECCION_MEJOR_RESPUESTA",$A95="SELECCION_SIMPLE",$A95="SELECCION_UNICA",$A95="SELECCION_DE_LA_MEJOR_RESPUESTA",$A95="SUBITEM_CASO",$A95="SUBITEM_DE_CASO_O_PROBLEMA")),TRUE,LEN(TRIM($D95))=0)</formula1>
    </dataValidation>
    <dataValidation sqref="E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IF(OR(ISNUMBER(MATCH($A95,TIPOS_OPCION_E,0)),OR($A95="SELECCION_MEJOR_RESPUESTA",$A95="SELECCION_SIMPLE",$A95="SELECCION_UNICA",$A95="SELECCION_DE_LA_MEJOR_RESPUESTA",$A95="SUBITEM_CASO",$A95="SUBITEM_DE_CASO_O_PROBLEMA")),TRUE,LEN(TRIM($E95))=0)</formula1>
    </dataValidation>
    <dataValidation sqref="F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IF(OR(ISNUMBER(MATCH($A95,TIPOS_OPCION_F,0)),OR($A95="SELECCION_MEJOR_RESPUESTA",$A95="SELECCION_SIMPLE",$A95="SELECCION_UNICA",$A95="SELECCION_DE_LA_MEJOR_RESPUESTA",$A95="SUBITEM_CASO",$A95="SUBITEM_DE_CASO_O_PROBLEMA")),TRUE,LEN(TRIM($F95))=0)</formula1>
    </dataValidation>
    <dataValidation sqref="G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IF(OR(ISNUMBER(MATCH($A95,TIPOS_OPCION_G,0)),OR($A95="SELECCION_MEJOR_RESPUESTA",$A95="SELECCION_SIMPLE",$A95="SELECCION_UNICA",$A95="SELECCION_DE_LA_MEJOR_RESPUESTA",$A95="SUBITEM_CASO",$A95="SUBITEM_DE_CASO_O_PROBLEMA")),TRUE,LEN(TRIM($G95))=0)</formula1>
    </dataValidation>
    <dataValidation sqref="H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IF(OR(ISNUMBER(MATCH($A95,TIPOS_OPCION_H,0)),OR($A95="SELECCION_MEJOR_RESPUESTA",$A95="SELECCION_SIMPLE",$A95="SELECCION_UNICA",$A95="SELECCION_DE_LA_MEJOR_RESPUESTA",$A95="SUBITEM_CASO",$A95="SUBITEM_DE_CASO_O_PROBLEMA")),TRUE,LEN(TRIM($H95))=0)</formula1>
    </dataValidation>
    <dataValidation sqref="I9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INDIRECT(IF(OR($A95="SELECCION_MEJOR_RESPUESTA",$A95="SELECCION_SIMPLE",$A95="SELECCION_UNICA",$A95="SELECCION_DE_LA_MEJOR_RESPUESTA",$A95="SUBITEM_CASO",$A95="SUBITEM_DE_CASO_O_PROBLEMA"),"RESP_ABCDE",IFERROR(VLOOKUP($A95,MAPA_RESPUESTA_TIPO,2,FALSE),"RESP_VACIA")))</formula1>
    </dataValidation>
    <dataValidation sqref="J95" showDropDown="0" showInputMessage="0" showErrorMessage="1" allowBlank="1" errorTitle="Dificultad invalida" error="Use 1, 2 o 3. Casos/problemas y Emparejamiento Ampliado no llevan dificultad." type="list">
      <formula1>INDIRECT(IF(ISNUMBER(MATCH($A95,TIPOS_SIN_DIFICULTAD,0)),"RESP_VACIA","DIFICULTADES_123"))</formula1>
    </dataValidation>
    <dataValidation sqref="B96" showDropDown="0" showInputMessage="0" showErrorMessage="1" allowBlank="1" errorTitle="Grupo invalido" error="El grupo solo se llena en casos/problemas, subitems, emparejamiento ampliado y opciones de emparejamiento." type="custom">
      <formula1>IF(OR(ISNUMBER(MATCH($A96,TIPOS_REQUIEREN_GRUPO,0)),OR($A96="CASO_CLINICO_TRONCO",$A96="CASO_CLINICO",$A96="ITEMS_AGRUPADOS_POR_CASO_CLINICO_O_PROBLEMA",$A96="PROBLEMA",$A96="SUBPROBLEMA",$A96="SUBITEM_CASO",$A96="SUBITEM_DE_CASO_O_PROBLEMA",$A96="EMPAREJAMIENTO_TRONCO",$A96="EMPAREJAMIENTO_AMPLIADO",$A96="EMPAREJAMIENTO_DE_CONCEPTOS",$A96="OPCION_EMPAREJAMIENTO",$A96="OPCION_DE_EMPAREJAMIENTO_AMPLIADO")),LEN(TRIM($B96))&gt;0,LEN(TRIM($B96))=0)</formula1>
    </dataValidation>
    <dataValidation sqref="D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IF(OR(ISNUMBER(MATCH($A96,TIPOS_OPCION_D,0)),OR($A96="SELECCION_MEJOR_RESPUESTA",$A96="SELECCION_SIMPLE",$A96="SELECCION_UNICA",$A96="SELECCION_DE_LA_MEJOR_RESPUESTA",$A96="SUBITEM_CASO",$A96="SUBITEM_DE_CASO_O_PROBLEMA")),TRUE,LEN(TRIM($D96))=0)</formula1>
    </dataValidation>
    <dataValidation sqref="E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IF(OR(ISNUMBER(MATCH($A96,TIPOS_OPCION_E,0)),OR($A96="SELECCION_MEJOR_RESPUESTA",$A96="SELECCION_SIMPLE",$A96="SELECCION_UNICA",$A96="SELECCION_DE_LA_MEJOR_RESPUESTA",$A96="SUBITEM_CASO",$A96="SUBITEM_DE_CASO_O_PROBLEMA")),TRUE,LEN(TRIM($E96))=0)</formula1>
    </dataValidation>
    <dataValidation sqref="F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IF(OR(ISNUMBER(MATCH($A96,TIPOS_OPCION_F,0)),OR($A96="SELECCION_MEJOR_RESPUESTA",$A96="SELECCION_SIMPLE",$A96="SELECCION_UNICA",$A96="SELECCION_DE_LA_MEJOR_RESPUESTA",$A96="SUBITEM_CASO",$A96="SUBITEM_DE_CASO_O_PROBLEMA")),TRUE,LEN(TRIM($F96))=0)</formula1>
    </dataValidation>
    <dataValidation sqref="G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IF(OR(ISNUMBER(MATCH($A96,TIPOS_OPCION_G,0)),OR($A96="SELECCION_MEJOR_RESPUESTA",$A96="SELECCION_SIMPLE",$A96="SELECCION_UNICA",$A96="SELECCION_DE_LA_MEJOR_RESPUESTA",$A96="SUBITEM_CASO",$A96="SUBITEM_DE_CASO_O_PROBLEMA")),TRUE,LEN(TRIM($G96))=0)</formula1>
    </dataValidation>
    <dataValidation sqref="H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IF(OR(ISNUMBER(MATCH($A96,TIPOS_OPCION_H,0)),OR($A96="SELECCION_MEJOR_RESPUESTA",$A96="SELECCION_SIMPLE",$A96="SELECCION_UNICA",$A96="SELECCION_DE_LA_MEJOR_RESPUESTA",$A96="SUBITEM_CASO",$A96="SUBITEM_DE_CASO_O_PROBLEMA")),TRUE,LEN(TRIM($H96))=0)</formula1>
    </dataValidation>
    <dataValidation sqref="I9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INDIRECT(IF(OR($A96="SELECCION_MEJOR_RESPUESTA",$A96="SELECCION_SIMPLE",$A96="SELECCION_UNICA",$A96="SELECCION_DE_LA_MEJOR_RESPUESTA",$A96="SUBITEM_CASO",$A96="SUBITEM_DE_CASO_O_PROBLEMA"),"RESP_ABCDE",IFERROR(VLOOKUP($A96,MAPA_RESPUESTA_TIPO,2,FALSE),"RESP_VACIA")))</formula1>
    </dataValidation>
    <dataValidation sqref="J96" showDropDown="0" showInputMessage="0" showErrorMessage="1" allowBlank="1" errorTitle="Dificultad invalida" error="Use 1, 2 o 3. Casos/problemas y Emparejamiento Ampliado no llevan dificultad." type="list">
      <formula1>INDIRECT(IF(ISNUMBER(MATCH($A96,TIPOS_SIN_DIFICULTAD,0)),"RESP_VACIA","DIFICULTADES_123"))</formula1>
    </dataValidation>
    <dataValidation sqref="B97" showDropDown="0" showInputMessage="0" showErrorMessage="1" allowBlank="1" errorTitle="Grupo invalido" error="El grupo solo se llena en casos/problemas, subitems, emparejamiento ampliado y opciones de emparejamiento." type="custom">
      <formula1>IF(OR(ISNUMBER(MATCH($A97,TIPOS_REQUIEREN_GRUPO,0)),OR($A97="CASO_CLINICO_TRONCO",$A97="CASO_CLINICO",$A97="ITEMS_AGRUPADOS_POR_CASO_CLINICO_O_PROBLEMA",$A97="PROBLEMA",$A97="SUBPROBLEMA",$A97="SUBITEM_CASO",$A97="SUBITEM_DE_CASO_O_PROBLEMA",$A97="EMPAREJAMIENTO_TRONCO",$A97="EMPAREJAMIENTO_AMPLIADO",$A97="EMPAREJAMIENTO_DE_CONCEPTOS",$A97="OPCION_EMPAREJAMIENTO",$A97="OPCION_DE_EMPAREJAMIENTO_AMPLIADO")),LEN(TRIM($B97))&gt;0,LEN(TRIM($B97))=0)</formula1>
    </dataValidation>
    <dataValidation sqref="D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IF(OR(ISNUMBER(MATCH($A97,TIPOS_OPCION_D,0)),OR($A97="SELECCION_MEJOR_RESPUESTA",$A97="SELECCION_SIMPLE",$A97="SELECCION_UNICA",$A97="SELECCION_DE_LA_MEJOR_RESPUESTA",$A97="SUBITEM_CASO",$A97="SUBITEM_DE_CASO_O_PROBLEMA")),TRUE,LEN(TRIM($D97))=0)</formula1>
    </dataValidation>
    <dataValidation sqref="E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IF(OR(ISNUMBER(MATCH($A97,TIPOS_OPCION_E,0)),OR($A97="SELECCION_MEJOR_RESPUESTA",$A97="SELECCION_SIMPLE",$A97="SELECCION_UNICA",$A97="SELECCION_DE_LA_MEJOR_RESPUESTA",$A97="SUBITEM_CASO",$A97="SUBITEM_DE_CASO_O_PROBLEMA")),TRUE,LEN(TRIM($E97))=0)</formula1>
    </dataValidation>
    <dataValidation sqref="F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IF(OR(ISNUMBER(MATCH($A97,TIPOS_OPCION_F,0)),OR($A97="SELECCION_MEJOR_RESPUESTA",$A97="SELECCION_SIMPLE",$A97="SELECCION_UNICA",$A97="SELECCION_DE_LA_MEJOR_RESPUESTA",$A97="SUBITEM_CASO",$A97="SUBITEM_DE_CASO_O_PROBLEMA")),TRUE,LEN(TRIM($F97))=0)</formula1>
    </dataValidation>
    <dataValidation sqref="G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IF(OR(ISNUMBER(MATCH($A97,TIPOS_OPCION_G,0)),OR($A97="SELECCION_MEJOR_RESPUESTA",$A97="SELECCION_SIMPLE",$A97="SELECCION_UNICA",$A97="SELECCION_DE_LA_MEJOR_RESPUESTA",$A97="SUBITEM_CASO",$A97="SUBITEM_DE_CASO_O_PROBLEMA")),TRUE,LEN(TRIM($G97))=0)</formula1>
    </dataValidation>
    <dataValidation sqref="H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IF(OR(ISNUMBER(MATCH($A97,TIPOS_OPCION_H,0)),OR($A97="SELECCION_MEJOR_RESPUESTA",$A97="SELECCION_SIMPLE",$A97="SELECCION_UNICA",$A97="SELECCION_DE_LA_MEJOR_RESPUESTA",$A97="SUBITEM_CASO",$A97="SUBITEM_DE_CASO_O_PROBLEMA")),TRUE,LEN(TRIM($H97))=0)</formula1>
    </dataValidation>
    <dataValidation sqref="I9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INDIRECT(IF(OR($A97="SELECCION_MEJOR_RESPUESTA",$A97="SELECCION_SIMPLE",$A97="SELECCION_UNICA",$A97="SELECCION_DE_LA_MEJOR_RESPUESTA",$A97="SUBITEM_CASO",$A97="SUBITEM_DE_CASO_O_PROBLEMA"),"RESP_ABCDE",IFERROR(VLOOKUP($A97,MAPA_RESPUESTA_TIPO,2,FALSE),"RESP_VACIA")))</formula1>
    </dataValidation>
    <dataValidation sqref="J97" showDropDown="0" showInputMessage="0" showErrorMessage="1" allowBlank="1" errorTitle="Dificultad invalida" error="Use 1, 2 o 3. Casos/problemas y Emparejamiento Ampliado no llevan dificultad." type="list">
      <formula1>INDIRECT(IF(ISNUMBER(MATCH($A97,TIPOS_SIN_DIFICULTAD,0)),"RESP_VACIA","DIFICULTADES_123"))</formula1>
    </dataValidation>
    <dataValidation sqref="B98" showDropDown="0" showInputMessage="0" showErrorMessage="1" allowBlank="1" errorTitle="Grupo invalido" error="El grupo solo se llena en casos/problemas, subitems, emparejamiento ampliado y opciones de emparejamiento." type="custom">
      <formula1>IF(OR(ISNUMBER(MATCH($A98,TIPOS_REQUIEREN_GRUPO,0)),OR($A98="CASO_CLINICO_TRONCO",$A98="CASO_CLINICO",$A98="ITEMS_AGRUPADOS_POR_CASO_CLINICO_O_PROBLEMA",$A98="PROBLEMA",$A98="SUBPROBLEMA",$A98="SUBITEM_CASO",$A98="SUBITEM_DE_CASO_O_PROBLEMA",$A98="EMPAREJAMIENTO_TRONCO",$A98="EMPAREJAMIENTO_AMPLIADO",$A98="EMPAREJAMIENTO_DE_CONCEPTOS",$A98="OPCION_EMPAREJAMIENTO",$A98="OPCION_DE_EMPAREJAMIENTO_AMPLIADO")),LEN(TRIM($B98))&gt;0,LEN(TRIM($B98))=0)</formula1>
    </dataValidation>
    <dataValidation sqref="D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IF(OR(ISNUMBER(MATCH($A98,TIPOS_OPCION_D,0)),OR($A98="SELECCION_MEJOR_RESPUESTA",$A98="SELECCION_SIMPLE",$A98="SELECCION_UNICA",$A98="SELECCION_DE_LA_MEJOR_RESPUESTA",$A98="SUBITEM_CASO",$A98="SUBITEM_DE_CASO_O_PROBLEMA")),TRUE,LEN(TRIM($D98))=0)</formula1>
    </dataValidation>
    <dataValidation sqref="E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IF(OR(ISNUMBER(MATCH($A98,TIPOS_OPCION_E,0)),OR($A98="SELECCION_MEJOR_RESPUESTA",$A98="SELECCION_SIMPLE",$A98="SELECCION_UNICA",$A98="SELECCION_DE_LA_MEJOR_RESPUESTA",$A98="SUBITEM_CASO",$A98="SUBITEM_DE_CASO_O_PROBLEMA")),TRUE,LEN(TRIM($E98))=0)</formula1>
    </dataValidation>
    <dataValidation sqref="F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IF(OR(ISNUMBER(MATCH($A98,TIPOS_OPCION_F,0)),OR($A98="SELECCION_MEJOR_RESPUESTA",$A98="SELECCION_SIMPLE",$A98="SELECCION_UNICA",$A98="SELECCION_DE_LA_MEJOR_RESPUESTA",$A98="SUBITEM_CASO",$A98="SUBITEM_DE_CASO_O_PROBLEMA")),TRUE,LEN(TRIM($F98))=0)</formula1>
    </dataValidation>
    <dataValidation sqref="G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IF(OR(ISNUMBER(MATCH($A98,TIPOS_OPCION_G,0)),OR($A98="SELECCION_MEJOR_RESPUESTA",$A98="SELECCION_SIMPLE",$A98="SELECCION_UNICA",$A98="SELECCION_DE_LA_MEJOR_RESPUESTA",$A98="SUBITEM_CASO",$A98="SUBITEM_DE_CASO_O_PROBLEMA")),TRUE,LEN(TRIM($G98))=0)</formula1>
    </dataValidation>
    <dataValidation sqref="H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IF(OR(ISNUMBER(MATCH($A98,TIPOS_OPCION_H,0)),OR($A98="SELECCION_MEJOR_RESPUESTA",$A98="SELECCION_SIMPLE",$A98="SELECCION_UNICA",$A98="SELECCION_DE_LA_MEJOR_RESPUESTA",$A98="SUBITEM_CASO",$A98="SUBITEM_DE_CASO_O_PROBLEMA")),TRUE,LEN(TRIM($H98))=0)</formula1>
    </dataValidation>
    <dataValidation sqref="I9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INDIRECT(IF(OR($A98="SELECCION_MEJOR_RESPUESTA",$A98="SELECCION_SIMPLE",$A98="SELECCION_UNICA",$A98="SELECCION_DE_LA_MEJOR_RESPUESTA",$A98="SUBITEM_CASO",$A98="SUBITEM_DE_CASO_O_PROBLEMA"),"RESP_ABCDE",IFERROR(VLOOKUP($A98,MAPA_RESPUESTA_TIPO,2,FALSE),"RESP_VACIA")))</formula1>
    </dataValidation>
    <dataValidation sqref="J98" showDropDown="0" showInputMessage="0" showErrorMessage="1" allowBlank="1" errorTitle="Dificultad invalida" error="Use 1, 2 o 3. Casos/problemas y Emparejamiento Ampliado no llevan dificultad." type="list">
      <formula1>INDIRECT(IF(ISNUMBER(MATCH($A98,TIPOS_SIN_DIFICULTAD,0)),"RESP_VACIA","DIFICULTADES_123"))</formula1>
    </dataValidation>
    <dataValidation sqref="B99" showDropDown="0" showInputMessage="0" showErrorMessage="1" allowBlank="1" errorTitle="Grupo invalido" error="El grupo solo se llena en casos/problemas, subitems, emparejamiento ampliado y opciones de emparejamiento." type="custom">
      <formula1>IF(OR(ISNUMBER(MATCH($A99,TIPOS_REQUIEREN_GRUPO,0)),OR($A99="CASO_CLINICO_TRONCO",$A99="CASO_CLINICO",$A99="ITEMS_AGRUPADOS_POR_CASO_CLINICO_O_PROBLEMA",$A99="PROBLEMA",$A99="SUBPROBLEMA",$A99="SUBITEM_CASO",$A99="SUBITEM_DE_CASO_O_PROBLEMA",$A99="EMPAREJAMIENTO_TRONCO",$A99="EMPAREJAMIENTO_AMPLIADO",$A99="EMPAREJAMIENTO_DE_CONCEPTOS",$A99="OPCION_EMPAREJAMIENTO",$A99="OPCION_DE_EMPAREJAMIENTO_AMPLIADO")),LEN(TRIM($B99))&gt;0,LEN(TRIM($B99))=0)</formula1>
    </dataValidation>
    <dataValidation sqref="D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IF(OR(ISNUMBER(MATCH($A99,TIPOS_OPCION_D,0)),OR($A99="SELECCION_MEJOR_RESPUESTA",$A99="SELECCION_SIMPLE",$A99="SELECCION_UNICA",$A99="SELECCION_DE_LA_MEJOR_RESPUESTA",$A99="SUBITEM_CASO",$A99="SUBITEM_DE_CASO_O_PROBLEMA")),TRUE,LEN(TRIM($D99))=0)</formula1>
    </dataValidation>
    <dataValidation sqref="E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IF(OR(ISNUMBER(MATCH($A99,TIPOS_OPCION_E,0)),OR($A99="SELECCION_MEJOR_RESPUESTA",$A99="SELECCION_SIMPLE",$A99="SELECCION_UNICA",$A99="SELECCION_DE_LA_MEJOR_RESPUESTA",$A99="SUBITEM_CASO",$A99="SUBITEM_DE_CASO_O_PROBLEMA")),TRUE,LEN(TRIM($E99))=0)</formula1>
    </dataValidation>
    <dataValidation sqref="F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IF(OR(ISNUMBER(MATCH($A99,TIPOS_OPCION_F,0)),OR($A99="SELECCION_MEJOR_RESPUESTA",$A99="SELECCION_SIMPLE",$A99="SELECCION_UNICA",$A99="SELECCION_DE_LA_MEJOR_RESPUESTA",$A99="SUBITEM_CASO",$A99="SUBITEM_DE_CASO_O_PROBLEMA")),TRUE,LEN(TRIM($F99))=0)</formula1>
    </dataValidation>
    <dataValidation sqref="G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IF(OR(ISNUMBER(MATCH($A99,TIPOS_OPCION_G,0)),OR($A99="SELECCION_MEJOR_RESPUESTA",$A99="SELECCION_SIMPLE",$A99="SELECCION_UNICA",$A99="SELECCION_DE_LA_MEJOR_RESPUESTA",$A99="SUBITEM_CASO",$A99="SUBITEM_DE_CASO_O_PROBLEMA")),TRUE,LEN(TRIM($G99))=0)</formula1>
    </dataValidation>
    <dataValidation sqref="H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IF(OR(ISNUMBER(MATCH($A99,TIPOS_OPCION_H,0)),OR($A99="SELECCION_MEJOR_RESPUESTA",$A99="SELECCION_SIMPLE",$A99="SELECCION_UNICA",$A99="SELECCION_DE_LA_MEJOR_RESPUESTA",$A99="SUBITEM_CASO",$A99="SUBITEM_DE_CASO_O_PROBLEMA")),TRUE,LEN(TRIM($H99))=0)</formula1>
    </dataValidation>
    <dataValidation sqref="I9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INDIRECT(IF(OR($A99="SELECCION_MEJOR_RESPUESTA",$A99="SELECCION_SIMPLE",$A99="SELECCION_UNICA",$A99="SELECCION_DE_LA_MEJOR_RESPUESTA",$A99="SUBITEM_CASO",$A99="SUBITEM_DE_CASO_O_PROBLEMA"),"RESP_ABCDE",IFERROR(VLOOKUP($A99,MAPA_RESPUESTA_TIPO,2,FALSE),"RESP_VACIA")))</formula1>
    </dataValidation>
    <dataValidation sqref="J99" showDropDown="0" showInputMessage="0" showErrorMessage="1" allowBlank="1" errorTitle="Dificultad invalida" error="Use 1, 2 o 3. Casos/problemas y Emparejamiento Ampliado no llevan dificultad." type="list">
      <formula1>INDIRECT(IF(ISNUMBER(MATCH($A99,TIPOS_SIN_DIFICULTAD,0)),"RESP_VACIA","DIFICULTADES_123"))</formula1>
    </dataValidation>
    <dataValidation sqref="B100" showDropDown="0" showInputMessage="0" showErrorMessage="1" allowBlank="1" errorTitle="Grupo invalido" error="El grupo solo se llena en casos/problemas, subitems, emparejamiento ampliado y opciones de emparejamiento." type="custom">
      <formula1>IF(OR(ISNUMBER(MATCH($A100,TIPOS_REQUIEREN_GRUPO,0)),OR($A100="CASO_CLINICO_TRONCO",$A100="CASO_CLINICO",$A100="ITEMS_AGRUPADOS_POR_CASO_CLINICO_O_PROBLEMA",$A100="PROBLEMA",$A100="SUBPROBLEMA",$A100="SUBITEM_CASO",$A100="SUBITEM_DE_CASO_O_PROBLEMA",$A100="EMPAREJAMIENTO_TRONCO",$A100="EMPAREJAMIENTO_AMPLIADO",$A100="EMPAREJAMIENTO_DE_CONCEPTOS",$A100="OPCION_EMPAREJAMIENTO",$A100="OPCION_DE_EMPAREJAMIENTO_AMPLIADO")),LEN(TRIM($B100))&gt;0,LEN(TRIM($B100))=0)</formula1>
    </dataValidation>
    <dataValidation sqref="D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IF(OR(ISNUMBER(MATCH($A100,TIPOS_OPCION_D,0)),OR($A100="SELECCION_MEJOR_RESPUESTA",$A100="SELECCION_SIMPLE",$A100="SELECCION_UNICA",$A100="SELECCION_DE_LA_MEJOR_RESPUESTA",$A100="SUBITEM_CASO",$A100="SUBITEM_DE_CASO_O_PROBLEMA")),TRUE,LEN(TRIM($D100))=0)</formula1>
    </dataValidation>
    <dataValidation sqref="E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IF(OR(ISNUMBER(MATCH($A100,TIPOS_OPCION_E,0)),OR($A100="SELECCION_MEJOR_RESPUESTA",$A100="SELECCION_SIMPLE",$A100="SELECCION_UNICA",$A100="SELECCION_DE_LA_MEJOR_RESPUESTA",$A100="SUBITEM_CASO",$A100="SUBITEM_DE_CASO_O_PROBLEMA")),TRUE,LEN(TRIM($E100))=0)</formula1>
    </dataValidation>
    <dataValidation sqref="F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IF(OR(ISNUMBER(MATCH($A100,TIPOS_OPCION_F,0)),OR($A100="SELECCION_MEJOR_RESPUESTA",$A100="SELECCION_SIMPLE",$A100="SELECCION_UNICA",$A100="SELECCION_DE_LA_MEJOR_RESPUESTA",$A100="SUBITEM_CASO",$A100="SUBITEM_DE_CASO_O_PROBLEMA")),TRUE,LEN(TRIM($F100))=0)</formula1>
    </dataValidation>
    <dataValidation sqref="G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IF(OR(ISNUMBER(MATCH($A100,TIPOS_OPCION_G,0)),OR($A100="SELECCION_MEJOR_RESPUESTA",$A100="SELECCION_SIMPLE",$A100="SELECCION_UNICA",$A100="SELECCION_DE_LA_MEJOR_RESPUESTA",$A100="SUBITEM_CASO",$A100="SUBITEM_DE_CASO_O_PROBLEMA")),TRUE,LEN(TRIM($G100))=0)</formula1>
    </dataValidation>
    <dataValidation sqref="H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IF(OR(ISNUMBER(MATCH($A100,TIPOS_OPCION_H,0)),OR($A100="SELECCION_MEJOR_RESPUESTA",$A100="SELECCION_SIMPLE",$A100="SELECCION_UNICA",$A100="SELECCION_DE_LA_MEJOR_RESPUESTA",$A100="SUBITEM_CASO",$A100="SUBITEM_DE_CASO_O_PROBLEMA")),TRUE,LEN(TRIM($H100))=0)</formula1>
    </dataValidation>
    <dataValidation sqref="I10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INDIRECT(IF(OR($A100="SELECCION_MEJOR_RESPUESTA",$A100="SELECCION_SIMPLE",$A100="SELECCION_UNICA",$A100="SELECCION_DE_LA_MEJOR_RESPUESTA",$A100="SUBITEM_CASO",$A100="SUBITEM_DE_CASO_O_PROBLEMA"),"RESP_ABCDE",IFERROR(VLOOKUP($A100,MAPA_RESPUESTA_TIPO,2,FALSE),"RESP_VACIA")))</formula1>
    </dataValidation>
    <dataValidation sqref="J100" showDropDown="0" showInputMessage="0" showErrorMessage="1" allowBlank="1" errorTitle="Dificultad invalida" error="Use 1, 2 o 3. Casos/problemas y Emparejamiento Ampliado no llevan dificultad." type="list">
      <formula1>INDIRECT(IF(ISNUMBER(MATCH($A100,TIPOS_SIN_DIFICULTAD,0)),"RESP_VACIA","DIFICULTADES_123"))</formula1>
    </dataValidation>
    <dataValidation sqref="B101" showDropDown="0" showInputMessage="0" showErrorMessage="1" allowBlank="1" errorTitle="Grupo invalido" error="El grupo solo se llena en casos/problemas, subitems, emparejamiento ampliado y opciones de emparejamiento." type="custom">
      <formula1>IF(OR(ISNUMBER(MATCH($A101,TIPOS_REQUIEREN_GRUPO,0)),OR($A101="CASO_CLINICO_TRONCO",$A101="CASO_CLINICO",$A101="ITEMS_AGRUPADOS_POR_CASO_CLINICO_O_PROBLEMA",$A101="PROBLEMA",$A101="SUBPROBLEMA",$A101="SUBITEM_CASO",$A101="SUBITEM_DE_CASO_O_PROBLEMA",$A101="EMPAREJAMIENTO_TRONCO",$A101="EMPAREJAMIENTO_AMPLIADO",$A101="EMPAREJAMIENTO_DE_CONCEPTOS",$A101="OPCION_EMPAREJAMIENTO",$A101="OPCION_DE_EMPAREJAMIENTO_AMPLIADO")),LEN(TRIM($B101))&gt;0,LEN(TRIM($B101))=0)</formula1>
    </dataValidation>
    <dataValidation sqref="D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IF(OR(ISNUMBER(MATCH($A101,TIPOS_OPCION_D,0)),OR($A101="SELECCION_MEJOR_RESPUESTA",$A101="SELECCION_SIMPLE",$A101="SELECCION_UNICA",$A101="SELECCION_DE_LA_MEJOR_RESPUESTA",$A101="SUBITEM_CASO",$A101="SUBITEM_DE_CASO_O_PROBLEMA")),TRUE,LEN(TRIM($D101))=0)</formula1>
    </dataValidation>
    <dataValidation sqref="E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IF(OR(ISNUMBER(MATCH($A101,TIPOS_OPCION_E,0)),OR($A101="SELECCION_MEJOR_RESPUESTA",$A101="SELECCION_SIMPLE",$A101="SELECCION_UNICA",$A101="SELECCION_DE_LA_MEJOR_RESPUESTA",$A101="SUBITEM_CASO",$A101="SUBITEM_DE_CASO_O_PROBLEMA")),TRUE,LEN(TRIM($E101))=0)</formula1>
    </dataValidation>
    <dataValidation sqref="F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IF(OR(ISNUMBER(MATCH($A101,TIPOS_OPCION_F,0)),OR($A101="SELECCION_MEJOR_RESPUESTA",$A101="SELECCION_SIMPLE",$A101="SELECCION_UNICA",$A101="SELECCION_DE_LA_MEJOR_RESPUESTA",$A101="SUBITEM_CASO",$A101="SUBITEM_DE_CASO_O_PROBLEMA")),TRUE,LEN(TRIM($F101))=0)</formula1>
    </dataValidation>
    <dataValidation sqref="G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IF(OR(ISNUMBER(MATCH($A101,TIPOS_OPCION_G,0)),OR($A101="SELECCION_MEJOR_RESPUESTA",$A101="SELECCION_SIMPLE",$A101="SELECCION_UNICA",$A101="SELECCION_DE_LA_MEJOR_RESPUESTA",$A101="SUBITEM_CASO",$A101="SUBITEM_DE_CASO_O_PROBLEMA")),TRUE,LEN(TRIM($G101))=0)</formula1>
    </dataValidation>
    <dataValidation sqref="H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IF(OR(ISNUMBER(MATCH($A101,TIPOS_OPCION_H,0)),OR($A101="SELECCION_MEJOR_RESPUESTA",$A101="SELECCION_SIMPLE",$A101="SELECCION_UNICA",$A101="SELECCION_DE_LA_MEJOR_RESPUESTA",$A101="SUBITEM_CASO",$A101="SUBITEM_DE_CASO_O_PROBLEMA")),TRUE,LEN(TRIM($H101))=0)</formula1>
    </dataValidation>
    <dataValidation sqref="I10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INDIRECT(IF(OR($A101="SELECCION_MEJOR_RESPUESTA",$A101="SELECCION_SIMPLE",$A101="SELECCION_UNICA",$A101="SELECCION_DE_LA_MEJOR_RESPUESTA",$A101="SUBITEM_CASO",$A101="SUBITEM_DE_CASO_O_PROBLEMA"),"RESP_ABCDE",IFERROR(VLOOKUP($A101,MAPA_RESPUESTA_TIPO,2,FALSE),"RESP_VACIA")))</formula1>
    </dataValidation>
    <dataValidation sqref="J101" showDropDown="0" showInputMessage="0" showErrorMessage="1" allowBlank="1" errorTitle="Dificultad invalida" error="Use 1, 2 o 3. Casos/problemas y Emparejamiento Ampliado no llevan dificultad." type="list">
      <formula1>INDIRECT(IF(ISNUMBER(MATCH($A101,TIPOS_SIN_DIFICULTAD,0)),"RESP_VACIA","DIFICULTADES_123"))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60" customWidth="1" style="6" min="3" max="3"/>
    <col width="25" customWidth="1" style="6" min="4" max="8"/>
    <col width="20" customWidth="1" min="9" max="9"/>
    <col width="12" customWidth="1" min="10" max="11"/>
    <col width="46" customWidth="1" style="6" min="12" max="12"/>
    <col hidden="1" width="3" customWidth="1" min="13" max="36"/>
  </cols>
  <sheetData>
    <row r="1">
      <c r="A1" s="18" t="inlineStr">
        <is>
          <t>tipo</t>
        </is>
      </c>
      <c r="B1" s="18" t="inlineStr">
        <is>
          <t>grupo</t>
        </is>
      </c>
      <c r="C1" s="18" t="inlineStr">
        <is>
          <t>enunciado</t>
        </is>
      </c>
      <c r="D1" s="18" t="inlineStr">
        <is>
          <t>opcion_a</t>
        </is>
      </c>
      <c r="E1" s="18" t="inlineStr">
        <is>
          <t>opcion_b</t>
        </is>
      </c>
      <c r="F1" s="18" t="inlineStr">
        <is>
          <t>opcion_c</t>
        </is>
      </c>
      <c r="G1" s="18" t="inlineStr">
        <is>
          <t>opcion_d</t>
        </is>
      </c>
      <c r="H1" s="18" t="inlineStr">
        <is>
          <t>opcion_e</t>
        </is>
      </c>
      <c r="I1" s="18" t="inlineStr">
        <is>
          <t>respuesta_correcta</t>
        </is>
      </c>
      <c r="J1" s="18" t="inlineStr">
        <is>
          <t>dificultad</t>
        </is>
      </c>
      <c r="K1" s="18" t="inlineStr">
        <is>
          <t>parcial</t>
        </is>
      </c>
      <c r="L1" s="18" t="inlineStr">
        <is>
          <t>observaciones</t>
        </is>
      </c>
    </row>
    <row r="2">
      <c r="A2" s="17" t="inlineStr">
        <is>
          <t>Verdadero o Falso Simple</t>
        </is>
      </c>
      <c r="C2" s="6" t="inlineStr">
        <is>
          <t>El agua hierve a 100 grados Celsius al nivel del mar.</t>
        </is>
      </c>
      <c r="D2" t="inlineStr">
        <is>
          <t>Verdadero</t>
        </is>
      </c>
      <c r="E2" t="inlineStr">
        <is>
          <t>Falso</t>
        </is>
      </c>
      <c r="I2" t="inlineStr">
        <is>
          <t>A</t>
        </is>
      </c>
      <c r="J2" t="inlineStr">
        <is>
          <t>1</t>
        </is>
      </c>
      <c r="K2" t="inlineStr">
        <is>
          <t>2P</t>
        </is>
      </c>
      <c r="L2" t="inlineStr">
        <is>
          <t>OK</t>
        </is>
      </c>
    </row>
    <row r="3">
      <c r="A3" s="17" t="inlineStr">
        <is>
          <t>Verdadero o Falso Simple</t>
        </is>
      </c>
      <c r="C3" s="6" t="inlineStr">
        <is>
          <t>La Antartida es el continente mas calido del planeta.</t>
        </is>
      </c>
      <c r="D3" t="inlineStr">
        <is>
          <t>Verdadero</t>
        </is>
      </c>
      <c r="E3" t="inlineStr">
        <is>
          <t>Falso</t>
        </is>
      </c>
      <c r="I3" t="inlineStr">
        <is>
          <t>B</t>
        </is>
      </c>
      <c r="J3" t="inlineStr">
        <is>
          <t>1</t>
        </is>
      </c>
      <c r="K3" t="inlineStr">
        <is>
          <t>2P</t>
        </is>
      </c>
      <c r="L3" t="inlineStr">
        <is>
          <t>OK</t>
        </is>
      </c>
    </row>
    <row r="4">
      <c r="A4" s="17" t="inlineStr">
        <is>
          <t>Verdadero o Falso Complejas</t>
        </is>
      </c>
      <c r="C4" s="6" t="inlineStr">
        <is>
          <t>Seleccione los incisos correctos sobre geografia mundial.</t>
        </is>
      </c>
      <c r="D4" t="inlineStr">
        <is>
          <t>1. Asia es el continente con mayor superficie.</t>
        </is>
      </c>
      <c r="E4" t="inlineStr">
        <is>
          <t>2. El rio Nilo se encuentra en Africa.</t>
        </is>
      </c>
      <c r="F4" t="inlineStr">
        <is>
          <t>3. Brasil esta ubicado en America del Sur.</t>
        </is>
      </c>
      <c r="G4" t="inlineStr">
        <is>
          <t>4. Australia forma parte de Europa.</t>
        </is>
      </c>
      <c r="I4" t="inlineStr">
        <is>
          <t>A: 1, 2 y 3 son verdaderas</t>
        </is>
      </c>
      <c r="J4" t="inlineStr">
        <is>
          <t>2</t>
        </is>
      </c>
      <c r="K4" t="inlineStr">
        <is>
          <t>2P</t>
        </is>
      </c>
      <c r="L4" t="inlineStr">
        <is>
          <t>OK</t>
        </is>
      </c>
    </row>
    <row r="5">
      <c r="A5" s="17" t="inlineStr">
        <is>
          <t>Verdadero o Falso Complejas</t>
        </is>
      </c>
      <c r="C5" s="6" t="inlineStr">
        <is>
          <t>Seleccione los incisos correctos sobre ciencias naturales.</t>
        </is>
      </c>
      <c r="D5" t="inlineStr">
        <is>
          <t>1. Los mamiferos respiran por branquias durante toda su vida.</t>
        </is>
      </c>
      <c r="E5" t="inlineStr">
        <is>
          <t>2. La fotosintesis permite a las plantas producir glucosa.</t>
        </is>
      </c>
      <c r="F5" t="inlineStr">
        <is>
          <t>3. El oxigeno es necesario para la respiracion celular aerobia.</t>
        </is>
      </c>
      <c r="G5" t="inlineStr">
        <is>
          <t>4. El agua puede encontrarse en estado solido, liquido y gaseoso.</t>
        </is>
      </c>
      <c r="I5" t="inlineStr">
        <is>
          <t>C: 2 y 4 son verdaderas</t>
        </is>
      </c>
      <c r="J5" t="inlineStr">
        <is>
          <t>2</t>
        </is>
      </c>
      <c r="K5" t="inlineStr">
        <is>
          <t>2P</t>
        </is>
      </c>
      <c r="L5" t="inlineStr">
        <is>
          <t>OK</t>
        </is>
      </c>
    </row>
    <row r="6">
      <c r="A6" s="17" t="inlineStr">
        <is>
          <t>Selección de la mejor respuesta</t>
        </is>
      </c>
      <c r="C6" s="6" t="inlineStr">
        <is>
          <t>Cual es el planeta mas cercano al Sol?</t>
        </is>
      </c>
      <c r="D6" t="inlineStr">
        <is>
          <t>Venus</t>
        </is>
      </c>
      <c r="E6" t="inlineStr">
        <is>
          <t>Mercurio</t>
        </is>
      </c>
      <c r="F6" t="inlineStr">
        <is>
          <t>Marte</t>
        </is>
      </c>
      <c r="G6" t="inlineStr">
        <is>
          <t>Jupiter</t>
        </is>
      </c>
      <c r="H6" t="inlineStr">
        <is>
          <t>Saturno</t>
        </is>
      </c>
      <c r="I6" t="inlineStr">
        <is>
          <t>B</t>
        </is>
      </c>
      <c r="J6" t="inlineStr">
        <is>
          <t>2</t>
        </is>
      </c>
      <c r="K6" t="inlineStr">
        <is>
          <t>2P</t>
        </is>
      </c>
      <c r="L6" t="inlineStr">
        <is>
          <t>OK</t>
        </is>
      </c>
    </row>
    <row r="7">
      <c r="A7" s="17" t="inlineStr">
        <is>
          <t>Selección de la mejor respuesta</t>
        </is>
      </c>
      <c r="C7" s="6" t="inlineStr">
        <is>
          <t>Que organo bombea la sangre en el cuerpo humano?</t>
        </is>
      </c>
      <c r="D7" t="inlineStr">
        <is>
          <t>Pulmon</t>
        </is>
      </c>
      <c r="E7" t="inlineStr">
        <is>
          <t>Higado</t>
        </is>
      </c>
      <c r="F7" t="inlineStr">
        <is>
          <t>Corazon</t>
        </is>
      </c>
      <c r="G7" t="inlineStr">
        <is>
          <t>Estomago</t>
        </is>
      </c>
      <c r="H7" t="inlineStr">
        <is>
          <t>Rinon</t>
        </is>
      </c>
      <c r="I7" t="inlineStr">
        <is>
          <t>C</t>
        </is>
      </c>
      <c r="J7" t="inlineStr">
        <is>
          <t>2</t>
        </is>
      </c>
      <c r="K7" t="inlineStr">
        <is>
          <t>2P</t>
        </is>
      </c>
      <c r="L7" t="inlineStr">
        <is>
          <t>OK</t>
        </is>
      </c>
    </row>
    <row r="8" ht="36" customHeight="1">
      <c r="A8" s="17" t="inlineStr">
        <is>
          <t>Respuesta A/B/Ambas/Ninguna</t>
        </is>
      </c>
      <c r="C8" s="6" t="inlineStr">
        <is>
          <t>I. La capital de Bolivia es Sucre.
II. La sede de gobierno de Bolivia esta en La Paz.</t>
        </is>
      </c>
      <c r="D8" t="inlineStr">
        <is>
          <t>A. Si la primera es verdadera</t>
        </is>
      </c>
      <c r="E8" t="inlineStr">
        <is>
          <t>B. Si la segunda es verdadera</t>
        </is>
      </c>
      <c r="F8" t="inlineStr">
        <is>
          <t>C. Si ambas son verdaderas</t>
        </is>
      </c>
      <c r="G8" t="inlineStr">
        <is>
          <t>D. Si ninguna es verdadera</t>
        </is>
      </c>
      <c r="I8" t="inlineStr">
        <is>
          <t>C</t>
        </is>
      </c>
      <c r="J8" t="inlineStr">
        <is>
          <t>3</t>
        </is>
      </c>
      <c r="K8" t="inlineStr">
        <is>
          <t>2P</t>
        </is>
      </c>
      <c r="L8" t="inlineStr">
        <is>
          <t>OK</t>
        </is>
      </c>
    </row>
    <row r="9" ht="36" customHeight="1">
      <c r="A9" s="17" t="inlineStr">
        <is>
          <t>Respuesta A/B/Ambas/Ninguna</t>
        </is>
      </c>
      <c r="C9" s="6" t="inlineStr">
        <is>
          <t>I. La Tierra gira alrededor del Sol.
II. La Luna es una estrella con luz propia.</t>
        </is>
      </c>
      <c r="D9" t="inlineStr">
        <is>
          <t>A. Si la primera es verdadera</t>
        </is>
      </c>
      <c r="E9" t="inlineStr">
        <is>
          <t>B. Si la segunda es verdadera</t>
        </is>
      </c>
      <c r="F9" t="inlineStr">
        <is>
          <t>C. Si ambas son verdaderas</t>
        </is>
      </c>
      <c r="G9" t="inlineStr">
        <is>
          <t>D. Si ninguna es verdadera</t>
        </is>
      </c>
      <c r="I9" t="inlineStr">
        <is>
          <t>A</t>
        </is>
      </c>
      <c r="J9" t="inlineStr">
        <is>
          <t>3</t>
        </is>
      </c>
      <c r="K9" t="inlineStr">
        <is>
          <t>2P</t>
        </is>
      </c>
      <c r="L9" t="inlineStr">
        <is>
          <t>OK</t>
        </is>
      </c>
    </row>
    <row r="10">
      <c r="A10" s="17" t="inlineStr">
        <is>
          <t>Ítems agrupados por caso clínico o problema</t>
        </is>
      </c>
      <c r="B10" t="inlineStr">
        <is>
          <t>CASO-GEN1</t>
        </is>
      </c>
      <c r="C10" s="6" t="inlineStr">
        <is>
          <t>Caso de lectura 1: En una ciudad se organiza una campana para reducir residuos. El equipo municipal instalara puntos de reciclaje, separara materiales y comunicara horarios de recoleccion a los vecinos.</t>
        </is>
      </c>
      <c r="K10" t="inlineStr">
        <is>
          <t>2P</t>
        </is>
      </c>
      <c r="L10" t="inlineStr">
        <is>
          <t>OK - tronco sin dificultad</t>
        </is>
      </c>
    </row>
    <row r="11">
      <c r="A11" s="17" t="inlineStr">
        <is>
          <t>Subítem de caso o problema</t>
        </is>
      </c>
      <c r="B11" t="inlineStr">
        <is>
          <t>CASO-GEN1</t>
        </is>
      </c>
      <c r="C11" s="6" t="inlineStr">
        <is>
          <t>Cual es una accion inicial adecuada para que la campana funcione?</t>
        </is>
      </c>
      <c r="D11" t="inlineStr">
        <is>
          <t>Definir puntos de reciclaje visibles y accesibles</t>
        </is>
      </c>
      <c r="E11" t="inlineStr">
        <is>
          <t>Ocultar los horarios de recoleccion</t>
        </is>
      </c>
      <c r="F11" t="inlineStr">
        <is>
          <t>Mezclar todos los residuos en una sola bolsa</t>
        </is>
      </c>
      <c r="G11" t="inlineStr">
        <is>
          <t>Eliminar la comunicacion con los vecinos</t>
        </is>
      </c>
      <c r="H11" t="inlineStr">
        <is>
          <t>Suspender la separacion de materiales</t>
        </is>
      </c>
      <c r="I11" t="inlineStr">
        <is>
          <t>A</t>
        </is>
      </c>
      <c r="J11" t="inlineStr">
        <is>
          <t>2</t>
        </is>
      </c>
      <c r="K11" t="inlineStr">
        <is>
          <t>2P</t>
        </is>
      </c>
      <c r="L11" t="inlineStr">
        <is>
          <t>OK</t>
        </is>
      </c>
    </row>
    <row r="12">
      <c r="A12" s="17" t="inlineStr">
        <is>
          <t>Subítem de caso o problema</t>
        </is>
      </c>
      <c r="B12" t="inlineStr">
        <is>
          <t>CASO-GEN1</t>
        </is>
      </c>
      <c r="C12" s="6" t="inlineStr">
        <is>
          <t>Que tipo de residuo corresponde separar en un contenedor para papel y carton?</t>
        </is>
      </c>
      <c r="D12" t="inlineStr">
        <is>
          <t>Restos de comida</t>
        </is>
      </c>
      <c r="E12" t="inlineStr">
        <is>
          <t>Botellas de vidrio</t>
        </is>
      </c>
      <c r="F12" t="inlineStr">
        <is>
          <t>Cajas de carton limpias</t>
        </is>
      </c>
      <c r="G12" t="inlineStr">
        <is>
          <t>Pilas usadas</t>
        </is>
      </c>
      <c r="H12" t="inlineStr">
        <is>
          <t>Aceite de cocina</t>
        </is>
      </c>
      <c r="I12" t="inlineStr">
        <is>
          <t>C</t>
        </is>
      </c>
      <c r="J12" t="inlineStr">
        <is>
          <t>2</t>
        </is>
      </c>
      <c r="K12" t="inlineStr">
        <is>
          <t>2P</t>
        </is>
      </c>
      <c r="L12" t="inlineStr">
        <is>
          <t>OK</t>
        </is>
      </c>
    </row>
    <row r="13">
      <c r="A13" s="17" t="inlineStr">
        <is>
          <t>Emparejamiento Ampliado</t>
        </is>
      </c>
      <c r="B13" t="inlineStr">
        <is>
          <t>EMP-GEN1</t>
        </is>
      </c>
      <c r="C13" s="6" t="inlineStr">
        <is>
          <t>De la lista de opciones, seleccione la respuesta correcta para cada enunciado</t>
        </is>
      </c>
      <c r="D13" t="inlineStr">
        <is>
          <t>Sol</t>
        </is>
      </c>
      <c r="E13" t="inlineStr">
        <is>
          <t>Luna</t>
        </is>
      </c>
      <c r="K13" t="inlineStr">
        <is>
          <t>2P</t>
        </is>
      </c>
      <c r="L13" t="inlineStr">
        <is>
          <t>OK</t>
        </is>
      </c>
    </row>
    <row r="14">
      <c r="A14" s="17" t="inlineStr">
        <is>
          <t>Opción de Emparejamiento Ampliado</t>
        </is>
      </c>
      <c r="B14" t="inlineStr">
        <is>
          <t>EMP-GEN1</t>
        </is>
      </c>
      <c r="C14" s="6" t="inlineStr">
        <is>
          <t>Estrella ubicada en el centro del sistema solar.</t>
        </is>
      </c>
      <c r="I14" t="inlineStr">
        <is>
          <t>A</t>
        </is>
      </c>
      <c r="J14" t="inlineStr">
        <is>
          <t>1</t>
        </is>
      </c>
      <c r="K14" t="inlineStr">
        <is>
          <t>2P</t>
        </is>
      </c>
      <c r="L14" t="inlineStr">
        <is>
          <t>OK</t>
        </is>
      </c>
    </row>
    <row r="15">
      <c r="A15" s="17" t="inlineStr">
        <is>
          <t>Opción de Emparejamiento Ampliado</t>
        </is>
      </c>
      <c r="B15" t="inlineStr">
        <is>
          <t>EMP-GEN1</t>
        </is>
      </c>
      <c r="C15" s="6" t="inlineStr">
        <is>
          <t>Satelite natural de la Tierra.</t>
        </is>
      </c>
      <c r="I15" t="inlineStr">
        <is>
          <t>B</t>
        </is>
      </c>
      <c r="J15" t="inlineStr">
        <is>
          <t>1</t>
        </is>
      </c>
      <c r="K15" t="inlineStr">
        <is>
          <t>2P</t>
        </is>
      </c>
      <c r="L15" t="inlineStr">
        <is>
          <t>OK</t>
        </is>
      </c>
    </row>
    <row r="16">
      <c r="A16" s="17" t="inlineStr">
        <is>
          <t>Emparejamiento Ampliado</t>
        </is>
      </c>
      <c r="B16" t="inlineStr">
        <is>
          <t>EMP-GEN2</t>
        </is>
      </c>
      <c r="C16" s="6" t="inlineStr">
        <is>
          <t>De la lista de opciones, seleccione la respuesta correcta para cada enunciado</t>
        </is>
      </c>
      <c r="D16" t="inlineStr">
        <is>
          <t>Evaporacion</t>
        </is>
      </c>
      <c r="E16" t="inlineStr">
        <is>
          <t>Condensacion</t>
        </is>
      </c>
      <c r="F16" t="inlineStr">
        <is>
          <t>Precipitacion</t>
        </is>
      </c>
      <c r="K16" t="inlineStr">
        <is>
          <t>2P</t>
        </is>
      </c>
      <c r="L16" t="inlineStr">
        <is>
          <t>OK</t>
        </is>
      </c>
    </row>
    <row r="17">
      <c r="A17" s="17" t="inlineStr">
        <is>
          <t>Opción de Emparejamiento Ampliado</t>
        </is>
      </c>
      <c r="B17" t="inlineStr">
        <is>
          <t>EMP-GEN2</t>
        </is>
      </c>
      <c r="C17" s="6" t="inlineStr">
        <is>
          <t>Proceso por el cual el vapor de agua se transforma en gotas.</t>
        </is>
      </c>
      <c r="I17" t="inlineStr">
        <is>
          <t>B</t>
        </is>
      </c>
      <c r="J17" t="inlineStr">
        <is>
          <t>2</t>
        </is>
      </c>
      <c r="K17" t="inlineStr">
        <is>
          <t>2P</t>
        </is>
      </c>
      <c r="L17" t="inlineStr">
        <is>
          <t>OK</t>
        </is>
      </c>
    </row>
    <row r="18">
      <c r="A18" s="17" t="inlineStr">
        <is>
          <t>Opción de Emparejamiento Ampliado</t>
        </is>
      </c>
      <c r="B18" t="inlineStr">
        <is>
          <t>EMP-GEN2</t>
        </is>
      </c>
      <c r="C18" s="6" t="inlineStr">
        <is>
          <t>Caida de agua desde las nubes hacia la superficie.</t>
        </is>
      </c>
      <c r="I18" t="inlineStr">
        <is>
          <t>C</t>
        </is>
      </c>
      <c r="J18" t="inlineStr">
        <is>
          <t>2</t>
        </is>
      </c>
      <c r="K18" t="inlineStr">
        <is>
          <t>2P</t>
        </is>
      </c>
      <c r="L18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Verdadero o Falso Simple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2</t>
        </is>
      </c>
      <c r="F1" t="inlineStr">
        <is>
          <t>1</t>
        </is>
      </c>
      <c r="G1" t="inlineStr">
        <is>
          <t>2P</t>
        </is>
      </c>
      <c r="H1" t="inlineStr">
        <is>
          <t>A: 1, 2 y 3 son verdaderas</t>
        </is>
      </c>
      <c r="I1" t="inlineStr">
        <is>
          <t>De la lista de opciones, seleccione la respuesta correcta para cada enunciado</t>
        </is>
      </c>
      <c r="J1" t="inlineStr">
        <is>
          <t>Verdadero o Falso Simple</t>
        </is>
      </c>
      <c r="K1" t="inlineStr">
        <is>
          <t>RESP_VF</t>
        </is>
      </c>
      <c r="L1" t="inlineStr">
        <is>
          <t>Ítems agrupados por caso clínico o problema</t>
        </is>
      </c>
      <c r="M1" t="inlineStr">
        <is>
          <t>Ítems agrupados por caso clínico o problema</t>
        </is>
      </c>
      <c r="N1" t="inlineStr">
        <is>
          <t>Verdadero o Falso Simple</t>
        </is>
      </c>
      <c r="O1" t="inlineStr">
        <is>
          <t>Verdadero o Falso Simple</t>
        </is>
      </c>
      <c r="P1" t="inlineStr">
        <is>
          <t>Respuesta A/B/Ambas/Ninguna</t>
        </is>
      </c>
      <c r="Q1" t="inlineStr">
        <is>
          <t>Respuesta A/B/Ambas/Ninguna</t>
        </is>
      </c>
      <c r="R1" t="inlineStr">
        <is>
          <t>Selección de la mejor respuesta</t>
        </is>
      </c>
    </row>
    <row r="2">
      <c r="A2" t="inlineStr">
        <is>
          <t>Respuesta A/B/Ambas/Ninguna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F2" t="inlineStr">
        <is>
          <t>2</t>
        </is>
      </c>
      <c r="H2" t="inlineStr">
        <is>
          <t>B: 1 y 3 son verdaderas</t>
        </is>
      </c>
      <c r="J2" t="inlineStr">
        <is>
          <t>Respuesta A/B/Ambas/Ninguna</t>
        </is>
      </c>
      <c r="K2" t="inlineStr">
        <is>
          <t>RESP_ABCD</t>
        </is>
      </c>
      <c r="L2" t="inlineStr">
        <is>
          <t>Subítem de caso o problema</t>
        </is>
      </c>
      <c r="M2" t="inlineStr">
        <is>
          <t>Emparejamiento Ampliado</t>
        </is>
      </c>
      <c r="N2" t="inlineStr">
        <is>
          <t>Respuesta A/B/Ambas/Ninguna</t>
        </is>
      </c>
      <c r="O2" t="inlineStr">
        <is>
          <t>Respuesta A/B/Ambas/Ninguna</t>
        </is>
      </c>
      <c r="P2" t="inlineStr">
        <is>
          <t>Verdadero o Falso Complejas</t>
        </is>
      </c>
      <c r="Q2" t="inlineStr">
        <is>
          <t>Verdadero o Falso Complejas</t>
        </is>
      </c>
      <c r="R2" t="inlineStr">
        <is>
          <t>Subítem de caso o problema</t>
        </is>
      </c>
    </row>
    <row r="3">
      <c r="A3" t="inlineStr">
        <is>
          <t>Verdadero o Falso Complejas</t>
        </is>
      </c>
      <c r="C3" t="inlineStr">
        <is>
          <t>C</t>
        </is>
      </c>
      <c r="D3" t="inlineStr">
        <is>
          <t>C</t>
        </is>
      </c>
      <c r="F3" t="inlineStr">
        <is>
          <t>3</t>
        </is>
      </c>
      <c r="H3" t="inlineStr">
        <is>
          <t>C: 2 y 4 son verdaderas</t>
        </is>
      </c>
      <c r="J3" t="inlineStr">
        <is>
          <t>Verdadero o Falso Complejas</t>
        </is>
      </c>
      <c r="K3" t="inlineStr">
        <is>
          <t>RESP_CLAVE</t>
        </is>
      </c>
      <c r="L3" t="inlineStr">
        <is>
          <t>Emparejamiento Ampliado</t>
        </is>
      </c>
      <c r="N3" t="inlineStr">
        <is>
          <t>Verdadero o Falso Complejas</t>
        </is>
      </c>
      <c r="O3" t="inlineStr">
        <is>
          <t>Verdadero o Falso Complejas</t>
        </is>
      </c>
      <c r="P3" t="inlineStr">
        <is>
          <t>Selección de la mejor respuesta</t>
        </is>
      </c>
      <c r="Q3" t="inlineStr">
        <is>
          <t>Selección de la mejor respuesta</t>
        </is>
      </c>
      <c r="R3" t="inlineStr">
        <is>
          <t>Emparejamiento Ampliado</t>
        </is>
      </c>
    </row>
    <row r="4">
      <c r="A4" t="inlineStr">
        <is>
          <t>Selección de la mejor respuesta</t>
        </is>
      </c>
      <c r="C4" t="inlineStr">
        <is>
          <t>D</t>
        </is>
      </c>
      <c r="D4" t="inlineStr">
        <is>
          <t>D</t>
        </is>
      </c>
      <c r="H4" t="inlineStr">
        <is>
          <t>D: Solo 4 es verdadera</t>
        </is>
      </c>
      <c r="J4" t="inlineStr">
        <is>
          <t>Selección de la mejor respuesta</t>
        </is>
      </c>
      <c r="K4" t="inlineStr">
        <is>
          <t>RESP_ABCDE</t>
        </is>
      </c>
      <c r="L4" t="inlineStr">
        <is>
          <t>Opción de Emparejamiento Ampliado</t>
        </is>
      </c>
      <c r="N4" t="inlineStr">
        <is>
          <t>Selección de la mejor respuesta</t>
        </is>
      </c>
      <c r="O4" t="inlineStr">
        <is>
          <t>Selección de la mejor respuesta</t>
        </is>
      </c>
      <c r="P4" t="inlineStr">
        <is>
          <t>Subítem de caso o problema</t>
        </is>
      </c>
      <c r="Q4" t="inlineStr">
        <is>
          <t>Subítem de caso o problema</t>
        </is>
      </c>
    </row>
    <row r="5">
      <c r="A5" t="inlineStr">
        <is>
          <t>Emparejamiento Ampliado</t>
        </is>
      </c>
      <c r="D5" t="inlineStr">
        <is>
          <t>E</t>
        </is>
      </c>
      <c r="H5" t="inlineStr">
        <is>
          <t>E: Todas son verdaderas</t>
        </is>
      </c>
      <c r="J5" t="inlineStr">
        <is>
          <t>Subítem de caso o problema</t>
        </is>
      </c>
      <c r="K5" t="inlineStr">
        <is>
          <t>RESP_ABCDE</t>
        </is>
      </c>
      <c r="N5" t="inlineStr">
        <is>
          <t>Subítem de caso o problema</t>
        </is>
      </c>
      <c r="O5" t="inlineStr">
        <is>
          <t>Subítem de caso o problema</t>
        </is>
      </c>
      <c r="P5" t="inlineStr">
        <is>
          <t>Emparejamiento Ampliado</t>
        </is>
      </c>
      <c r="Q5" t="inlineStr">
        <is>
          <t>Emparejamiento Ampliado</t>
        </is>
      </c>
    </row>
    <row r="6">
      <c r="A6" t="inlineStr">
        <is>
          <t>Opción de Emparejamiento Ampliado</t>
        </is>
      </c>
      <c r="J6" t="inlineStr">
        <is>
          <t>Opción de Emparejamiento Ampliado</t>
        </is>
      </c>
      <c r="K6" t="inlineStr">
        <is>
          <t>RESP_ABCDE</t>
        </is>
      </c>
      <c r="N6" t="inlineStr">
        <is>
          <t>Emparejamiento Ampliado</t>
        </is>
      </c>
      <c r="O6" t="inlineStr">
        <is>
          <t>Emparejamiento Ampliado</t>
        </is>
      </c>
    </row>
    <row r="7">
      <c r="A7" t="inlineStr">
        <is>
          <t>Ítems agrupados por caso clínico o problema</t>
        </is>
      </c>
    </row>
    <row r="8">
      <c r="A8" t="inlineStr">
        <is>
          <t>Subítem de caso o problema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2026-10-28T22:56:43Z</dcterms:created>
  <dcterms:modified xmlns:dcterms="http://purl.org/dc/terms/" xmlns:xsi="http://www.w3.org/2001/XMLSchema-instance" xsi:type="dcterms:W3CDTF">2026-10-30T23:17:52Z</dcterms:modified>
</cp:coreProperties>
</file>