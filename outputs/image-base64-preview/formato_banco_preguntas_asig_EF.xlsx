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dd653e230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CIONES" sheetId="1" r:id="R1a6c0d3a8d7d4158"/>
    <x:sheet xmlns:r="http://schemas.openxmlformats.org/officeDocument/2006/relationships" name="Instrucciones" sheetId="2" r:id="R3fdf9459b2444a5e"/>
    <x:sheet xmlns:r="http://schemas.openxmlformats.org/officeDocument/2006/relationships" name="Banco" sheetId="3" r:id="R8c0c78d30c6d4f42"/>
    <x:sheet xmlns:r="http://schemas.openxmlformats.org/officeDocument/2006/relationships" name="Ejemplo" sheetId="4" r:id="R332c9850e9b24df9"/>
  </x:sheets>
  <x:definedNames>
    <x:definedName name="LISTA_TIPOS_2P">VALIDACIONES!$A$1:$A$8</x:definedName>
    <x:definedName name="RESP_VF">VALIDACIONES!$B$1:$B$2</x:definedName>
    <x:definedName name="RESP_ABCD">VALIDACIONES!$C$1:$C$4</x:definedName>
    <x:definedName name="RESP_ABCDE">VALIDACIONES!$D$1:$D$5</x:definedName>
    <x:definedName name="RESP_VACIA">VALIDACIONES!$E$1</x:definedName>
    <x:definedName name="DIFICULTADES_123">VALIDACIONES!$F$1:$F$3</x:definedName>
    <x:definedName name="PARCIAL_ACTIVO_BANCO">VALIDACIONES!$G$1</x:definedName>
    <x:definedName name="RESP_CLAVE">VALIDACIONES!$H$1:$H$5</x:definedName>
    <x:definedName name="MAPA_RESPUESTA_TIPO">VALIDACIONES!$J$1:$K$6</x:definedName>
    <x:definedName name="TIPOS_REQUIEREN_GRUPO">VALIDACIONES!$L$1:$L$4</x:definedName>
    <x:definedName name="TIPOS_SIN_DIFICULTAD">VALIDACIONES!$M$1:$M$2</x:definedName>
    <x:definedName name="TIPOS_OPCION_D">VALIDACIONES!$N$1:$N$6</x:definedName>
    <x:definedName name="TIPOS_OPCION_E">VALIDACIONES!$O$1:$O$6</x:definedName>
    <x:definedName name="TIPOS_OPCION_F">VALIDACIONES!$P$1:$P$5</x:definedName>
    <x:definedName name="TIPOS_OPCION_G">VALIDACIONES!$Q$1:$Q$5</x:definedName>
    <x:definedName name="TIPOS_OPCION_H">VALIDACIONES!$R$1:$R$3</x:definedName>
  </x:definedNames>
</x:workbook>
</file>

<file path=xl/sharedStrings.xml><?xml version="1.0" encoding="utf-8"?>
<x:sst xmlns:x="http://schemas.openxmlformats.org/spreadsheetml/2006/main">
  <x:si>
    <x:t xml:space="preserve">Verdadero o Falso Simple</x:t>
  </x:si>
  <x:si>
    <x:t xml:space="preserve">A</x:t>
  </x:si>
  <x:si>
    <x:t xml:space="preserve">2</x:t>
  </x:si>
  <x:si>
    <x:t xml:space="preserve">1</x:t>
  </x:si>
  <x:si>
    <x:t xml:space="preserve">EF</x:t>
  </x:si>
  <x:si>
    <x:t xml:space="preserve">A: 1, 2 y 3 son verdaderas</x:t>
  </x:si>
  <x:si>
    <x:t xml:space="preserve">De la lista de opciones, seleccione la respuesta correcta para cada enunciado</x:t>
  </x:si>
  <x:si>
    <x:t xml:space="preserve">RESP_VF</x:t>
  </x:si>
  <x:si>
    <x:t xml:space="preserve">Ítems agrupados por caso clínico o problema</x:t>
  </x:si>
  <x:si>
    <x:t xml:space="preserve">Respuesta A/B/Ambas/Ninguna</x:t>
  </x:si>
  <x:si>
    <x:t xml:space="preserve">Selección de la mejor respuesta</x:t>
  </x:si>
  <x:si>
    <x:t xml:space="preserve">B</x:t>
  </x:si>
  <x:si>
    <x:t xml:space="preserve">B: 1 y 3 son verdaderas</x:t>
  </x:si>
  <x:si>
    <x:t xml:space="preserve">RESP_ABCD</x:t>
  </x:si>
  <x:si>
    <x:t xml:space="preserve">Subítem de caso o problema</x:t>
  </x:si>
  <x:si>
    <x:t xml:space="preserve">Emparejamiento Ampliado</x:t>
  </x:si>
  <x:si>
    <x:t xml:space="preserve">Verdadero o Falso Complejas</x:t>
  </x:si>
  <x:si>
    <x:t xml:space="preserve">C</x:t>
  </x:si>
  <x:si>
    <x:t xml:space="preserve">3</x:t>
  </x:si>
  <x:si>
    <x:t xml:space="preserve">C: 2 y 4 son verdaderas</x:t>
  </x:si>
  <x:si>
    <x:t xml:space="preserve">RESP_CLAVE</x:t>
  </x:si>
  <x:si>
    <x:t xml:space="preserve">D</x:t>
  </x:si>
  <x:si>
    <x:t xml:space="preserve">D: Solo 4 es verdadera</x:t>
  </x:si>
  <x:si>
    <x:t xml:space="preserve">RESP_ABCDE</x:t>
  </x:si>
  <x:si>
    <x:t xml:space="preserve">Opción de Emparejamiento Ampliado</x:t>
  </x:si>
  <x:si>
    <x:t xml:space="preserve">E</x:t>
  </x:si>
  <x:si>
    <x:t xml:space="preserve">E: Todas son verdaderas</x:t>
  </x:si>
  <x:si>
    <x:t xml:space="preserve">BANCO DE PREGUNTAS - GUIA OFICIAL</x:t>
  </x:si>
  <x:si>
    <x:t xml:space="preserve">1. CODIGOS DE PREGUNTA (Columna TIPO)</x:t>
  </x:si>
  <x:si>
    <x:t xml:space="preserve">opcion_a, opcion_b y respuesta_correcta se preparan automaticamente. Cambie la respuesta si el enunciado es falso.</x:t>
  </x:si>
  <x:si>
    <x:t xml:space="preserve">Use opcion_a a opcion_d para los incisos 1-4; opcion_e queda deshabilitada. La respuesta usa la lista A-E.</x:t>
  </x:si>
  <x:si>
    <x:t xml:space="preserve">Pregunta objetiva con 5 opciones donde se selecciona la mejor respuesta.</x:t>
  </x:si>
  <x:si>
    <x:t xml:space="preserve">Use el enunciado solo con las premisas I. y II.; opcion_a a opcion_d se preparan automaticamente y la respuesta_correcta va entre A y D.</x:t>
  </x:si>
  <x:si>
    <x:t xml:space="preserve">Solo llenar grupo y enunciado. No lleva opciones, dificultad ni respuesta directa.</x:t>
  </x:si>
  <x:si>
    <x:t xml:space="preserve">Pregunta hija de un caso clinico o problema. Lleva 5 opciones y una respuesta correcta.</x:t>
  </x:si>
  <x:si>
    <x:t xml:space="preserve">El enunciado se prepara automaticamente. Llene grupo y de 2 a 5 claves en opcion_a a opcion_e. No lleva dificultad ni respuesta directa.</x:t>
  </x:si>
  <x:si>
    <x:t xml:space="preserve">Pregunta hija de un Emparejamiento. No lleva opciones en columnas, solo grupo, enunciado, dificultad y respuesta.</x:t>
  </x:si>
  <x:si>
    <x:t xml:space="preserve">2. RESPUESTAS VALIDAS</x:t>
  </x:si>
  <x:si>
    <x:t xml:space="preserve">Use una de las combinaciones fijas: A: 1, 2, 3 correctas; B: 1 y 3 correctas; C: 2 y 4 correctas; D: Solo 4 es correcta; E: Todas son correctas.</x:t>
  </x:si>
  <x:si>
    <x:t xml:space="preserve">Selección de la mejor respuesta / Subítem de caso o problema</x:t>
  </x:si>
  <x:si>
    <x:t xml:space="preserve">Use una sola letra: A, B, C, D o E.</x:t>
  </x:si>
  <x:si>
    <x:t xml:space="preserve">Emparejamiento Ampliado / Ítems agrupados por caso clínico o problema</x:t>
  </x:si>
  <x:si>
    <x:t xml:space="preserve">Deje respuesta_correcta vacia.</x:t>
  </x:si>
  <x:si>
    <x:t xml:space="preserve">La respuesta_correcta solo puede ser A, B, C o D.</x:t>
  </x:si>
  <x:si>
    <x:t xml:space="preserve">A para Verdadero, B para Falso.</x:t>
  </x:si>
  <x:si>
    <x:t xml:space="preserve">Use la letra correcta segun las opciones activas definidas en el encabezado del emparejamiento.</x:t>
  </x:si>
  <x:si>
    <x:t xml:space="preserve">No debe llevar respuesta_correcta.</x:t>
  </x:si>
  <x:si>
    <x:t xml:space="preserve">3. CONFIGURACION DEL EXAMEN</x:t>
  </x:si>
  <x:si>
    <x:t xml:space="preserve">Dificultad (Nivel)</x:t>
  </x:si>
  <x:si>
    <x:t xml:space="preserve">1 (Facil), 2 (Medio), 3 (Dificil). Casos/problemas y Emparejamiento Ampliado no llevan dificultad.</x:t>
  </x:si>
  <x:si>
    <x:t xml:space="preserve">Parcial activo</x:t>
  </x:si>
  <x:si>
    <x:t xml:space="preserve">EF (Examen Final)</x:t>
  </x:si>
  <x:si>
    <x:t xml:space="preserve">Registro por grupo</x:t>
  </x:si>
  <x:si>
    <x:t xml:space="preserve">En Examen Final el banco se organiza y se valida individualmente por grupo teorico.</x:t>
  </x:si>
  <x:si>
    <x:t xml:space="preserve">Columna observaciones</x:t>
  </x:si>
  <x:si>
    <x:t xml:space="preserve">La columna L se completa automaticamente y te dira si la fila esta OK o que campos faltan/revisar.</x:t>
  </x:si>
  <x:si>
    <x:t xml:space="preserve">NOTAS IMPORTANTES</x:t>
  </x:si>
  <x:si>
    <x:t xml:space="preserve">- No elimine columnas ni cambie el nombre de la hoja "Banco".</x:t>
  </x:si>
  <x:si>
    <x:t xml:space="preserve">- IMPORTANTE: Respuesta A/B/Ambas/Ninguna usa solo las premisas I. y II. en enunciado; opcion_a a opcion_d lleva las respuestas fijas y opcion_e no se usa.</x:t>
  </x:si>
  <x:si>
    <x:t xml:space="preserve">- IMPORTANTE: Verdadero o Falso Complejas usa solo los incisos 1, 2, 3 y 4 en opcion_a a opcion_d. No llene opcion_e.</x:t>
  </x:si>
  <x:si>
    <x:t xml:space="preserve">- IMPORTANTE: Casos/problemas y Emparejamiento Ampliado son encabezados y no deben tener dificultad.</x:t>
  </x:si>
  <x:si>
    <x:t xml:space="preserve">- IMPORTANTE: Si la columna L no indica "OK", corrige esa fila antes de importar.</x:t>
  </x:si>
  <x:si>
    <x:t xml:space="preserve">- Conteo por grupos de tipo: Grupo 1 = VF simple + VF complejas + A/B/Ambas/Ninguna. Grupo 2 = mejor respuesta. Grupo 3 = casos/problemas y emparejamiento ampliado.</x:t>
  </x:si>
  <x:si>
    <x:t xml:space="preserve">tipo</x:t>
  </x:si>
  <x:si>
    <x:t xml:space="preserve">grupo</x:t>
  </x:si>
  <x:si>
    <x:t xml:space="preserve">enunciado</x:t>
  </x:si>
  <x:si>
    <x:t xml:space="preserve">opcion_a</x:t>
  </x:si>
  <x:si>
    <x:t xml:space="preserve">opcion_b</x:t>
  </x:si>
  <x:si>
    <x:t xml:space="preserve">opcion_c</x:t>
  </x:si>
  <x:si>
    <x:t xml:space="preserve">opcion_d</x:t>
  </x:si>
  <x:si>
    <x:t xml:space="preserve">opcion_e</x:t>
  </x:si>
  <x:si>
    <x:t xml:space="preserve">respuesta_correcta</x:t>
  </x:si>
  <x:si>
    <x:t xml:space="preserve">dificultad</x:t>
  </x:si>
  <x:si>
    <x:t xml:space="preserve">parcial</x:t>
  </x:si>
  <x:si>
    <x:t xml:space="preserve">observaciones</x:t>
  </x:si>
  <x:si>
    <x:t xml:space="preserve">_obs_1</x:t>
  </x:si>
  <x:si>
    <x:t xml:space="preserve">_obs_2</x:t>
  </x:si>
  <x:si>
    <x:t xml:space="preserve">_obs_3</x:t>
  </x:si>
  <x:si>
    <x:t xml:space="preserve">_obs_4</x:t>
  </x:si>
  <x:si>
    <x:t xml:space="preserve">_obs_5</x:t>
  </x:si>
  <x:si>
    <x:t xml:space="preserve">_obs_6</x:t>
  </x:si>
  <x:si>
    <x:t xml:space="preserve">_obs_7</x:t>
  </x:si>
  <x:si>
    <x:t xml:space="preserve">_obs_8</x:t>
  </x:si>
  <x:si>
    <x:t xml:space="preserve">_obs_9</x:t>
  </x:si>
  <x:si>
    <x:t xml:space="preserve">_obs_10</x:t>
  </x:si>
  <x:si>
    <x:t xml:space="preserve">_obs_11</x:t>
  </x:si>
  <x:si>
    <x:t xml:space="preserve">_obs_12</x:t>
  </x:si>
  <x:si>
    <x:t xml:space="preserve">_obs_13</x:t>
  </x:si>
  <x:si>
    <x:t xml:space="preserve">_obs_14</x:t>
  </x:si>
  <x:si>
    <x:t xml:space="preserve">_obs_15</x:t>
  </x:si>
  <x:si>
    <x:t xml:space="preserve">_obs_16</x:t>
  </x:si>
  <x:si>
    <x:t xml:space="preserve">_obs_17</x:t>
  </x:si>
  <x:si>
    <x:t xml:space="preserve">_obs_18</x:t>
  </x:si>
  <x:si>
    <x:t xml:space="preserve">_obs_19</x:t>
  </x:si>
  <x:si>
    <x:t xml:space="preserve">_obs_20</x:t>
  </x:si>
  <x:si>
    <x:t xml:space="preserve">_obs_21</x:t>
  </x:si>
  <x:si>
    <x:t xml:space="preserve">_obs_22</x:t>
  </x:si>
  <x:si>
    <x:t xml:space="preserve">_obs_23</x:t>
  </x:si>
  <x:si>
    <x:t xml:space="preserve">_obs_24</x:t>
  </x:si>
  <x:si>
    <x:t xml:space="preserve">Total Faciles:</x:t>
  </x:si>
  <x:si>
    <x:t xml:space="preserve">Total Medias:</x:t>
  </x:si>
  <x:si>
    <x:t xml:space="preserve">Total Dificiles:</x:t>
  </x:si>
  <x:si>
    <x:t xml:space="preserve">Grupo 1 (VF simple + complejas + A/B):</x:t>
  </x:si>
  <x:si>
    <x:t xml:space="preserve">Grupo 2 (Mejor respuesta):</x:t>
  </x:si>
  <x:si>
    <x:t xml:space="preserve">Grupo 3 (Casos/problemas y emp.):</x:t>
  </x:si>
  <x:si>
    <x:t xml:space="preserve">NOTAS DE CARGA</x:t>
  </x:si>
  <x:si>
    <x:t xml:space="preserve">1. La columna L te dira si la fila esta OK o que campos faltan/revisar.</x:t>
  </x:si>
  <x:si>
    <x:t xml:space="preserve">2. Casos/problemas y Emparejamiento Ampliado usan grupo y enunciado, pero no respuesta_correcta ni dificultad.</x:t>
  </x:si>
  <x:si>
    <x:t xml:space="preserve">3. Emparejamiento Ampliado puede usar de 2 a 5 claves en opcion_a a opcion_e.</x:t>
  </x:si>
  <x:si>
    <x:t xml:space="preserve">4. En Verdadero o Falso Simple, opcion_a, opcion_b y respuesta_correcta se preparan automaticamente.</x:t>
  </x:si>
  <x:si>
    <x:t xml:space="preserve">5. En Respuesta A/B/Ambas/Ninguna, escriba solo I. y II. en el enunciado; opcion_a a opcion_d se preparan con: A. Si la primera es verdadera | B. Si la segunda es verdadera | C. Si ambas son verdaderas | D. Si ninguna es verdadera.</x:t>
  </x:si>
  <x:si>
    <x:t xml:space="preserve">6. En Verdadero o Falso Complejas, escriba 1. a 4. en opcion_a a opcion_d; opcion_e queda deshabilitada.</x:t>
  </x:si>
  <x:si>
    <x:t xml:space="preserve">7. En Emparejamiento Ampliado, el enunciado se prepara con: De la lista de opciones, seleccione la respuesta correcta para cada enunciado</x:t>
  </x:si>
  <x:si>
    <x:t xml:space="preserve">8. Este formato esta preparado para EF (Examen Final).</x:t>
  </x:si>
  <x:si>
    <x:t xml:space="preserve">9. Los grupos de conteo por tipo no consideran casos/problemas ni emparejamientos porque funcionan como cabeceras.</x:t>
  </x:si>
  <x:si>
    <x:t xml:space="preserve">El agua hierve a 100 grados Celsius al nivel del mar.</x:t>
  </x:si>
  <x:si>
    <x:t xml:space="preserve">Verdadero</x:t>
  </x:si>
  <x:si>
    <x:t xml:space="preserve">Falso</x:t>
  </x:si>
  <x:si>
    <x:t xml:space="preserve">OK</x:t>
  </x:si>
  <x:si>
    <x:t xml:space="preserve">La Antartida es el continente mas calido del planeta.</x:t>
  </x:si>
  <x:si>
    <x:t xml:space="preserve">Seleccione los incisos correctos sobre geografia mundial.</x:t>
  </x:si>
  <x:si>
    <x:t xml:space="preserve">1. Asia es el continente con mayor superficie.</x:t>
  </x:si>
  <x:si>
    <x:t xml:space="preserve">2. El rio Nilo se encuentra en Africa.</x:t>
  </x:si>
  <x:si>
    <x:t xml:space="preserve">3. Brasil esta ubicado en America del Sur.</x:t>
  </x:si>
  <x:si>
    <x:t xml:space="preserve">4. Australia forma parte de Europa.</x:t>
  </x:si>
  <x:si>
    <x:t xml:space="preserve">Seleccione los incisos correctos sobre ciencias naturales.</x:t>
  </x:si>
  <x:si>
    <x:t xml:space="preserve">1. Los mamiferos respiran por branquias durante toda su vida.</x:t>
  </x:si>
  <x:si>
    <x:t xml:space="preserve">2. La fotosintesis permite a las plantas producir glucosa.</x:t>
  </x:si>
  <x:si>
    <x:t xml:space="preserve">3. El oxigeno es necesario para la respiracion celular aerobia.</x:t>
  </x:si>
  <x:si>
    <x:t xml:space="preserve">4. El agua puede encontrarse en estado solido, liquido y gaseoso.</x:t>
  </x:si>
  <x:si>
    <x:t xml:space="preserve">Cual es el planeta mas cercano al Sol?</x:t>
  </x:si>
  <x:si>
    <x:t xml:space="preserve">Venus</x:t>
  </x:si>
  <x:si>
    <x:t xml:space="preserve">Mercurio</x:t>
  </x:si>
  <x:si>
    <x:t xml:space="preserve">Marte</x:t>
  </x:si>
  <x:si>
    <x:t xml:space="preserve">Jupiter</x:t>
  </x:si>
  <x:si>
    <x:t xml:space="preserve">Saturno</x:t>
  </x:si>
  <x:si>
    <x:t xml:space="preserve">Que organo bombea la sangre en el cuerpo humano?</x:t>
  </x:si>
  <x:si>
    <x:t xml:space="preserve">Pulmon</x:t>
  </x:si>
  <x:si>
    <x:t xml:space="preserve">Higado</x:t>
  </x:si>
  <x:si>
    <x:t xml:space="preserve">Corazon</x:t>
  </x:si>
  <x:si>
    <x:t xml:space="preserve">Estomago</x:t>
  </x:si>
  <x:si>
    <x:t xml:space="preserve">Rinon</x:t>
  </x:si>
  <x:si>
    <x:t xml:space="preserve">I. La capital de Bolivia es Sucre.
II. La sede de gobierno de Bolivia esta en La Paz.</x:t>
  </x:si>
  <x:si>
    <x:t xml:space="preserve">A. Si la primera es verdadera</x:t>
  </x:si>
  <x:si>
    <x:t xml:space="preserve">B. Si la segunda es verdadera</x:t>
  </x:si>
  <x:si>
    <x:t xml:space="preserve">C. Si ambas son verdaderas</x:t>
  </x:si>
  <x:si>
    <x:t xml:space="preserve">D. Si ninguna es verdadera</x:t>
  </x:si>
  <x:si>
    <x:t xml:space="preserve">I. La Tierra gira alrededor del Sol.
II. La Luna es una estrella con luz propia.</x:t>
  </x:si>
  <x:si>
    <x:t xml:space="preserve">CASO-GEN1</x:t>
  </x:si>
  <x:si>
    <x:t xml:space="preserve">Caso de lectura 1: En una ciudad se organiza una campana para reducir residuos. El equipo municipal instalara puntos de reciclaje, separara materiales y comunicara horarios de recoleccion a los vecinos.</x:t>
  </x:si>
  <x:si>
    <x:t xml:space="preserve">Cual es una accion inicial adecuada para que la campana funcione?</x:t>
  </x:si>
  <x:si>
    <x:t xml:space="preserve">Definir puntos de reciclaje visibles y accesibles</x:t>
  </x:si>
  <x:si>
    <x:t xml:space="preserve">Ocultar los horarios de recoleccion</x:t>
  </x:si>
  <x:si>
    <x:t xml:space="preserve">Mezclar todos los residuos en una sola bolsa</x:t>
  </x:si>
  <x:si>
    <x:t xml:space="preserve">Eliminar la comunicacion con los vecinos</x:t>
  </x:si>
  <x:si>
    <x:t xml:space="preserve">Suspender la separacion de materiales</x:t>
  </x:si>
  <x:si>
    <x:t xml:space="preserve">Que tipo de residuo corresponde separar en un contenedor para papel y carton?</x:t>
  </x:si>
  <x:si>
    <x:t xml:space="preserve">Restos de comida</x:t>
  </x:si>
  <x:si>
    <x:t xml:space="preserve">Botellas de vidrio</x:t>
  </x:si>
  <x:si>
    <x:t xml:space="preserve">Cajas de carton limpias</x:t>
  </x:si>
  <x:si>
    <x:t xml:space="preserve">Pilas usadas</x:t>
  </x:si>
  <x:si>
    <x:t xml:space="preserve">Aceite de cocina</x:t>
  </x:si>
  <x:si>
    <x:t xml:space="preserve">EMP-GEN1</x:t>
  </x:si>
  <x:si>
    <x:t xml:space="preserve">Sol</x:t>
  </x:si>
  <x:si>
    <x:t xml:space="preserve">Luna</x:t>
  </x:si>
  <x:si>
    <x:t xml:space="preserve">Estrella ubicada en el centro del sistema solar.</x:t>
  </x:si>
  <x:si>
    <x:t xml:space="preserve">Satelite natural de la Tierra.</x:t>
  </x:si>
  <x:si>
    <x:t xml:space="preserve">EMP-GEN2</x:t>
  </x:si>
  <x:si>
    <x:t xml:space="preserve">Evaporacion</x:t>
  </x:si>
  <x:si>
    <x:t xml:space="preserve">Condensacion</x:t>
  </x:si>
  <x:si>
    <x:t xml:space="preserve">Precipitacion</x:t>
  </x:si>
  <x:si>
    <x:t xml:space="preserve">Infiltracion</x:t>
  </x:si>
  <x:si>
    <x:t xml:space="preserve">Proceso por el cual el vapor de agua se transforma en gotas.</x:t>
  </x:si>
  <x:si>
    <x:t xml:space="preserve">Caida de agua desde las nubes hacia la superficie.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</x:si>
</x:sst>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6"/>
      <x:color rgb="FFFFFFFF"/>
    </x:font>
    <x:font>
      <x:b/>
      <x:sz val="12"/>
    </x:font>
    <x:font>
      <x:b/>
      <x:color rgb="FFFF0000"/>
    </x:font>
    <x:font>
      <x:i/>
      <x:color rgb="FFC62828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4527A0"/>
      </x:patternFill>
    </x:fill>
    <x:fill>
      <x:patternFill patternType="solid">
        <x:fgColor rgb="FFE8EAF6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006064"/>
      </x:patternFill>
    </x:fill>
    <x:fill>
      <x:patternFill patternType="solid">
        <x:fgColor rgb="FF4527A0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</x:fills>
  <x:borders count="3">
    <x:border/>
    <x:border>
      <x:left style="thin"/>
      <x:right style="thin"/>
      <x:top style="thin"/>
      <x:bottom style="thin"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3" borderId="0" xfId="0" applyFont="1" applyFill="1"/>
    <x:xf numFmtId="0" fontId="3" fillId="0" borderId="0" xfId="0" applyFont="1"/>
    <x:xf numFmtId="0" fontId="4" fillId="0" borderId="0" xfId="0" applyFont="1"/>
    <x:xf numFmtId="0" fontId="0" fillId="0" borderId="0" xfId="0" applyAlignment="1">
      <x:alignment vertical="top" wrapText="1"/>
    </x:xf>
    <x:xf numFmtId="0" fontId="5" fillId="2" borderId="1" xfId="0" applyFont="1" applyFill="1" applyBorder="1" applyAlignment="1">
      <x:alignment horizontal="center" vertical="center"/>
    </x:xf>
    <x:xf numFmtId="0" fontId="0" fillId="4" borderId="1" xfId="0" applyFill="1" applyBorder="1"/>
    <x:xf numFmtId="0" fontId="0" fillId="4" borderId="1" xfId="0" applyFill="1" applyBorder="1" applyAlignment="1">
      <x:alignment vertical="top" wrapText="1"/>
    </x:xf>
    <x:xf numFmtId="0" fontId="6" fillId="4" borderId="1" xfId="0" applyFont="1" applyFill="1" applyBorder="1"/>
    <x:xf numFmtId="0" fontId="0" fillId="5" borderId="1" xfId="0" applyFill="1" applyBorder="1"/>
    <x:xf numFmtId="0" fontId="0" fillId="5" borderId="1" xfId="0" applyFill="1" applyBorder="1" applyAlignment="1">
      <x:alignment vertical="top" wrapText="1"/>
    </x:xf>
    <x:xf numFmtId="0" fontId="6" fillId="5" borderId="1" xfId="0" applyFont="1" applyFill="1" applyBorder="1"/>
    <x:xf numFmtId="0" fontId="0" fillId="6" borderId="1" xfId="0" applyFill="1" applyBorder="1"/>
    <x:xf numFmtId="0" fontId="0" fillId="6" borderId="1" xfId="0" applyFill="1" applyBorder="1" applyAlignment="1">
      <x:alignment vertical="top" wrapText="1"/>
    </x:xf>
    <x:xf numFmtId="0" fontId="6" fillId="6" borderId="1" xfId="0" applyFont="1" applyFill="1" applyBorder="1"/>
    <x:xf numFmtId="0" fontId="6" fillId="0" borderId="0" xfId="0" applyFont="1"/>
    <x:xf numFmtId="0" fontId="5" fillId="7" borderId="0" xfId="0" applyFont="1" applyFill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2" xfId="0" applyNumberFormat="1" applyFont="1" applyFill="1" applyBorder="1"/>
    <x:xf numFmtId="0" fontId="0" fillId="11" borderId="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616161"/>
      </x:font>
      <x:fill>
        <x:patternFill>
          <x:bgColor rgb="FFE0E0E0"/>
        </x:patternFill>
      </x:fill>
    </x:dxf>
    <x:dxf>
      <x:font>
        <x:color rgb="FF616161"/>
      </x:font>
      <x:fill>
        <x:patternFill>
          <x:bgColor rgb="FFE0E0E0"/>
        </x:patternFill>
      </x:fill>
    </x:dxf>
    <x:dxf>
      <x:font>
        <x:color rgb="FF616161"/>
      </x:font>
      <x:fill>
        <x:patternFill>
          <x:bgColor rgb="FFE0E0E0"/>
        </x:patternFill>
      </x:fill>
    </x:dxf>
    <x:dxf>
      <x:font>
        <x:color rgb="FF616161"/>
      </x:font>
      <x:fill>
        <x:patternFill>
          <x:bgColor rgb="FFE0E0E0"/>
        </x:patternFill>
      </x:fill>
    </x:dxf>
    <x:dxf>
      <x:font>
        <x:b/>
        <x:color rgb="FF1B5E20"/>
      </x:font>
      <x:fill>
        <x:patternFill>
          <x:bgColor rgb="FFC6EFCE"/>
        </x:patternFill>
      </x:fill>
    </x:dxf>
    <x:dxf>
      <x:font>
        <x:b/>
        <x:color rgb="FFC62828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c5f7b11554a22" /><Relationship Type="http://schemas.openxmlformats.org/officeDocument/2006/relationships/theme" Target="/xl/theme/theme1.xml" Id="Rfcb3660c76144d47" /><Relationship Type="http://schemas.openxmlformats.org/officeDocument/2006/relationships/sharedStrings" Target="/xl/sharedStrings.xml" Id="R861f518c2e4f4bd0" /><Relationship Type="http://schemas.openxmlformats.org/officeDocument/2006/relationships/worksheet" Target="/xl/worksheets/sheet1.xml" Id="R1a6c0d3a8d7d4158" /><Relationship Type="http://schemas.openxmlformats.org/officeDocument/2006/relationships/worksheet" Target="/xl/worksheets/sheet2.xml" Id="R3fdf9459b2444a5e" /><Relationship Type="http://schemas.openxmlformats.org/officeDocument/2006/relationships/worksheet" Target="/xl/worksheets/sheet3.xml" Id="R8c0c78d30c6d4f42" /><Relationship Type="http://schemas.openxmlformats.org/officeDocument/2006/relationships/worksheet" Target="/xl/worksheets/sheet4.xml" Id="R332c9850e9b24d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1</x:v>
      </x:c>
      <x:c r="D1" t="s">
        <x:v>1</x:v>
      </x:c>
      <x:c r="E1" t="s">
        <x:v>2</x:v>
      </x:c>
      <x:c r="F1" t="s">
        <x:v>3</x:v>
      </x:c>
      <x:c r="G1" t="s">
        <x:v>4</x:v>
      </x:c>
      <x:c r="H1" t="s">
        <x:v>5</x:v>
      </x:c>
      <x:c r="I1" t="s">
        <x:v>6</x:v>
      </x:c>
      <x:c r="J1" t="s">
        <x:v>0</x:v>
      </x:c>
      <x:c r="K1" t="s">
        <x:v>7</x:v>
      </x:c>
      <x:c r="L1" t="s">
        <x:v>8</x:v>
      </x:c>
      <x:c r="M1" t="s">
        <x:v>8</x:v>
      </x:c>
      <x:c r="N1" t="s">
        <x:v>0</x:v>
      </x:c>
      <x:c r="O1" t="s">
        <x:v>0</x:v>
      </x:c>
      <x:c r="P1" t="s">
        <x:v>9</x:v>
      </x:c>
      <x:c r="Q1" t="s">
        <x:v>9</x:v>
      </x:c>
      <x:c r="R1" t="s">
        <x:v>10</x:v>
      </x:c>
    </x:row>
    <x:row r="2">
      <x:c r="A2" t="s">
        <x:v>9</x:v>
      </x:c>
      <x:c r="B2" t="s">
        <x:v>11</x:v>
      </x:c>
      <x:c r="C2" t="s">
        <x:v>11</x:v>
      </x:c>
      <x:c r="D2" t="s">
        <x:v>11</x:v>
      </x:c>
      <x:c r="F2" t="s">
        <x:v>2</x:v>
      </x:c>
      <x:c r="H2" t="s">
        <x:v>12</x:v>
      </x:c>
      <x:c r="J2" t="s">
        <x:v>9</x:v>
      </x:c>
      <x:c r="K2" t="s">
        <x:v>13</x:v>
      </x:c>
      <x:c r="L2" t="s">
        <x:v>14</x:v>
      </x:c>
      <x:c r="M2" t="s">
        <x:v>15</x:v>
      </x:c>
      <x:c r="N2" t="s">
        <x:v>9</x:v>
      </x:c>
      <x:c r="O2" t="s">
        <x:v>9</x:v>
      </x:c>
      <x:c r="P2" t="s">
        <x:v>16</x:v>
      </x:c>
      <x:c r="Q2" t="s">
        <x:v>16</x:v>
      </x:c>
      <x:c r="R2" t="s">
        <x:v>14</x:v>
      </x:c>
    </x:row>
    <x:row r="3">
      <x:c r="A3" t="s">
        <x:v>16</x:v>
      </x:c>
      <x:c r="C3" t="s">
        <x:v>17</x:v>
      </x:c>
      <x:c r="D3" t="s">
        <x:v>17</x:v>
      </x:c>
      <x:c r="F3" t="s">
        <x:v>18</x:v>
      </x:c>
      <x:c r="H3" t="s">
        <x:v>19</x:v>
      </x:c>
      <x:c r="J3" t="s">
        <x:v>16</x:v>
      </x:c>
      <x:c r="K3" t="s">
        <x:v>20</x:v>
      </x:c>
      <x:c r="L3" t="s">
        <x:v>15</x:v>
      </x:c>
      <x:c r="N3" t="s">
        <x:v>16</x:v>
      </x:c>
      <x:c r="O3" t="s">
        <x:v>16</x:v>
      </x:c>
      <x:c r="P3" t="s">
        <x:v>10</x:v>
      </x:c>
      <x:c r="Q3" t="s">
        <x:v>10</x:v>
      </x:c>
      <x:c r="R3" t="s">
        <x:v>15</x:v>
      </x:c>
    </x:row>
    <x:row r="4">
      <x:c r="A4" t="s">
        <x:v>10</x:v>
      </x:c>
      <x:c r="C4" t="s">
        <x:v>21</x:v>
      </x:c>
      <x:c r="D4" t="s">
        <x:v>21</x:v>
      </x:c>
      <x:c r="H4" t="s">
        <x:v>22</x:v>
      </x:c>
      <x:c r="J4" t="s">
        <x:v>10</x:v>
      </x:c>
      <x:c r="K4" t="s">
        <x:v>23</x:v>
      </x:c>
      <x:c r="L4" t="s">
        <x:v>24</x:v>
      </x:c>
      <x:c r="N4" t="s">
        <x:v>10</x:v>
      </x:c>
      <x:c r="O4" t="s">
        <x:v>10</x:v>
      </x:c>
      <x:c r="P4" t="s">
        <x:v>14</x:v>
      </x:c>
      <x:c r="Q4" t="s">
        <x:v>14</x:v>
      </x:c>
    </x:row>
    <x:row r="5">
      <x:c r="A5" t="s">
        <x:v>15</x:v>
      </x:c>
      <x:c r="D5" t="s">
        <x:v>25</x:v>
      </x:c>
      <x:c r="H5" t="s">
        <x:v>26</x:v>
      </x:c>
      <x:c r="J5" t="s">
        <x:v>14</x:v>
      </x:c>
      <x:c r="K5" t="s">
        <x:v>23</x:v>
      </x:c>
      <x:c r="N5" t="s">
        <x:v>14</x:v>
      </x:c>
      <x:c r="O5" t="s">
        <x:v>14</x:v>
      </x:c>
      <x:c r="P5" t="s">
        <x:v>15</x:v>
      </x:c>
      <x:c r="Q5" t="s">
        <x:v>15</x:v>
      </x:c>
    </x:row>
    <x:row r="6">
      <x:c r="A6" t="s">
        <x:v>24</x:v>
      </x:c>
      <x:c r="J6" t="s">
        <x:v>24</x:v>
      </x:c>
      <x:c r="K6" t="s">
        <x:v>23</x:v>
      </x:c>
      <x:c r="N6" t="s">
        <x:v>15</x:v>
      </x:c>
      <x:c r="O6" t="s">
        <x:v>15</x:v>
      </x:c>
    </x:row>
    <x:row r="7">
      <x:c r="A7" t="s">
        <x:v>8</x:v>
      </x:c>
    </x:row>
    <x:row r="8">
      <x:c r="A8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customWidth="1"/>
    <x:col min="2" max="2" width="80" customWidth="1"/>
  </x:cols>
  <x:sheetData>
    <x:row r="1" s="1" customFormat="1">
      <x:c r="A1" s="1" t="s">
        <x:v>27</x:v>
      </x:c>
    </x:row>
    <x:row r="3" s="2" customFormat="1">
      <x:c r="A3" s="3" t="s">
        <x:v>28</x:v>
      </x:c>
    </x:row>
    <x:row r="4">
      <x:c r="A4" t="s">
        <x:v>0</x:v>
      </x:c>
      <x:c r="B4" t="s">
        <x:v>29</x:v>
      </x:c>
    </x:row>
    <x:row r="5">
      <x:c r="A5" t="s">
        <x:v>16</x:v>
      </x:c>
      <x:c r="B5" t="s">
        <x:v>30</x:v>
      </x:c>
    </x:row>
    <x:row r="6">
      <x:c r="A6" t="s">
        <x:v>10</x:v>
      </x:c>
      <x:c r="B6" t="s">
        <x:v>31</x:v>
      </x:c>
    </x:row>
    <x:row r="7">
      <x:c r="A7" t="s">
        <x:v>9</x:v>
      </x:c>
      <x:c r="B7" s="4" t="s">
        <x:v>32</x:v>
      </x:c>
    </x:row>
    <x:row r="8">
      <x:c r="A8" t="s">
        <x:v>8</x:v>
      </x:c>
      <x:c r="B8" s="4" t="s">
        <x:v>33</x:v>
      </x:c>
    </x:row>
    <x:row r="9">
      <x:c r="A9" t="s">
        <x:v>14</x:v>
      </x:c>
      <x:c r="B9" t="s">
        <x:v>34</x:v>
      </x:c>
    </x:row>
    <x:row r="10">
      <x:c r="A10" t="s">
        <x:v>15</x:v>
      </x:c>
      <x:c r="B10" s="4" t="s">
        <x:v>35</x:v>
      </x:c>
    </x:row>
    <x:row r="11">
      <x:c r="A11" t="s">
        <x:v>24</x:v>
      </x:c>
      <x:c r="B11" t="s">
        <x:v>36</x:v>
      </x:c>
    </x:row>
    <x:row r="13" s="2" customFormat="1">
      <x:c r="A13" s="3" t="s">
        <x:v>37</x:v>
      </x:c>
    </x:row>
    <x:row r="14">
      <x:c r="A14" t="s">
        <x:v>16</x:v>
      </x:c>
      <x:c r="B14" t="s">
        <x:v>38</x:v>
      </x:c>
    </x:row>
    <x:row r="15">
      <x:c r="A15" t="s">
        <x:v>39</x:v>
      </x:c>
      <x:c r="B15" t="s">
        <x:v>40</x:v>
      </x:c>
    </x:row>
    <x:row r="16">
      <x:c r="A16" t="s">
        <x:v>41</x:v>
      </x:c>
      <x:c r="B16" t="s">
        <x:v>42</x:v>
      </x:c>
    </x:row>
    <x:row r="17">
      <x:c r="A17" t="s">
        <x:v>9</x:v>
      </x:c>
      <x:c r="B17" s="4" t="s">
        <x:v>43</x:v>
      </x:c>
    </x:row>
    <x:row r="18">
      <x:c r="A18" t="s">
        <x:v>0</x:v>
      </x:c>
      <x:c r="B18" t="s">
        <x:v>44</x:v>
      </x:c>
    </x:row>
    <x:row r="19">
      <x:c r="A19" t="s">
        <x:v>24</x:v>
      </x:c>
      <x:c r="B19" t="s">
        <x:v>45</x:v>
      </x:c>
    </x:row>
    <x:row r="20">
      <x:c r="A20" t="s">
        <x:v>8</x:v>
      </x:c>
      <x:c r="B20" s="4" t="s">
        <x:v>46</x:v>
      </x:c>
    </x:row>
    <x:row r="22" s="2" customFormat="1">
      <x:c r="A22" s="3" t="s">
        <x:v>47</x:v>
      </x:c>
    </x:row>
    <x:row r="23">
      <x:c r="A23" s="4" t="s">
        <x:v>48</x:v>
      </x:c>
      <x:c r="B23" s="4" t="s">
        <x:v>49</x:v>
      </x:c>
    </x:row>
    <x:row r="24">
      <x:c r="A24" t="s">
        <x:v>50</x:v>
      </x:c>
      <x:c r="B24" t="s">
        <x:v>51</x:v>
      </x:c>
    </x:row>
    <x:row r="25">
      <x:c r="A25" t="s">
        <x:v>52</x:v>
      </x:c>
      <x:c r="B25" t="s">
        <x:v>53</x:v>
      </x:c>
    </x:row>
    <x:row r="26">
      <x:c r="A26" t="s">
        <x:v>54</x:v>
      </x:c>
      <x:c r="B26" t="s">
        <x:v>55</x:v>
      </x:c>
    </x:row>
    <x:row r="28" s="2" customFormat="1">
      <x:c r="A28" s="3" t="s">
        <x:v>56</x:v>
      </x:c>
    </x:row>
    <x:row r="29" s="5" customFormat="1">
      <x:c r="A29" s="5" t="s">
        <x:v>57</x:v>
      </x:c>
    </x:row>
    <x:row r="30" s="4" customFormat="1">
      <x:c r="A30" s="4" t="s">
        <x:v>58</x:v>
      </x:c>
    </x:row>
    <x:row r="31" s="4" customFormat="1">
      <x:c r="A31" s="4" t="s">
        <x:v>59</x:v>
      </x:c>
    </x:row>
    <x:row r="32" s="4" customFormat="1">
      <x:c r="A32" s="4" t="s">
        <x:v>60</x:v>
      </x:c>
    </x:row>
    <x:row r="33" s="4" customFormat="1">
      <x:c r="A33" s="4" t="s">
        <x:v>61</x:v>
      </x:c>
    </x:row>
    <x:row r="34">
      <x:c r="A34" t="s">
        <x:v>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customWidth="1"/>
    <x:col min="2" max="2" width="18" customWidth="1"/>
    <x:col min="3" max="3" width="60" style="6" customWidth="1"/>
    <x:col min="4" max="8" width="25" style="6" customWidth="1"/>
    <x:col min="9" max="9" width="20" customWidth="1"/>
    <x:col min="10" max="11" width="12" customWidth="1"/>
    <x:col min="12" max="12" width="46" style="6" customWidth="1"/>
    <x:col min="13" max="36" width="3" hidden="1" customWidth="1"/>
    <x:col min="37" max="37" width="28" hidden="0" customWidth="1"/>
  </x:cols>
  <x:sheetData>
    <x:row r="1">
      <x:c r="A1" s="7" t="s">
        <x:v>63</x:v>
      </x:c>
      <x:c r="B1" s="7" t="s">
        <x:v>64</x:v>
      </x:c>
      <x:c r="C1" s="7" t="s">
        <x:v>65</x:v>
      </x:c>
      <x:c r="D1" s="7" t="s">
        <x:v>66</x:v>
      </x:c>
      <x:c r="E1" s="7" t="s">
        <x:v>67</x:v>
      </x:c>
      <x:c r="F1" s="7" t="s">
        <x:v>68</x:v>
      </x:c>
      <x:c r="G1" s="7" t="s">
        <x:v>69</x:v>
      </x:c>
      <x:c r="H1" s="7" t="s">
        <x:v>70</x:v>
      </x:c>
      <x:c r="I1" s="7" t="s">
        <x:v>71</x:v>
      </x:c>
      <x:c r="J1" s="7" t="s">
        <x:v>72</x:v>
      </x:c>
      <x:c r="K1" s="7" t="s">
        <x:v>73</x:v>
      </x:c>
      <x:c r="L1" s="7" t="s">
        <x:v>74</x:v>
      </x:c>
      <x:c r="M1" t="s">
        <x:v>75</x:v>
      </x:c>
      <x:c r="N1" t="s">
        <x:v>76</x:v>
      </x:c>
      <x:c r="O1" t="s">
        <x:v>77</x:v>
      </x:c>
      <x:c r="P1" t="s">
        <x:v>78</x:v>
      </x:c>
      <x:c r="Q1" t="s">
        <x:v>79</x:v>
      </x:c>
      <x:c r="R1" t="s">
        <x:v>80</x:v>
      </x:c>
      <x:c r="S1" t="s">
        <x:v>81</x:v>
      </x:c>
      <x:c r="T1" t="s">
        <x:v>82</x:v>
      </x:c>
      <x:c r="U1" t="s">
        <x:v>83</x:v>
      </x:c>
      <x:c r="V1" t="s">
        <x:v>84</x:v>
      </x:c>
      <x:c r="W1" t="s">
        <x:v>85</x:v>
      </x:c>
      <x:c r="X1" t="s">
        <x:v>86</x:v>
      </x:c>
      <x:c r="Y1" t="s">
        <x:v>87</x:v>
      </x:c>
      <x:c r="Z1" t="s">
        <x:v>88</x:v>
      </x:c>
      <x:c r="AA1" t="s">
        <x:v>89</x:v>
      </x:c>
      <x:c r="AB1" t="s">
        <x:v>90</x:v>
      </x:c>
      <x:c r="AC1" t="s">
        <x:v>91</x:v>
      </x:c>
      <x:c r="AD1" t="s">
        <x:v>92</x:v>
      </x:c>
      <x:c r="AE1" t="s">
        <x:v>93</x:v>
      </x:c>
      <x:c r="AF1" t="s">
        <x:v>94</x:v>
      </x:c>
      <x:c r="AG1" t="s">
        <x:v>95</x:v>
      </x:c>
      <x:c r="AH1" t="s">
        <x:v>96</x:v>
      </x:c>
      <x:c r="AI1" t="s">
        <x:v>97</x:v>
      </x:c>
      <x:c r="AJ1" t="s">
        <x:v>98</x:v>
      </x:c>
      <x:c r="AK1" s="23" t="str">
        <x:v>imagen_base64</x:v>
      </x:c>
    </x:row>
    <x:row r="2" ht="24" customHeight="1">
      <x:c r="A2" s="8" t="s">
        <x:v>2</x:v>
      </x:c>
      <x:c r="B2" s="8" t="s">
        <x:v>2</x:v>
      </x:c>
      <x:c r="C2" s="9" t="str">
        <x:f>IF($A2="Emparejamiento Ampliado",VALIDACIONES!$I$1,IF($A2="Respuesta A/B/Ambas/Ninguna","I. "&amp;CHAR(10)&amp;"II. ",""))</x:f>
      </x:c>
      <x:c r="D2" s="8" t="str">
        <x:f>IF($A2="Verdadero o Falso Simple","Verdadero",IF($A2="Respuesta A/B/Ambas/Ninguna","A. Si la primera es verdadera",""))</x:f>
      </x:c>
      <x:c r="E2" s="8" t="str">
        <x:f>IF($A2="Verdadero o Falso Simple","Falso",IF($A2="Respuesta A/B/Ambas/Ninguna","B. Si la segunda es verdadera",""))</x:f>
      </x:c>
      <x:c r="F2" s="8" t="str">
        <x:f>IF($A2="Respuesta A/B/Ambas/Ninguna","C. Si ambas son verdaderas","")</x:f>
      </x:c>
      <x:c r="G2" s="8" t="str">
        <x:f>IF($A2="Respuesta A/B/Ambas/Ninguna","D. Si ninguna es verdadera","")</x:f>
      </x:c>
      <x:c r="H2" s="8" t="s">
        <x:v>2</x:v>
      </x:c>
      <x:c r="I2" s="8" t="str">
        <x:f>IF($A2="Verdadero o Falso Simple","A","")</x:f>
      </x:c>
      <x:c r="J2" s="8" t="s">
        <x:v>3</x:v>
      </x:c>
      <x:c r="K2" s="8" t="s">
        <x:v>4</x:v>
      </x:c>
      <x:c r="L2" s="10" t="str">
        <x:f>IF(TRIM($A2)="","",IF(COUNTIF($M2:$AG2,"?*")=0,"OK","Falta revisar: "&amp;$M2&amp;$N2&amp;$O2&amp;$P2&amp;$Q2&amp;$R2&amp;$S2&amp;$T2&amp;$U2&amp;$V2&amp;$W2&amp;$X2&amp;$Y2&amp;$Z2&amp;$AA2&amp;$AB2&amp;$AC2&amp;$AD2&amp;$AE2&amp;$AF2&amp;$AG2))</x:f>
        <x:v>OK</x:v>
      </x:c>
      <x:c r="M2" t="str">
        <x:f>IF(TRIM($C2)="","enunciado","")</x:f>
        <x:v>enunciado</x:v>
      </x:c>
      <x:c r="N2" t="str">
        <x:f>IF(TRIM($K2)="",IF(COUNTIF($M2:$M2,"?*")&gt;0,", ","")&amp;"parcial","")</x:f>
      </x:c>
      <x:c r="O2" t="str">
        <x:f>IF(AND(TRIM($K2)&lt;&gt;"",TRIM($K2)&lt;&gt;"EF"),IF(COUNTIF($M2:$N2,"?*")&gt;0,", ","")&amp;"parcial distinto a EF","")</x:f>
      </x:c>
      <x:c r="P2" t="str">
        <x:f>IF(AND(OR($A2="Ítems agrupados por caso clínico o problema",$A2="Subítem de caso o problema",$A2="Emparejamiento Ampliado",$A2="Opción de Emparejamiento Ampliado"),TRIM($B2)=""),IF(COUNTIF($M2:$O2,"?*")&gt;0,", ","")&amp;"grupo","")</x:f>
      </x:c>
      <x:c r="Q2" t="str">
        <x:f>IF(AND(OR($A2="Verdadero o Falso Simple",$A2="Respuesta A/B/Ambas/Ninguna",$A2="Verdadero o Falso Complejas",$A2="Selección de la mejor respuesta",$A2="Subítem de caso o problema",$A2="Opción de Emparejamiento Ampliado"),TRIM($I2)=""),IF(COUNTIF($M2:$P2,"?*")&gt;0,", ","")&amp;"respuesta_correcta","")</x:f>
      </x:c>
      <x:c r="R2" t="str">
        <x:f>IF(AND(OR($A2="Verdadero o Falso Simple",$A2="Respuesta A/B/Ambas/Ninguna",$A2="Verdadero o Falso Complejas",$A2="Selección de la mejor respuesta",$A2="Subítem de caso o problema",$A2="Opción de Emparejamiento Ampliado"),TRIM($J2)=""),IF(COUNTIF($M2:$Q2,"?*")&gt;0,", ","")&amp;"dificultad","")</x:f>
      </x:c>
      <x:c r="S2" t="str">
        <x:f>IF(AND(OR($A2="Ítems agrupados por caso clínico o problema",$A2="Emparejamiento Ampliado"),TRIM($I2)&lt;&gt;""),IF(COUNTIF($M2:$R2,"?*")&gt;0,", ","")&amp;"respuesta debe ir vacia","")</x:f>
      </x:c>
      <x:c r="T2" t="str">
        <x:f>IF(AND(OR($A2="Ítems agrupados por caso clínico o problema",$A2="Emparejamiento Ampliado"),TRIM($J2)&lt;&gt;""),IF(COUNTIF($M2:$S2,"?*")&gt;0,", ","")&amp;"dificultad debe ir vacia","")</x:f>
      </x:c>
      <x:c r="U2" t="str">
        <x:f>IF(AND($A2="Verdadero o Falso Simple",OR(COUNTIF($D2:$E2,"?*")&lt;2,COUNTIF($F2:$H2,"?*")&gt;0)),IF(COUNTIF($M2:$T2,"?*")&gt;0,", ","")&amp;"incisos A-B","")</x:f>
      </x:c>
      <x:c r="V2" t="str">
        <x:f>IF(AND($A2="Verdadero o Falso Simple",TRIM($I2)&lt;&gt;"",NOT(OR(LEFT(TRIM($I2),1)="A",LEFT(TRIM($I2),1)="B"))),IF(COUNTIF($M2:$U2,"?*")&gt;0,", ","")&amp;"respuesta A-B","")</x:f>
      </x:c>
      <x:c r="W2" t="str">
        <x:f>IF(AND($A2="Respuesta A/B/Ambas/Ninguna",COUNTIF($D2:$G2,"?*")&lt;4),IF(COUNTIF($M2:$V2,"?*")&gt;0,", ","")&amp;"opciones A-D","")</x:f>
      </x:c>
      <x:c r="X2" t="str">
        <x:f>IF(AND($A2="Respuesta A/B/Ambas/Ninguna",COUNTIF($H2:$H2,"?*")&gt;0),IF(COUNTIF($M2:$W2,"?*")&gt;0,", ","")&amp;"opcion E deshabilitada","")</x:f>
      </x:c>
      <x:c r="Y2" t="str">
        <x:f>IF(AND($A2="Respuesta A/B/Ambas/Ninguna",TRIM($I2)&lt;&gt;"",NOT(OR(LEFT(TRIM($I2),1)="A",LEFT(TRIM($I2),1)="B",LEFT(TRIM($I2),1)="C",LEFT(TRIM($I2),1)="D"))),IF(COUNTIF($M2:$X2,"?*")&gt;0,", ","")&amp;"respuesta A-D","")</x:f>
      </x:c>
      <x:c r="Z2" t="str">
        <x:f>IF(AND($A2="Verdadero o Falso Complejas",OR(LEN(TRIM(SUBSTITUTE($D2,"1.","")))=0,LEN(TRIM(SUBSTITUTE($E2,"2.","")))=0,LEN(TRIM(SUBSTITUTE($F2,"3.","")))=0,LEN(TRIM(SUBSTITUTE($G2,"4.","")))=0)),IF(COUNTIF($M2:$Y2,"?*")&gt;0,", ","")&amp;"incisos 1-4","")</x:f>
      </x:c>
      <x:c r="AA2" t="str">
        <x:f>IF(AND($A2="Verdadero o Falso Complejas",COUNTIF($H2:$H2,"?*")&gt;0),IF(COUNTIF($M2:$Z2,"?*")&gt;0,", ","")&amp;"opcion E deshabilitada","")</x:f>
      </x:c>
      <x:c r="AB2" t="str">
        <x:f>IF(AND($A2="Verdadero o Falso Complejas",TRIM($I2)&lt;&gt;"",NOT(OR(LEFT(TRIM($I2),1)="A",LEFT(TRIM($I2),1)="B",LEFT(TRIM($I2),1)="C",LEFT(TRIM($I2),1)="D",LEFT(TRIM($I2),1)="E"))),IF(COUNTIF($M2:$AA2,"?*")&gt;0,", ","")&amp;"respuesta A-E","")</x:f>
      </x:c>
      <x:c r="AC2" t="str">
        <x:f>IF(AND(OR($A2="Selección de la mejor respuesta",$A2="Subítem de caso o problema"),COUNTIF($D2:$H2,"?*")&lt;5),IF(COUNTIF($M2:$AB2,"?*")&gt;0,", ","")&amp;"incisos A-E","")</x:f>
      </x:c>
      <x:c r="AD2" t="str">
        <x:f>IF(AND(OR($A2="Selección de la mejor respuesta",$A2="Subítem de caso o problema"),TRIM($I2)&lt;&gt;"",NOT(OR(LEFT(TRIM($I2),1)="A",LEFT(TRIM($I2),1)="B",LEFT(TRIM($I2),1)="C",LEFT(TRIM($I2),1)="D",LEFT(TRIM($I2),1)="E"))),IF(COUNTIF($M2:$AC2,"?*")&gt;0,", ","")&amp;"respuesta A-E","")</x:f>
      </x:c>
      <x:c r="AE2" t="str">
        <x:f>IF(AND(OR($A2="Ítems agrupados por caso clínico o problema",$A2="Opción de Emparejamiento Ampliado"),COUNTIF($D2:$H2,"?*")&gt;0),IF(COUNTIF($M2:$AD2,"?*")&gt;0,", ","")&amp;"sin incisos","")</x:f>
      </x:c>
      <x:c r="AF2" t="str">
        <x:f>IF(AND($A2="Emparejamiento Ampliado",COUNTIF($D2:$H2,"?*")&lt;2),IF(COUNTIF($M2:$AE2,"?*")&gt;0,", ","")&amp;"minimo 2 claves","")</x:f>
      </x:c>
      <x:c r="AG2" t="str">
        <x:f>IF(AND($A2="Opción de Emparejamiento Ampliado",NOT(OR(LEFT(TRIM($I2),1)="A",LEFT(TRIM($I2),1)="B",LEFT(TRIM($I2),1)="C",LEFT(TRIM($I2),1)="D",LEFT(TRIM($I2),1)="E"))),IF(COUNTIF($M2:$AF2,"?*")&gt;0,", ","")&amp;"respuesta A-E","")</x:f>
      </x:c>
      <x:c r="AK2" s="26" t="str"/>
    </x:row>
    <x:row r="3" ht="24" customHeight="1">
      <x:c r="A3" s="8" t="s">
        <x:v>2</x:v>
      </x:c>
      <x:c r="B3" s="8" t="s">
        <x:v>2</x:v>
      </x:c>
      <x:c r="C3" s="9" t="str">
        <x:f>IF($A3="Emparejamiento Ampliado",VALIDACIONES!$I$1,IF($A3="Respuesta A/B/Ambas/Ninguna","I. "&amp;CHAR(10)&amp;"II. ",""))</x:f>
      </x:c>
      <x:c r="D3" s="8" t="str">
        <x:f>IF($A3="Verdadero o Falso Simple","Verdadero",IF($A3="Respuesta A/B/Ambas/Ninguna","A. Si la primera es verdadera",""))</x:f>
      </x:c>
      <x:c r="E3" s="8" t="str">
        <x:f>IF($A3="Verdadero o Falso Simple","Falso",IF($A3="Respuesta A/B/Ambas/Ninguna","B. Si la segunda es verdadera",""))</x:f>
      </x:c>
      <x:c r="F3" s="8" t="str">
        <x:f>IF($A3="Respuesta A/B/Ambas/Ninguna","C. Si ambas son verdaderas","")</x:f>
      </x:c>
      <x:c r="G3" s="8" t="str">
        <x:f>IF($A3="Respuesta A/B/Ambas/Ninguna","D. Si ninguna es verdadera","")</x:f>
      </x:c>
      <x:c r="H3" s="8" t="s">
        <x:v>2</x:v>
      </x:c>
      <x:c r="I3" s="8" t="str">
        <x:f>IF($A3="Verdadero o Falso Simple","A","")</x:f>
      </x:c>
      <x:c r="J3" s="8" t="s">
        <x:v>3</x:v>
      </x:c>
      <x:c r="K3" s="8" t="s">
        <x:v>4</x:v>
      </x:c>
      <x:c r="L3" s="10" t="str">
        <x:f>IF(TRIM($A3)="","",IF(COUNTIF($M3:$AG3,"?*")=0,"OK","Falta revisar: "&amp;$M3&amp;$N3&amp;$O3&amp;$P3&amp;$Q3&amp;$R3&amp;$S3&amp;$T3&amp;$U3&amp;$V3&amp;$W3&amp;$X3&amp;$Y3&amp;$Z3&amp;$AA3&amp;$AB3&amp;$AC3&amp;$AD3&amp;$AE3&amp;$AF3&amp;$AG3))</x:f>
        <x:v>OK</x:v>
      </x:c>
      <x:c r="M3" t="str">
        <x:f>IF(TRIM($C3)="","enunciado","")</x:f>
        <x:v>enunciado</x:v>
      </x:c>
      <x:c r="N3" t="str">
        <x:f>IF(TRIM($K3)="",IF(COUNTIF($M3:$M3,"?*")&gt;0,", ","")&amp;"parcial","")</x:f>
      </x:c>
      <x:c r="O3" t="str">
        <x:f>IF(AND(TRIM($K3)&lt;&gt;"",TRIM($K3)&lt;&gt;"EF"),IF(COUNTIF($M3:$N3,"?*")&gt;0,", ","")&amp;"parcial distinto a EF","")</x:f>
      </x:c>
      <x:c r="P3" t="str">
        <x:f>IF(AND(OR($A3="Ítems agrupados por caso clínico o problema",$A3="Subítem de caso o problema",$A3="Emparejamiento Ampliado",$A3="Opción de Emparejamiento Ampliado"),TRIM($B3)=""),IF(COUNTIF($M3:$O3,"?*")&gt;0,", ","")&amp;"grupo","")</x:f>
      </x:c>
      <x:c r="Q3" t="str">
        <x:f>IF(AND(OR($A3="Verdadero o Falso Simple",$A3="Respuesta A/B/Ambas/Ninguna",$A3="Verdadero o Falso Complejas",$A3="Selección de la mejor respuesta",$A3="Subítem de caso o problema",$A3="Opción de Emparejamiento Ampliado"),TRIM($I3)=""),IF(COUNTIF($M3:$P3,"?*")&gt;0,", ","")&amp;"respuesta_correcta","")</x:f>
      </x:c>
      <x:c r="R3" t="str">
        <x:f>IF(AND(OR($A3="Verdadero o Falso Simple",$A3="Respuesta A/B/Ambas/Ninguna",$A3="Verdadero o Falso Complejas",$A3="Selección de la mejor respuesta",$A3="Subítem de caso o problema",$A3="Opción de Emparejamiento Ampliado"),TRIM($J3)=""),IF(COUNTIF($M3:$Q3,"?*")&gt;0,", ","")&amp;"dificultad","")</x:f>
      </x:c>
      <x:c r="S3" t="str">
        <x:f>IF(AND(OR($A3="Ítems agrupados por caso clínico o problema",$A3="Emparejamiento Ampliado"),TRIM($I3)&lt;&gt;""),IF(COUNTIF($M3:$R3,"?*")&gt;0,", ","")&amp;"respuesta debe ir vacia","")</x:f>
      </x:c>
      <x:c r="T3" t="str">
        <x:f>IF(AND(OR($A3="Ítems agrupados por caso clínico o problema",$A3="Emparejamiento Ampliado"),TRIM($J3)&lt;&gt;""),IF(COUNTIF($M3:$S3,"?*")&gt;0,", ","")&amp;"dificultad debe ir vacia","")</x:f>
      </x:c>
      <x:c r="U3" t="str">
        <x:f>IF(AND($A3="Verdadero o Falso Simple",OR(COUNTIF($D3:$E3,"?*")&lt;2,COUNTIF($F3:$H3,"?*")&gt;0)),IF(COUNTIF($M3:$T3,"?*")&gt;0,", ","")&amp;"incisos A-B","")</x:f>
      </x:c>
      <x:c r="V3" t="str">
        <x:f>IF(AND($A3="Verdadero o Falso Simple",TRIM($I3)&lt;&gt;"",NOT(OR(LEFT(TRIM($I3),1)="A",LEFT(TRIM($I3),1)="B"))),IF(COUNTIF($M3:$U3,"?*")&gt;0,", ","")&amp;"respuesta A-B","")</x:f>
      </x:c>
      <x:c r="W3" t="str">
        <x:f>IF(AND($A3="Respuesta A/B/Ambas/Ninguna",COUNTIF($D3:$G3,"?*")&lt;4),IF(COUNTIF($M3:$V3,"?*")&gt;0,", ","")&amp;"opciones A-D","")</x:f>
      </x:c>
      <x:c r="X3" t="str">
        <x:f>IF(AND($A3="Respuesta A/B/Ambas/Ninguna",COUNTIF($H3:$H3,"?*")&gt;0),IF(COUNTIF($M3:$W3,"?*")&gt;0,", ","")&amp;"opcion E deshabilitada","")</x:f>
      </x:c>
      <x:c r="Y3" t="str">
        <x:f>IF(AND($A3="Respuesta A/B/Ambas/Ninguna",TRIM($I3)&lt;&gt;"",NOT(OR(LEFT(TRIM($I3),1)="A",LEFT(TRIM($I3),1)="B",LEFT(TRIM($I3),1)="C",LEFT(TRIM($I3),1)="D"))),IF(COUNTIF($M3:$X3,"?*")&gt;0,", ","")&amp;"respuesta A-D","")</x:f>
      </x:c>
      <x:c r="Z3" t="str">
        <x:f>IF(AND($A3="Verdadero o Falso Complejas",OR(LEN(TRIM(SUBSTITUTE($D3,"1.","")))=0,LEN(TRIM(SUBSTITUTE($E3,"2.","")))=0,LEN(TRIM(SUBSTITUTE($F3,"3.","")))=0,LEN(TRIM(SUBSTITUTE($G3,"4.","")))=0)),IF(COUNTIF($M3:$Y3,"?*")&gt;0,", ","")&amp;"incisos 1-4","")</x:f>
      </x:c>
      <x:c r="AA3" t="str">
        <x:f>IF(AND($A3="Verdadero o Falso Complejas",COUNTIF($H3:$H3,"?*")&gt;0),IF(COUNTIF($M3:$Z3,"?*")&gt;0,", ","")&amp;"opcion E deshabilitada","")</x:f>
      </x:c>
      <x:c r="AB3" t="str">
        <x:f>IF(AND($A3="Verdadero o Falso Complejas",TRIM($I3)&lt;&gt;"",NOT(OR(LEFT(TRIM($I3),1)="A",LEFT(TRIM($I3),1)="B",LEFT(TRIM($I3),1)="C",LEFT(TRIM($I3),1)="D",LEFT(TRIM($I3),1)="E"))),IF(COUNTIF($M3:$AA3,"?*")&gt;0,", ","")&amp;"respuesta A-E","")</x:f>
      </x:c>
      <x:c r="AC3" t="str">
        <x:f>IF(AND(OR($A3="Selección de la mejor respuesta",$A3="Subítem de caso o problema"),COUNTIF($D3:$H3,"?*")&lt;5),IF(COUNTIF($M3:$AB3,"?*")&gt;0,", ","")&amp;"incisos A-E","")</x:f>
      </x:c>
      <x:c r="AD3" t="str">
        <x:f>IF(AND(OR($A3="Selección de la mejor respuesta",$A3="Subítem de caso o problema"),TRIM($I3)&lt;&gt;"",NOT(OR(LEFT(TRIM($I3),1)="A",LEFT(TRIM($I3),1)="B",LEFT(TRIM($I3),1)="C",LEFT(TRIM($I3),1)="D",LEFT(TRIM($I3),1)="E"))),IF(COUNTIF($M3:$AC3,"?*")&gt;0,", ","")&amp;"respuesta A-E","")</x:f>
      </x:c>
      <x:c r="AE3" t="str">
        <x:f>IF(AND(OR($A3="Ítems agrupados por caso clínico o problema",$A3="Opción de Emparejamiento Ampliado"),COUNTIF($D3:$H3,"?*")&gt;0),IF(COUNTIF($M3:$AD3,"?*")&gt;0,", ","")&amp;"sin incisos","")</x:f>
      </x:c>
      <x:c r="AF3" t="str">
        <x:f>IF(AND($A3="Emparejamiento Ampliado",COUNTIF($D3:$H3,"?*")&lt;2),IF(COUNTIF($M3:$AE3,"?*")&gt;0,", ","")&amp;"minimo 2 claves","")</x:f>
      </x:c>
      <x:c r="AG3" t="str">
        <x:f>IF(AND($A3="Opción de Emparejamiento Ampliado",NOT(OR(LEFT(TRIM($I3),1)="A",LEFT(TRIM($I3),1)="B",LEFT(TRIM($I3),1)="C",LEFT(TRIM($I3),1)="D",LEFT(TRIM($I3),1)="E"))),IF(COUNTIF($M3:$AF3,"?*")&gt;0,", ","")&amp;"respuesta A-E","")</x:f>
      </x:c>
      <x:c r="AK3" s="26" t="str"/>
    </x:row>
    <x:row r="4" ht="24" customHeight="1">
      <x:c r="A4" s="8" t="s">
        <x:v>2</x:v>
      </x:c>
      <x:c r="B4" s="8" t="s">
        <x:v>2</x:v>
      </x:c>
      <x:c r="C4" s="9" t="str">
        <x:f>IF($A4="Emparejamiento Ampliado",VALIDACIONES!$I$1,IF($A4="Respuesta A/B/Ambas/Ninguna","I. "&amp;CHAR(10)&amp;"II. ",""))</x:f>
      </x:c>
      <x:c r="D4" s="8" t="str">
        <x:f>IF($A4="Verdadero o Falso Simple","Verdadero",IF($A4="Respuesta A/B/Ambas/Ninguna","A. Si la primera es verdadera",""))</x:f>
      </x:c>
      <x:c r="E4" s="8" t="str">
        <x:f>IF($A4="Verdadero o Falso Simple","Falso",IF($A4="Respuesta A/B/Ambas/Ninguna","B. Si la segunda es verdadera",""))</x:f>
      </x:c>
      <x:c r="F4" s="8" t="str">
        <x:f>IF($A4="Respuesta A/B/Ambas/Ninguna","C. Si ambas son verdaderas","")</x:f>
      </x:c>
      <x:c r="G4" s="8" t="str">
        <x:f>IF($A4="Respuesta A/B/Ambas/Ninguna","D. Si ninguna es verdadera","")</x:f>
      </x:c>
      <x:c r="H4" s="8" t="s">
        <x:v>2</x:v>
      </x:c>
      <x:c r="I4" s="8" t="str">
        <x:f>IF($A4="Verdadero o Falso Simple","A","")</x:f>
      </x:c>
      <x:c r="J4" s="8" t="s">
        <x:v>3</x:v>
      </x:c>
      <x:c r="K4" s="8" t="s">
        <x:v>4</x:v>
      </x:c>
      <x:c r="L4" s="10" t="str">
        <x:f>IF(TRIM($A4)="","",IF(COUNTIF($M4:$AG4,"?*")=0,"OK","Falta revisar: "&amp;$M4&amp;$N4&amp;$O4&amp;$P4&amp;$Q4&amp;$R4&amp;$S4&amp;$T4&amp;$U4&amp;$V4&amp;$W4&amp;$X4&amp;$Y4&amp;$Z4&amp;$AA4&amp;$AB4&amp;$AC4&amp;$AD4&amp;$AE4&amp;$AF4&amp;$AG4))</x:f>
        <x:v>OK</x:v>
      </x:c>
      <x:c r="M4" t="str">
        <x:f>IF(TRIM($C4)="","enunciado","")</x:f>
        <x:v>enunciado</x:v>
      </x:c>
      <x:c r="N4" t="str">
        <x:f>IF(TRIM($K4)="",IF(COUNTIF($M4:$M4,"?*")&gt;0,", ","")&amp;"parcial","")</x:f>
      </x:c>
      <x:c r="O4" t="str">
        <x:f>IF(AND(TRIM($K4)&lt;&gt;"",TRIM($K4)&lt;&gt;"EF"),IF(COUNTIF($M4:$N4,"?*")&gt;0,", ","")&amp;"parcial distinto a EF","")</x:f>
      </x:c>
      <x:c r="P4" t="str">
        <x:f>IF(AND(OR($A4="Ítems agrupados por caso clínico o problema",$A4="Subítem de caso o problema",$A4="Emparejamiento Ampliado",$A4="Opción de Emparejamiento Ampliado"),TRIM($B4)=""),IF(COUNTIF($M4:$O4,"?*")&gt;0,", ","")&amp;"grupo","")</x:f>
      </x:c>
      <x:c r="Q4" t="str">
        <x:f>IF(AND(OR($A4="Verdadero o Falso Simple",$A4="Respuesta A/B/Ambas/Ninguna",$A4="Verdadero o Falso Complejas",$A4="Selección de la mejor respuesta",$A4="Subítem de caso o problema",$A4="Opción de Emparejamiento Ampliado"),TRIM($I4)=""),IF(COUNTIF($M4:$P4,"?*")&gt;0,", ","")&amp;"respuesta_correcta","")</x:f>
      </x:c>
      <x:c r="R4" t="str">
        <x:f>IF(AND(OR($A4="Verdadero o Falso Simple",$A4="Respuesta A/B/Ambas/Ninguna",$A4="Verdadero o Falso Complejas",$A4="Selección de la mejor respuesta",$A4="Subítem de caso o problema",$A4="Opción de Emparejamiento Ampliado"),TRIM($J4)=""),IF(COUNTIF($M4:$Q4,"?*")&gt;0,", ","")&amp;"dificultad","")</x:f>
      </x:c>
      <x:c r="S4" t="str">
        <x:f>IF(AND(OR($A4="Ítems agrupados por caso clínico o problema",$A4="Emparejamiento Ampliado"),TRIM($I4)&lt;&gt;""),IF(COUNTIF($M4:$R4,"?*")&gt;0,", ","")&amp;"respuesta debe ir vacia","")</x:f>
      </x:c>
      <x:c r="T4" t="str">
        <x:f>IF(AND(OR($A4="Ítems agrupados por caso clínico o problema",$A4="Emparejamiento Ampliado"),TRIM($J4)&lt;&gt;""),IF(COUNTIF($M4:$S4,"?*")&gt;0,", ","")&amp;"dificultad debe ir vacia","")</x:f>
      </x:c>
      <x:c r="U4" t="str">
        <x:f>IF(AND($A4="Verdadero o Falso Simple",OR(COUNTIF($D4:$E4,"?*")&lt;2,COUNTIF($F4:$H4,"?*")&gt;0)),IF(COUNTIF($M4:$T4,"?*")&gt;0,", ","")&amp;"incisos A-B","")</x:f>
      </x:c>
      <x:c r="V4" t="str">
        <x:f>IF(AND($A4="Verdadero o Falso Simple",TRIM($I4)&lt;&gt;"",NOT(OR(LEFT(TRIM($I4),1)="A",LEFT(TRIM($I4),1)="B"))),IF(COUNTIF($M4:$U4,"?*")&gt;0,", ","")&amp;"respuesta A-B","")</x:f>
      </x:c>
      <x:c r="W4" t="str">
        <x:f>IF(AND($A4="Respuesta A/B/Ambas/Ninguna",COUNTIF($D4:$G4,"?*")&lt;4),IF(COUNTIF($M4:$V4,"?*")&gt;0,", ","")&amp;"opciones A-D","")</x:f>
      </x:c>
      <x:c r="X4" t="str">
        <x:f>IF(AND($A4="Respuesta A/B/Ambas/Ninguna",COUNTIF($H4:$H4,"?*")&gt;0),IF(COUNTIF($M4:$W4,"?*")&gt;0,", ","")&amp;"opcion E deshabilitada","")</x:f>
      </x:c>
      <x:c r="Y4" t="str">
        <x:f>IF(AND($A4="Respuesta A/B/Ambas/Ninguna",TRIM($I4)&lt;&gt;"",NOT(OR(LEFT(TRIM($I4),1)="A",LEFT(TRIM($I4),1)="B",LEFT(TRIM($I4),1)="C",LEFT(TRIM($I4),1)="D"))),IF(COUNTIF($M4:$X4,"?*")&gt;0,", ","")&amp;"respuesta A-D","")</x:f>
      </x:c>
      <x:c r="Z4" t="str">
        <x:f>IF(AND($A4="Verdadero o Falso Complejas",OR(LEN(TRIM(SUBSTITUTE($D4,"1.","")))=0,LEN(TRIM(SUBSTITUTE($E4,"2.","")))=0,LEN(TRIM(SUBSTITUTE($F4,"3.","")))=0,LEN(TRIM(SUBSTITUTE($G4,"4.","")))=0)),IF(COUNTIF($M4:$Y4,"?*")&gt;0,", ","")&amp;"incisos 1-4","")</x:f>
      </x:c>
      <x:c r="AA4" t="str">
        <x:f>IF(AND($A4="Verdadero o Falso Complejas",COUNTIF($H4:$H4,"?*")&gt;0),IF(COUNTIF($M4:$Z4,"?*")&gt;0,", ","")&amp;"opcion E deshabilitada","")</x:f>
      </x:c>
      <x:c r="AB4" t="str">
        <x:f>IF(AND($A4="Verdadero o Falso Complejas",TRIM($I4)&lt;&gt;"",NOT(OR(LEFT(TRIM($I4),1)="A",LEFT(TRIM($I4),1)="B",LEFT(TRIM($I4),1)="C",LEFT(TRIM($I4),1)="D",LEFT(TRIM($I4),1)="E"))),IF(COUNTIF($M4:$AA4,"?*")&gt;0,", ","")&amp;"respuesta A-E","")</x:f>
      </x:c>
      <x:c r="AC4" t="str">
        <x:f>IF(AND(OR($A4="Selección de la mejor respuesta",$A4="Subítem de caso o problema"),COUNTIF($D4:$H4,"?*")&lt;5),IF(COUNTIF($M4:$AB4,"?*")&gt;0,", ","")&amp;"incisos A-E","")</x:f>
      </x:c>
      <x:c r="AD4" t="str">
        <x:f>IF(AND(OR($A4="Selección de la mejor respuesta",$A4="Subítem de caso o problema"),TRIM($I4)&lt;&gt;"",NOT(OR(LEFT(TRIM($I4),1)="A",LEFT(TRIM($I4),1)="B",LEFT(TRIM($I4),1)="C",LEFT(TRIM($I4),1)="D",LEFT(TRIM($I4),1)="E"))),IF(COUNTIF($M4:$AC4,"?*")&gt;0,", ","")&amp;"respuesta A-E","")</x:f>
      </x:c>
      <x:c r="AE4" t="str">
        <x:f>IF(AND(OR($A4="Ítems agrupados por caso clínico o problema",$A4="Opción de Emparejamiento Ampliado"),COUNTIF($D4:$H4,"?*")&gt;0),IF(COUNTIF($M4:$AD4,"?*")&gt;0,", ","")&amp;"sin incisos","")</x:f>
      </x:c>
      <x:c r="AF4" t="str">
        <x:f>IF(AND($A4="Emparejamiento Ampliado",COUNTIF($D4:$H4,"?*")&lt;2),IF(COUNTIF($M4:$AE4,"?*")&gt;0,", ","")&amp;"minimo 2 claves","")</x:f>
      </x:c>
      <x:c r="AG4" t="str">
        <x:f>IF(AND($A4="Opción de Emparejamiento Ampliado",NOT(OR(LEFT(TRIM($I4),1)="A",LEFT(TRIM($I4),1)="B",LEFT(TRIM($I4),1)="C",LEFT(TRIM($I4),1)="D",LEFT(TRIM($I4),1)="E"))),IF(COUNTIF($M4:$AF4,"?*")&gt;0,", ","")&amp;"respuesta A-E","")</x:f>
      </x:c>
      <x:c r="AK4" s="26" t="str"/>
    </x:row>
    <x:row r="5" ht="24" customHeight="1">
      <x:c r="A5" s="8" t="s">
        <x:v>2</x:v>
      </x:c>
      <x:c r="B5" s="8" t="s">
        <x:v>2</x:v>
      </x:c>
      <x:c r="C5" s="9" t="str">
        <x:f>IF($A5="Emparejamiento Ampliado",VALIDACIONES!$I$1,IF($A5="Respuesta A/B/Ambas/Ninguna","I. "&amp;CHAR(10)&amp;"II. ",""))</x:f>
      </x:c>
      <x:c r="D5" s="8" t="str">
        <x:f>IF($A5="Verdadero o Falso Simple","Verdadero",IF($A5="Respuesta A/B/Ambas/Ninguna","A. Si la primera es verdadera",""))</x:f>
      </x:c>
      <x:c r="E5" s="8" t="str">
        <x:f>IF($A5="Verdadero o Falso Simple","Falso",IF($A5="Respuesta A/B/Ambas/Ninguna","B. Si la segunda es verdadera",""))</x:f>
      </x:c>
      <x:c r="F5" s="8" t="str">
        <x:f>IF($A5="Respuesta A/B/Ambas/Ninguna","C. Si ambas son verdaderas","")</x:f>
      </x:c>
      <x:c r="G5" s="8" t="str">
        <x:f>IF($A5="Respuesta A/B/Ambas/Ninguna","D. Si ninguna es verdadera","")</x:f>
      </x:c>
      <x:c r="H5" s="8" t="s">
        <x:v>2</x:v>
      </x:c>
      <x:c r="I5" s="8" t="str">
        <x:f>IF($A5="Verdadero o Falso Simple","A","")</x:f>
      </x:c>
      <x:c r="J5" s="8" t="s">
        <x:v>3</x:v>
      </x:c>
      <x:c r="K5" s="8" t="s">
        <x:v>4</x:v>
      </x:c>
      <x:c r="L5" s="10" t="str">
        <x:f>IF(TRIM($A5)="","",IF(COUNTIF($M5:$AG5,"?*")=0,"OK","Falta revisar: "&amp;$M5&amp;$N5&amp;$O5&amp;$P5&amp;$Q5&amp;$R5&amp;$S5&amp;$T5&amp;$U5&amp;$V5&amp;$W5&amp;$X5&amp;$Y5&amp;$Z5&amp;$AA5&amp;$AB5&amp;$AC5&amp;$AD5&amp;$AE5&amp;$AF5&amp;$AG5))</x:f>
        <x:v>OK</x:v>
      </x:c>
      <x:c r="M5" t="str">
        <x:f>IF(TRIM($C5)="","enunciado","")</x:f>
        <x:v>enunciado</x:v>
      </x:c>
      <x:c r="N5" t="str">
        <x:f>IF(TRIM($K5)="",IF(COUNTIF($M5:$M5,"?*")&gt;0,", ","")&amp;"parcial","")</x:f>
      </x:c>
      <x:c r="O5" t="str">
        <x:f>IF(AND(TRIM($K5)&lt;&gt;"",TRIM($K5)&lt;&gt;"EF"),IF(COUNTIF($M5:$N5,"?*")&gt;0,", ","")&amp;"parcial distinto a EF","")</x:f>
      </x:c>
      <x:c r="P5" t="str">
        <x:f>IF(AND(OR($A5="Ítems agrupados por caso clínico o problema",$A5="Subítem de caso o problema",$A5="Emparejamiento Ampliado",$A5="Opción de Emparejamiento Ampliado"),TRIM($B5)=""),IF(COUNTIF($M5:$O5,"?*")&gt;0,", ","")&amp;"grupo","")</x:f>
      </x:c>
      <x:c r="Q5" t="str">
        <x:f>IF(AND(OR($A5="Verdadero o Falso Simple",$A5="Respuesta A/B/Ambas/Ninguna",$A5="Verdadero o Falso Complejas",$A5="Selección de la mejor respuesta",$A5="Subítem de caso o problema",$A5="Opción de Emparejamiento Ampliado"),TRIM($I5)=""),IF(COUNTIF($M5:$P5,"?*")&gt;0,", ","")&amp;"respuesta_correcta","")</x:f>
      </x:c>
      <x:c r="R5" t="str">
        <x:f>IF(AND(OR($A5="Verdadero o Falso Simple",$A5="Respuesta A/B/Ambas/Ninguna",$A5="Verdadero o Falso Complejas",$A5="Selección de la mejor respuesta",$A5="Subítem de caso o problema",$A5="Opción de Emparejamiento Ampliado"),TRIM($J5)=""),IF(COUNTIF($M5:$Q5,"?*")&gt;0,", ","")&amp;"dificultad","")</x:f>
      </x:c>
      <x:c r="S5" t="str">
        <x:f>IF(AND(OR($A5="Ítems agrupados por caso clínico o problema",$A5="Emparejamiento Ampliado"),TRIM($I5)&lt;&gt;""),IF(COUNTIF($M5:$R5,"?*")&gt;0,", ","")&amp;"respuesta debe ir vacia","")</x:f>
      </x:c>
      <x:c r="T5" t="str">
        <x:f>IF(AND(OR($A5="Ítems agrupados por caso clínico o problema",$A5="Emparejamiento Ampliado"),TRIM($J5)&lt;&gt;""),IF(COUNTIF($M5:$S5,"?*")&gt;0,", ","")&amp;"dificultad debe ir vacia","")</x:f>
      </x:c>
      <x:c r="U5" t="str">
        <x:f>IF(AND($A5="Verdadero o Falso Simple",OR(COUNTIF($D5:$E5,"?*")&lt;2,COUNTIF($F5:$H5,"?*")&gt;0)),IF(COUNTIF($M5:$T5,"?*")&gt;0,", ","")&amp;"incisos A-B","")</x:f>
      </x:c>
      <x:c r="V5" t="str">
        <x:f>IF(AND($A5="Verdadero o Falso Simple",TRIM($I5)&lt;&gt;"",NOT(OR(LEFT(TRIM($I5),1)="A",LEFT(TRIM($I5),1)="B"))),IF(COUNTIF($M5:$U5,"?*")&gt;0,", ","")&amp;"respuesta A-B","")</x:f>
      </x:c>
      <x:c r="W5" t="str">
        <x:f>IF(AND($A5="Respuesta A/B/Ambas/Ninguna",COUNTIF($D5:$G5,"?*")&lt;4),IF(COUNTIF($M5:$V5,"?*")&gt;0,", ","")&amp;"opciones A-D","")</x:f>
      </x:c>
      <x:c r="X5" t="str">
        <x:f>IF(AND($A5="Respuesta A/B/Ambas/Ninguna",COUNTIF($H5:$H5,"?*")&gt;0),IF(COUNTIF($M5:$W5,"?*")&gt;0,", ","")&amp;"opcion E deshabilitada","")</x:f>
      </x:c>
      <x:c r="Y5" t="str">
        <x:f>IF(AND($A5="Respuesta A/B/Ambas/Ninguna",TRIM($I5)&lt;&gt;"",NOT(OR(LEFT(TRIM($I5),1)="A",LEFT(TRIM($I5),1)="B",LEFT(TRIM($I5),1)="C",LEFT(TRIM($I5),1)="D"))),IF(COUNTIF($M5:$X5,"?*")&gt;0,", ","")&amp;"respuesta A-D","")</x:f>
      </x:c>
      <x:c r="Z5" t="str">
        <x:f>IF(AND($A5="Verdadero o Falso Complejas",OR(LEN(TRIM(SUBSTITUTE($D5,"1.","")))=0,LEN(TRIM(SUBSTITUTE($E5,"2.","")))=0,LEN(TRIM(SUBSTITUTE($F5,"3.","")))=0,LEN(TRIM(SUBSTITUTE($G5,"4.","")))=0)),IF(COUNTIF($M5:$Y5,"?*")&gt;0,", ","")&amp;"incisos 1-4","")</x:f>
      </x:c>
      <x:c r="AA5" t="str">
        <x:f>IF(AND($A5="Verdadero o Falso Complejas",COUNTIF($H5:$H5,"?*")&gt;0),IF(COUNTIF($M5:$Z5,"?*")&gt;0,", ","")&amp;"opcion E deshabilitada","")</x:f>
      </x:c>
      <x:c r="AB5" t="str">
        <x:f>IF(AND($A5="Verdadero o Falso Complejas",TRIM($I5)&lt;&gt;"",NOT(OR(LEFT(TRIM($I5),1)="A",LEFT(TRIM($I5),1)="B",LEFT(TRIM($I5),1)="C",LEFT(TRIM($I5),1)="D",LEFT(TRIM($I5),1)="E"))),IF(COUNTIF($M5:$AA5,"?*")&gt;0,", ","")&amp;"respuesta A-E","")</x:f>
      </x:c>
      <x:c r="AC5" t="str">
        <x:f>IF(AND(OR($A5="Selección de la mejor respuesta",$A5="Subítem de caso o problema"),COUNTIF($D5:$H5,"?*")&lt;5),IF(COUNTIF($M5:$AB5,"?*")&gt;0,", ","")&amp;"incisos A-E","")</x:f>
      </x:c>
      <x:c r="AD5" t="str">
        <x:f>IF(AND(OR($A5="Selección de la mejor respuesta",$A5="Subítem de caso o problema"),TRIM($I5)&lt;&gt;"",NOT(OR(LEFT(TRIM($I5),1)="A",LEFT(TRIM($I5),1)="B",LEFT(TRIM($I5),1)="C",LEFT(TRIM($I5),1)="D",LEFT(TRIM($I5),1)="E"))),IF(COUNTIF($M5:$AC5,"?*")&gt;0,", ","")&amp;"respuesta A-E","")</x:f>
      </x:c>
      <x:c r="AE5" t="str">
        <x:f>IF(AND(OR($A5="Ítems agrupados por caso clínico o problema",$A5="Opción de Emparejamiento Ampliado"),COUNTIF($D5:$H5,"?*")&gt;0),IF(COUNTIF($M5:$AD5,"?*")&gt;0,", ","")&amp;"sin incisos","")</x:f>
      </x:c>
      <x:c r="AF5" t="str">
        <x:f>IF(AND($A5="Emparejamiento Ampliado",COUNTIF($D5:$H5,"?*")&lt;2),IF(COUNTIF($M5:$AE5,"?*")&gt;0,", ","")&amp;"minimo 2 claves","")</x:f>
      </x:c>
      <x:c r="AG5" t="str">
        <x:f>IF(AND($A5="Opción de Emparejamiento Ampliado",NOT(OR(LEFT(TRIM($I5),1)="A",LEFT(TRIM($I5),1)="B",LEFT(TRIM($I5),1)="C",LEFT(TRIM($I5),1)="D",LEFT(TRIM($I5),1)="E"))),IF(COUNTIF($M5:$AF5,"?*")&gt;0,", ","")&amp;"respuesta A-E","")</x:f>
      </x:c>
      <x:c r="AK5" s="26" t="str"/>
    </x:row>
    <x:row r="6" ht="24" customHeight="1">
      <x:c r="A6" s="8" t="s">
        <x:v>2</x:v>
      </x:c>
      <x:c r="B6" s="8" t="s">
        <x:v>2</x:v>
      </x:c>
      <x:c r="C6" s="9" t="str">
        <x:f>IF($A6="Emparejamiento Ampliado",VALIDACIONES!$I$1,IF($A6="Respuesta A/B/Ambas/Ninguna","I. "&amp;CHAR(10)&amp;"II. ",""))</x:f>
      </x:c>
      <x:c r="D6" s="8" t="str">
        <x:f>IF($A6="Verdadero o Falso Simple","Verdadero",IF($A6="Respuesta A/B/Ambas/Ninguna","A. Si la primera es verdadera",""))</x:f>
      </x:c>
      <x:c r="E6" s="8" t="str">
        <x:f>IF($A6="Verdadero o Falso Simple","Falso",IF($A6="Respuesta A/B/Ambas/Ninguna","B. Si la segunda es verdadera",""))</x:f>
      </x:c>
      <x:c r="F6" s="8" t="str">
        <x:f>IF($A6="Respuesta A/B/Ambas/Ninguna","C. Si ambas son verdaderas","")</x:f>
      </x:c>
      <x:c r="G6" s="8" t="str">
        <x:f>IF($A6="Respuesta A/B/Ambas/Ninguna","D. Si ninguna es verdadera","")</x:f>
      </x:c>
      <x:c r="H6" s="8" t="s">
        <x:v>2</x:v>
      </x:c>
      <x:c r="I6" s="8" t="str">
        <x:f>IF($A6="Verdadero o Falso Simple","A","")</x:f>
      </x:c>
      <x:c r="J6" s="8" t="s">
        <x:v>3</x:v>
      </x:c>
      <x:c r="K6" s="8" t="s">
        <x:v>4</x:v>
      </x:c>
      <x:c r="L6" s="10" t="str">
        <x:f>IF(TRIM($A6)="","",IF(COUNTIF($M6:$AG6,"?*")=0,"OK","Falta revisar: "&amp;$M6&amp;$N6&amp;$O6&amp;$P6&amp;$Q6&amp;$R6&amp;$S6&amp;$T6&amp;$U6&amp;$V6&amp;$W6&amp;$X6&amp;$Y6&amp;$Z6&amp;$AA6&amp;$AB6&amp;$AC6&amp;$AD6&amp;$AE6&amp;$AF6&amp;$AG6))</x:f>
        <x:v>OK</x:v>
      </x:c>
      <x:c r="M6" t="str">
        <x:f>IF(TRIM($C6)="","enunciado","")</x:f>
        <x:v>enunciado</x:v>
      </x:c>
      <x:c r="N6" t="str">
        <x:f>IF(TRIM($K6)="",IF(COUNTIF($M6:$M6,"?*")&gt;0,", ","")&amp;"parcial","")</x:f>
      </x:c>
      <x:c r="O6" t="str">
        <x:f>IF(AND(TRIM($K6)&lt;&gt;"",TRIM($K6)&lt;&gt;"EF"),IF(COUNTIF($M6:$N6,"?*")&gt;0,", ","")&amp;"parcial distinto a EF","")</x:f>
      </x:c>
      <x:c r="P6" t="str">
        <x:f>IF(AND(OR($A6="Ítems agrupados por caso clínico o problema",$A6="Subítem de caso o problema",$A6="Emparejamiento Ampliado",$A6="Opción de Emparejamiento Ampliado"),TRIM($B6)=""),IF(COUNTIF($M6:$O6,"?*")&gt;0,", ","")&amp;"grupo","")</x:f>
      </x:c>
      <x:c r="Q6" t="str">
        <x:f>IF(AND(OR($A6="Verdadero o Falso Simple",$A6="Respuesta A/B/Ambas/Ninguna",$A6="Verdadero o Falso Complejas",$A6="Selección de la mejor respuesta",$A6="Subítem de caso o problema",$A6="Opción de Emparejamiento Ampliado"),TRIM($I6)=""),IF(COUNTIF($M6:$P6,"?*")&gt;0,", ","")&amp;"respuesta_correcta","")</x:f>
      </x:c>
      <x:c r="R6" t="str">
        <x:f>IF(AND(OR($A6="Verdadero o Falso Simple",$A6="Respuesta A/B/Ambas/Ninguna",$A6="Verdadero o Falso Complejas",$A6="Selección de la mejor respuesta",$A6="Subítem de caso o problema",$A6="Opción de Emparejamiento Ampliado"),TRIM($J6)=""),IF(COUNTIF($M6:$Q6,"?*")&gt;0,", ","")&amp;"dificultad","")</x:f>
      </x:c>
      <x:c r="S6" t="str">
        <x:f>IF(AND(OR($A6="Ítems agrupados por caso clínico o problema",$A6="Emparejamiento Ampliado"),TRIM($I6)&lt;&gt;""),IF(COUNTIF($M6:$R6,"?*")&gt;0,", ","")&amp;"respuesta debe ir vacia","")</x:f>
      </x:c>
      <x:c r="T6" t="str">
        <x:f>IF(AND(OR($A6="Ítems agrupados por caso clínico o problema",$A6="Emparejamiento Ampliado"),TRIM($J6)&lt;&gt;""),IF(COUNTIF($M6:$S6,"?*")&gt;0,", ","")&amp;"dificultad debe ir vacia","")</x:f>
      </x:c>
      <x:c r="U6" t="str">
        <x:f>IF(AND($A6="Verdadero o Falso Simple",OR(COUNTIF($D6:$E6,"?*")&lt;2,COUNTIF($F6:$H6,"?*")&gt;0)),IF(COUNTIF($M6:$T6,"?*")&gt;0,", ","")&amp;"incisos A-B","")</x:f>
      </x:c>
      <x:c r="V6" t="str">
        <x:f>IF(AND($A6="Verdadero o Falso Simple",TRIM($I6)&lt;&gt;"",NOT(OR(LEFT(TRIM($I6),1)="A",LEFT(TRIM($I6),1)="B"))),IF(COUNTIF($M6:$U6,"?*")&gt;0,", ","")&amp;"respuesta A-B","")</x:f>
      </x:c>
      <x:c r="W6" t="str">
        <x:f>IF(AND($A6="Respuesta A/B/Ambas/Ninguna",COUNTIF($D6:$G6,"?*")&lt;4),IF(COUNTIF($M6:$V6,"?*")&gt;0,", ","")&amp;"opciones A-D","")</x:f>
      </x:c>
      <x:c r="X6" t="str">
        <x:f>IF(AND($A6="Respuesta A/B/Ambas/Ninguna",COUNTIF($H6:$H6,"?*")&gt;0),IF(COUNTIF($M6:$W6,"?*")&gt;0,", ","")&amp;"opcion E deshabilitada","")</x:f>
      </x:c>
      <x:c r="Y6" t="str">
        <x:f>IF(AND($A6="Respuesta A/B/Ambas/Ninguna",TRIM($I6)&lt;&gt;"",NOT(OR(LEFT(TRIM($I6),1)="A",LEFT(TRIM($I6),1)="B",LEFT(TRIM($I6),1)="C",LEFT(TRIM($I6),1)="D"))),IF(COUNTIF($M6:$X6,"?*")&gt;0,", ","")&amp;"respuesta A-D","")</x:f>
      </x:c>
      <x:c r="Z6" t="str">
        <x:f>IF(AND($A6="Verdadero o Falso Complejas",OR(LEN(TRIM(SUBSTITUTE($D6,"1.","")))=0,LEN(TRIM(SUBSTITUTE($E6,"2.","")))=0,LEN(TRIM(SUBSTITUTE($F6,"3.","")))=0,LEN(TRIM(SUBSTITUTE($G6,"4.","")))=0)),IF(COUNTIF($M6:$Y6,"?*")&gt;0,", ","")&amp;"incisos 1-4","")</x:f>
      </x:c>
      <x:c r="AA6" t="str">
        <x:f>IF(AND($A6="Verdadero o Falso Complejas",COUNTIF($H6:$H6,"?*")&gt;0),IF(COUNTIF($M6:$Z6,"?*")&gt;0,", ","")&amp;"opcion E deshabilitada","")</x:f>
      </x:c>
      <x:c r="AB6" t="str">
        <x:f>IF(AND($A6="Verdadero o Falso Complejas",TRIM($I6)&lt;&gt;"",NOT(OR(LEFT(TRIM($I6),1)="A",LEFT(TRIM($I6),1)="B",LEFT(TRIM($I6),1)="C",LEFT(TRIM($I6),1)="D",LEFT(TRIM($I6),1)="E"))),IF(COUNTIF($M6:$AA6,"?*")&gt;0,", ","")&amp;"respuesta A-E","")</x:f>
      </x:c>
      <x:c r="AC6" t="str">
        <x:f>IF(AND(OR($A6="Selección de la mejor respuesta",$A6="Subítem de caso o problema"),COUNTIF($D6:$H6,"?*")&lt;5),IF(COUNTIF($M6:$AB6,"?*")&gt;0,", ","")&amp;"incisos A-E","")</x:f>
      </x:c>
      <x:c r="AD6" t="str">
        <x:f>IF(AND(OR($A6="Selección de la mejor respuesta",$A6="Subítem de caso o problema"),TRIM($I6)&lt;&gt;"",NOT(OR(LEFT(TRIM($I6),1)="A",LEFT(TRIM($I6),1)="B",LEFT(TRIM($I6),1)="C",LEFT(TRIM($I6),1)="D",LEFT(TRIM($I6),1)="E"))),IF(COUNTIF($M6:$AC6,"?*")&gt;0,", ","")&amp;"respuesta A-E","")</x:f>
      </x:c>
      <x:c r="AE6" t="str">
        <x:f>IF(AND(OR($A6="Ítems agrupados por caso clínico o problema",$A6="Opción de Emparejamiento Ampliado"),COUNTIF($D6:$H6,"?*")&gt;0),IF(COUNTIF($M6:$AD6,"?*")&gt;0,", ","")&amp;"sin incisos","")</x:f>
      </x:c>
      <x:c r="AF6" t="str">
        <x:f>IF(AND($A6="Emparejamiento Ampliado",COUNTIF($D6:$H6,"?*")&lt;2),IF(COUNTIF($M6:$AE6,"?*")&gt;0,", ","")&amp;"minimo 2 claves","")</x:f>
      </x:c>
      <x:c r="AG6" t="str">
        <x:f>IF(AND($A6="Opción de Emparejamiento Ampliado",NOT(OR(LEFT(TRIM($I6),1)="A",LEFT(TRIM($I6),1)="B",LEFT(TRIM($I6),1)="C",LEFT(TRIM($I6),1)="D",LEFT(TRIM($I6),1)="E"))),IF(COUNTIF($M6:$AF6,"?*")&gt;0,", ","")&amp;"respuesta A-E","")</x:f>
      </x:c>
      <x:c r="AK6" s="26" t="str"/>
    </x:row>
    <x:row r="7" ht="24" customHeight="1">
      <x:c r="A7" s="8" t="s">
        <x:v>2</x:v>
      </x:c>
      <x:c r="B7" s="8" t="s">
        <x:v>2</x:v>
      </x:c>
      <x:c r="C7" s="9" t="str">
        <x:f>IF($A7="Emparejamiento Ampliado",VALIDACIONES!$I$1,IF($A7="Respuesta A/B/Ambas/Ninguna","I. "&amp;CHAR(10)&amp;"II. ",""))</x:f>
      </x:c>
      <x:c r="D7" s="8" t="str">
        <x:f>IF($A7="Verdadero o Falso Simple","Verdadero",IF($A7="Respuesta A/B/Ambas/Ninguna","A. Si la primera es verdadera",""))</x:f>
      </x:c>
      <x:c r="E7" s="8" t="str">
        <x:f>IF($A7="Verdadero o Falso Simple","Falso",IF($A7="Respuesta A/B/Ambas/Ninguna","B. Si la segunda es verdadera",""))</x:f>
      </x:c>
      <x:c r="F7" s="8" t="str">
        <x:f>IF($A7="Respuesta A/B/Ambas/Ninguna","C. Si ambas son verdaderas","")</x:f>
      </x:c>
      <x:c r="G7" s="8" t="str">
        <x:f>IF($A7="Respuesta A/B/Ambas/Ninguna","D. Si ninguna es verdadera","")</x:f>
      </x:c>
      <x:c r="H7" s="8" t="s">
        <x:v>2</x:v>
      </x:c>
      <x:c r="I7" s="8" t="str">
        <x:f>IF($A7="Verdadero o Falso Simple","A","")</x:f>
      </x:c>
      <x:c r="J7" s="8" t="s">
        <x:v>3</x:v>
      </x:c>
      <x:c r="K7" s="8" t="s">
        <x:v>4</x:v>
      </x:c>
      <x:c r="L7" s="10" t="str">
        <x:f>IF(TRIM($A7)="","",IF(COUNTIF($M7:$AG7,"?*")=0,"OK","Falta revisar: "&amp;$M7&amp;$N7&amp;$O7&amp;$P7&amp;$Q7&amp;$R7&amp;$S7&amp;$T7&amp;$U7&amp;$V7&amp;$W7&amp;$X7&amp;$Y7&amp;$Z7&amp;$AA7&amp;$AB7&amp;$AC7&amp;$AD7&amp;$AE7&amp;$AF7&amp;$AG7))</x:f>
        <x:v>OK</x:v>
      </x:c>
      <x:c r="M7" t="str">
        <x:f>IF(TRIM($C7)="","enunciado","")</x:f>
        <x:v>enunciado</x:v>
      </x:c>
      <x:c r="N7" t="str">
        <x:f>IF(TRIM($K7)="",IF(COUNTIF($M7:$M7,"?*")&gt;0,", ","")&amp;"parcial","")</x:f>
      </x:c>
      <x:c r="O7" t="str">
        <x:f>IF(AND(TRIM($K7)&lt;&gt;"",TRIM($K7)&lt;&gt;"EF"),IF(COUNTIF($M7:$N7,"?*")&gt;0,", ","")&amp;"parcial distinto a EF","")</x:f>
      </x:c>
      <x:c r="P7" t="str">
        <x:f>IF(AND(OR($A7="Ítems agrupados por caso clínico o problema",$A7="Subítem de caso o problema",$A7="Emparejamiento Ampliado",$A7="Opción de Emparejamiento Ampliado"),TRIM($B7)=""),IF(COUNTIF($M7:$O7,"?*")&gt;0,", ","")&amp;"grupo","")</x:f>
      </x:c>
      <x:c r="Q7" t="str">
        <x:f>IF(AND(OR($A7="Verdadero o Falso Simple",$A7="Respuesta A/B/Ambas/Ninguna",$A7="Verdadero o Falso Complejas",$A7="Selección de la mejor respuesta",$A7="Subítem de caso o problema",$A7="Opción de Emparejamiento Ampliado"),TRIM($I7)=""),IF(COUNTIF($M7:$P7,"?*")&gt;0,", ","")&amp;"respuesta_correcta","")</x:f>
      </x:c>
      <x:c r="R7" t="str">
        <x:f>IF(AND(OR($A7="Verdadero o Falso Simple",$A7="Respuesta A/B/Ambas/Ninguna",$A7="Verdadero o Falso Complejas",$A7="Selección de la mejor respuesta",$A7="Subítem de caso o problema",$A7="Opción de Emparejamiento Ampliado"),TRIM($J7)=""),IF(COUNTIF($M7:$Q7,"?*")&gt;0,", ","")&amp;"dificultad","")</x:f>
      </x:c>
      <x:c r="S7" t="str">
        <x:f>IF(AND(OR($A7="Ítems agrupados por caso clínico o problema",$A7="Emparejamiento Ampliado"),TRIM($I7)&lt;&gt;""),IF(COUNTIF($M7:$R7,"?*")&gt;0,", ","")&amp;"respuesta debe ir vacia","")</x:f>
      </x:c>
      <x:c r="T7" t="str">
        <x:f>IF(AND(OR($A7="Ítems agrupados por caso clínico o problema",$A7="Emparejamiento Ampliado"),TRIM($J7)&lt;&gt;""),IF(COUNTIF($M7:$S7,"?*")&gt;0,", ","")&amp;"dificultad debe ir vacia","")</x:f>
      </x:c>
      <x:c r="U7" t="str">
        <x:f>IF(AND($A7="Verdadero o Falso Simple",OR(COUNTIF($D7:$E7,"?*")&lt;2,COUNTIF($F7:$H7,"?*")&gt;0)),IF(COUNTIF($M7:$T7,"?*")&gt;0,", ","")&amp;"incisos A-B","")</x:f>
      </x:c>
      <x:c r="V7" t="str">
        <x:f>IF(AND($A7="Verdadero o Falso Simple",TRIM($I7)&lt;&gt;"",NOT(OR(LEFT(TRIM($I7),1)="A",LEFT(TRIM($I7),1)="B"))),IF(COUNTIF($M7:$U7,"?*")&gt;0,", ","")&amp;"respuesta A-B","")</x:f>
      </x:c>
      <x:c r="W7" t="str">
        <x:f>IF(AND($A7="Respuesta A/B/Ambas/Ninguna",COUNTIF($D7:$G7,"?*")&lt;4),IF(COUNTIF($M7:$V7,"?*")&gt;0,", ","")&amp;"opciones A-D","")</x:f>
      </x:c>
      <x:c r="X7" t="str">
        <x:f>IF(AND($A7="Respuesta A/B/Ambas/Ninguna",COUNTIF($H7:$H7,"?*")&gt;0),IF(COUNTIF($M7:$W7,"?*")&gt;0,", ","")&amp;"opcion E deshabilitada","")</x:f>
      </x:c>
      <x:c r="Y7" t="str">
        <x:f>IF(AND($A7="Respuesta A/B/Ambas/Ninguna",TRIM($I7)&lt;&gt;"",NOT(OR(LEFT(TRIM($I7),1)="A",LEFT(TRIM($I7),1)="B",LEFT(TRIM($I7),1)="C",LEFT(TRIM($I7),1)="D"))),IF(COUNTIF($M7:$X7,"?*")&gt;0,", ","")&amp;"respuesta A-D","")</x:f>
      </x:c>
      <x:c r="Z7" t="str">
        <x:f>IF(AND($A7="Verdadero o Falso Complejas",OR(LEN(TRIM(SUBSTITUTE($D7,"1.","")))=0,LEN(TRIM(SUBSTITUTE($E7,"2.","")))=0,LEN(TRIM(SUBSTITUTE($F7,"3.","")))=0,LEN(TRIM(SUBSTITUTE($G7,"4.","")))=0)),IF(COUNTIF($M7:$Y7,"?*")&gt;0,", ","")&amp;"incisos 1-4","")</x:f>
      </x:c>
      <x:c r="AA7" t="str">
        <x:f>IF(AND($A7="Verdadero o Falso Complejas",COUNTIF($H7:$H7,"?*")&gt;0),IF(COUNTIF($M7:$Z7,"?*")&gt;0,", ","")&amp;"opcion E deshabilitada","")</x:f>
      </x:c>
      <x:c r="AB7" t="str">
        <x:f>IF(AND($A7="Verdadero o Falso Complejas",TRIM($I7)&lt;&gt;"",NOT(OR(LEFT(TRIM($I7),1)="A",LEFT(TRIM($I7),1)="B",LEFT(TRIM($I7),1)="C",LEFT(TRIM($I7),1)="D",LEFT(TRIM($I7),1)="E"))),IF(COUNTIF($M7:$AA7,"?*")&gt;0,", ","")&amp;"respuesta A-E","")</x:f>
      </x:c>
      <x:c r="AC7" t="str">
        <x:f>IF(AND(OR($A7="Selección de la mejor respuesta",$A7="Subítem de caso o problema"),COUNTIF($D7:$H7,"?*")&lt;5),IF(COUNTIF($M7:$AB7,"?*")&gt;0,", ","")&amp;"incisos A-E","")</x:f>
      </x:c>
      <x:c r="AD7" t="str">
        <x:f>IF(AND(OR($A7="Selección de la mejor respuesta",$A7="Subítem de caso o problema"),TRIM($I7)&lt;&gt;"",NOT(OR(LEFT(TRIM($I7),1)="A",LEFT(TRIM($I7),1)="B",LEFT(TRIM($I7),1)="C",LEFT(TRIM($I7),1)="D",LEFT(TRIM($I7),1)="E"))),IF(COUNTIF($M7:$AC7,"?*")&gt;0,", ","")&amp;"respuesta A-E","")</x:f>
      </x:c>
      <x:c r="AE7" t="str">
        <x:f>IF(AND(OR($A7="Ítems agrupados por caso clínico o problema",$A7="Opción de Emparejamiento Ampliado"),COUNTIF($D7:$H7,"?*")&gt;0),IF(COUNTIF($M7:$AD7,"?*")&gt;0,", ","")&amp;"sin incisos","")</x:f>
      </x:c>
      <x:c r="AF7" t="str">
        <x:f>IF(AND($A7="Emparejamiento Ampliado",COUNTIF($D7:$H7,"?*")&lt;2),IF(COUNTIF($M7:$AE7,"?*")&gt;0,", ","")&amp;"minimo 2 claves","")</x:f>
      </x:c>
      <x:c r="AG7" t="str">
        <x:f>IF(AND($A7="Opción de Emparejamiento Ampliado",NOT(OR(LEFT(TRIM($I7),1)="A",LEFT(TRIM($I7),1)="B",LEFT(TRIM($I7),1)="C",LEFT(TRIM($I7),1)="D",LEFT(TRIM($I7),1)="E"))),IF(COUNTIF($M7:$AF7,"?*")&gt;0,", ","")&amp;"respuesta A-E","")</x:f>
      </x:c>
      <x:c r="AK7" s="26" t="str"/>
    </x:row>
    <x:row r="8" ht="24" customHeight="1">
      <x:c r="A8" s="8" t="s">
        <x:v>2</x:v>
      </x:c>
      <x:c r="B8" s="8" t="s">
        <x:v>2</x:v>
      </x:c>
      <x:c r="C8" s="9" t="str">
        <x:f>IF($A8="Emparejamiento Ampliado",VALIDACIONES!$I$1,IF($A8="Respuesta A/B/Ambas/Ninguna","I. "&amp;CHAR(10)&amp;"II. ",""))</x:f>
      </x:c>
      <x:c r="D8" s="8" t="str">
        <x:f>IF($A8="Verdadero o Falso Simple","Verdadero",IF($A8="Respuesta A/B/Ambas/Ninguna","A. Si la primera es verdadera",""))</x:f>
      </x:c>
      <x:c r="E8" s="8" t="str">
        <x:f>IF($A8="Verdadero o Falso Simple","Falso",IF($A8="Respuesta A/B/Ambas/Ninguna","B. Si la segunda es verdadera",""))</x:f>
      </x:c>
      <x:c r="F8" s="8" t="str">
        <x:f>IF($A8="Respuesta A/B/Ambas/Ninguna","C. Si ambas son verdaderas","")</x:f>
      </x:c>
      <x:c r="G8" s="8" t="str">
        <x:f>IF($A8="Respuesta A/B/Ambas/Ninguna","D. Si ninguna es verdadera","")</x:f>
      </x:c>
      <x:c r="H8" s="8" t="s">
        <x:v>2</x:v>
      </x:c>
      <x:c r="I8" s="8" t="str">
        <x:f>IF($A8="Verdadero o Falso Simple","A","")</x:f>
      </x:c>
      <x:c r="J8" s="8" t="s">
        <x:v>3</x:v>
      </x:c>
      <x:c r="K8" s="8" t="s">
        <x:v>4</x:v>
      </x:c>
      <x:c r="L8" s="10" t="str">
        <x:f>IF(TRIM($A8)="","",IF(COUNTIF($M8:$AG8,"?*")=0,"OK","Falta revisar: "&amp;$M8&amp;$N8&amp;$O8&amp;$P8&amp;$Q8&amp;$R8&amp;$S8&amp;$T8&amp;$U8&amp;$V8&amp;$W8&amp;$X8&amp;$Y8&amp;$Z8&amp;$AA8&amp;$AB8&amp;$AC8&amp;$AD8&amp;$AE8&amp;$AF8&amp;$AG8))</x:f>
        <x:v>OK</x:v>
      </x:c>
      <x:c r="M8" t="str">
        <x:f>IF(TRIM($C8)="","enunciado","")</x:f>
        <x:v>enunciado</x:v>
      </x:c>
      <x:c r="N8" t="str">
        <x:f>IF(TRIM($K8)="",IF(COUNTIF($M8:$M8,"?*")&gt;0,", ","")&amp;"parcial","")</x:f>
      </x:c>
      <x:c r="O8" t="str">
        <x:f>IF(AND(TRIM($K8)&lt;&gt;"",TRIM($K8)&lt;&gt;"EF"),IF(COUNTIF($M8:$N8,"?*")&gt;0,", ","")&amp;"parcial distinto a EF","")</x:f>
      </x:c>
      <x:c r="P8" t="str">
        <x:f>IF(AND(OR($A8="Ítems agrupados por caso clínico o problema",$A8="Subítem de caso o problema",$A8="Emparejamiento Ampliado",$A8="Opción de Emparejamiento Ampliado"),TRIM($B8)=""),IF(COUNTIF($M8:$O8,"?*")&gt;0,", ","")&amp;"grupo","")</x:f>
      </x:c>
      <x:c r="Q8" t="str">
        <x:f>IF(AND(OR($A8="Verdadero o Falso Simple",$A8="Respuesta A/B/Ambas/Ninguna",$A8="Verdadero o Falso Complejas",$A8="Selección de la mejor respuesta",$A8="Subítem de caso o problema",$A8="Opción de Emparejamiento Ampliado"),TRIM($I8)=""),IF(COUNTIF($M8:$P8,"?*")&gt;0,", ","")&amp;"respuesta_correcta","")</x:f>
      </x:c>
      <x:c r="R8" t="str">
        <x:f>IF(AND(OR($A8="Verdadero o Falso Simple",$A8="Respuesta A/B/Ambas/Ninguna",$A8="Verdadero o Falso Complejas",$A8="Selección de la mejor respuesta",$A8="Subítem de caso o problema",$A8="Opción de Emparejamiento Ampliado"),TRIM($J8)=""),IF(COUNTIF($M8:$Q8,"?*")&gt;0,", ","")&amp;"dificultad","")</x:f>
      </x:c>
      <x:c r="S8" t="str">
        <x:f>IF(AND(OR($A8="Ítems agrupados por caso clínico o problema",$A8="Emparejamiento Ampliado"),TRIM($I8)&lt;&gt;""),IF(COUNTIF($M8:$R8,"?*")&gt;0,", ","")&amp;"respuesta debe ir vacia","")</x:f>
      </x:c>
      <x:c r="T8" t="str">
        <x:f>IF(AND(OR($A8="Ítems agrupados por caso clínico o problema",$A8="Emparejamiento Ampliado"),TRIM($J8)&lt;&gt;""),IF(COUNTIF($M8:$S8,"?*")&gt;0,", ","")&amp;"dificultad debe ir vacia","")</x:f>
      </x:c>
      <x:c r="U8" t="str">
        <x:f>IF(AND($A8="Verdadero o Falso Simple",OR(COUNTIF($D8:$E8,"?*")&lt;2,COUNTIF($F8:$H8,"?*")&gt;0)),IF(COUNTIF($M8:$T8,"?*")&gt;0,", ","")&amp;"incisos A-B","")</x:f>
      </x:c>
      <x:c r="V8" t="str">
        <x:f>IF(AND($A8="Verdadero o Falso Simple",TRIM($I8)&lt;&gt;"",NOT(OR(LEFT(TRIM($I8),1)="A",LEFT(TRIM($I8),1)="B"))),IF(COUNTIF($M8:$U8,"?*")&gt;0,", ","")&amp;"respuesta A-B","")</x:f>
      </x:c>
      <x:c r="W8" t="str">
        <x:f>IF(AND($A8="Respuesta A/B/Ambas/Ninguna",COUNTIF($D8:$G8,"?*")&lt;4),IF(COUNTIF($M8:$V8,"?*")&gt;0,", ","")&amp;"opciones A-D","")</x:f>
      </x:c>
      <x:c r="X8" t="str">
        <x:f>IF(AND($A8="Respuesta A/B/Ambas/Ninguna",COUNTIF($H8:$H8,"?*")&gt;0),IF(COUNTIF($M8:$W8,"?*")&gt;0,", ","")&amp;"opcion E deshabilitada","")</x:f>
      </x:c>
      <x:c r="Y8" t="str">
        <x:f>IF(AND($A8="Respuesta A/B/Ambas/Ninguna",TRIM($I8)&lt;&gt;"",NOT(OR(LEFT(TRIM($I8),1)="A",LEFT(TRIM($I8),1)="B",LEFT(TRIM($I8),1)="C",LEFT(TRIM($I8),1)="D"))),IF(COUNTIF($M8:$X8,"?*")&gt;0,", ","")&amp;"respuesta A-D","")</x:f>
      </x:c>
      <x:c r="Z8" t="str">
        <x:f>IF(AND($A8="Verdadero o Falso Complejas",OR(LEN(TRIM(SUBSTITUTE($D8,"1.","")))=0,LEN(TRIM(SUBSTITUTE($E8,"2.","")))=0,LEN(TRIM(SUBSTITUTE($F8,"3.","")))=0,LEN(TRIM(SUBSTITUTE($G8,"4.","")))=0)),IF(COUNTIF($M8:$Y8,"?*")&gt;0,", ","")&amp;"incisos 1-4","")</x:f>
      </x:c>
      <x:c r="AA8" t="str">
        <x:f>IF(AND($A8="Verdadero o Falso Complejas",COUNTIF($H8:$H8,"?*")&gt;0),IF(COUNTIF($M8:$Z8,"?*")&gt;0,", ","")&amp;"opcion E deshabilitada","")</x:f>
      </x:c>
      <x:c r="AB8" t="str">
        <x:f>IF(AND($A8="Verdadero o Falso Complejas",TRIM($I8)&lt;&gt;"",NOT(OR(LEFT(TRIM($I8),1)="A",LEFT(TRIM($I8),1)="B",LEFT(TRIM($I8),1)="C",LEFT(TRIM($I8),1)="D",LEFT(TRIM($I8),1)="E"))),IF(COUNTIF($M8:$AA8,"?*")&gt;0,", ","")&amp;"respuesta A-E","")</x:f>
      </x:c>
      <x:c r="AC8" t="str">
        <x:f>IF(AND(OR($A8="Selección de la mejor respuesta",$A8="Subítem de caso o problema"),COUNTIF($D8:$H8,"?*")&lt;5),IF(COUNTIF($M8:$AB8,"?*")&gt;0,", ","")&amp;"incisos A-E","")</x:f>
      </x:c>
      <x:c r="AD8" t="str">
        <x:f>IF(AND(OR($A8="Selección de la mejor respuesta",$A8="Subítem de caso o problema"),TRIM($I8)&lt;&gt;"",NOT(OR(LEFT(TRIM($I8),1)="A",LEFT(TRIM($I8),1)="B",LEFT(TRIM($I8),1)="C",LEFT(TRIM($I8),1)="D",LEFT(TRIM($I8),1)="E"))),IF(COUNTIF($M8:$AC8,"?*")&gt;0,", ","")&amp;"respuesta A-E","")</x:f>
      </x:c>
      <x:c r="AE8" t="str">
        <x:f>IF(AND(OR($A8="Ítems agrupados por caso clínico o problema",$A8="Opción de Emparejamiento Ampliado"),COUNTIF($D8:$H8,"?*")&gt;0),IF(COUNTIF($M8:$AD8,"?*")&gt;0,", ","")&amp;"sin incisos","")</x:f>
      </x:c>
      <x:c r="AF8" t="str">
        <x:f>IF(AND($A8="Emparejamiento Ampliado",COUNTIF($D8:$H8,"?*")&lt;2),IF(COUNTIF($M8:$AE8,"?*")&gt;0,", ","")&amp;"minimo 2 claves","")</x:f>
      </x:c>
      <x:c r="AG8" t="str">
        <x:f>IF(AND($A8="Opción de Emparejamiento Ampliado",NOT(OR(LEFT(TRIM($I8),1)="A",LEFT(TRIM($I8),1)="B",LEFT(TRIM($I8),1)="C",LEFT(TRIM($I8),1)="D",LEFT(TRIM($I8),1)="E"))),IF(COUNTIF($M8:$AF8,"?*")&gt;0,", ","")&amp;"respuesta A-E","")</x:f>
      </x:c>
      <x:c r="AK8" s="26" t="str"/>
    </x:row>
    <x:row r="9" ht="24" customHeight="1">
      <x:c r="A9" s="8" t="s">
        <x:v>2</x:v>
      </x:c>
      <x:c r="B9" s="8" t="s">
        <x:v>2</x:v>
      </x:c>
      <x:c r="C9" s="9" t="str">
        <x:f>IF($A9="Emparejamiento Ampliado",VALIDACIONES!$I$1,IF($A9="Respuesta A/B/Ambas/Ninguna","I. "&amp;CHAR(10)&amp;"II. ",""))</x:f>
      </x:c>
      <x:c r="D9" s="8" t="str">
        <x:f>IF($A9="Verdadero o Falso Simple","Verdadero",IF($A9="Respuesta A/B/Ambas/Ninguna","A. Si la primera es verdadera",""))</x:f>
      </x:c>
      <x:c r="E9" s="8" t="str">
        <x:f>IF($A9="Verdadero o Falso Simple","Falso",IF($A9="Respuesta A/B/Ambas/Ninguna","B. Si la segunda es verdadera",""))</x:f>
      </x:c>
      <x:c r="F9" s="8" t="str">
        <x:f>IF($A9="Respuesta A/B/Ambas/Ninguna","C. Si ambas son verdaderas","")</x:f>
      </x:c>
      <x:c r="G9" s="8" t="str">
        <x:f>IF($A9="Respuesta A/B/Ambas/Ninguna","D. Si ninguna es verdadera","")</x:f>
      </x:c>
      <x:c r="H9" s="8" t="s">
        <x:v>2</x:v>
      </x:c>
      <x:c r="I9" s="8" t="str">
        <x:f>IF($A9="Verdadero o Falso Simple","A","")</x:f>
      </x:c>
      <x:c r="J9" s="8" t="s">
        <x:v>3</x:v>
      </x:c>
      <x:c r="K9" s="8" t="s">
        <x:v>4</x:v>
      </x:c>
      <x:c r="L9" s="10" t="str">
        <x:f>IF(TRIM($A9)="","",IF(COUNTIF($M9:$AG9,"?*")=0,"OK","Falta revisar: "&amp;$M9&amp;$N9&amp;$O9&amp;$P9&amp;$Q9&amp;$R9&amp;$S9&amp;$T9&amp;$U9&amp;$V9&amp;$W9&amp;$X9&amp;$Y9&amp;$Z9&amp;$AA9&amp;$AB9&amp;$AC9&amp;$AD9&amp;$AE9&amp;$AF9&amp;$AG9))</x:f>
        <x:v>OK</x:v>
      </x:c>
      <x:c r="M9" t="str">
        <x:f>IF(TRIM($C9)="","enunciado","")</x:f>
        <x:v>enunciado</x:v>
      </x:c>
      <x:c r="N9" t="str">
        <x:f>IF(TRIM($K9)="",IF(COUNTIF($M9:$M9,"?*")&gt;0,", ","")&amp;"parcial","")</x:f>
      </x:c>
      <x:c r="O9" t="str">
        <x:f>IF(AND(TRIM($K9)&lt;&gt;"",TRIM($K9)&lt;&gt;"EF"),IF(COUNTIF($M9:$N9,"?*")&gt;0,", ","")&amp;"parcial distinto a EF","")</x:f>
      </x:c>
      <x:c r="P9" t="str">
        <x:f>IF(AND(OR($A9="Ítems agrupados por caso clínico o problema",$A9="Subítem de caso o problema",$A9="Emparejamiento Ampliado",$A9="Opción de Emparejamiento Ampliado"),TRIM($B9)=""),IF(COUNTIF($M9:$O9,"?*")&gt;0,", ","")&amp;"grupo","")</x:f>
      </x:c>
      <x:c r="Q9" t="str">
        <x:f>IF(AND(OR($A9="Verdadero o Falso Simple",$A9="Respuesta A/B/Ambas/Ninguna",$A9="Verdadero o Falso Complejas",$A9="Selección de la mejor respuesta",$A9="Subítem de caso o problema",$A9="Opción de Emparejamiento Ampliado"),TRIM($I9)=""),IF(COUNTIF($M9:$P9,"?*")&gt;0,", ","")&amp;"respuesta_correcta","")</x:f>
      </x:c>
      <x:c r="R9" t="str">
        <x:f>IF(AND(OR($A9="Verdadero o Falso Simple",$A9="Respuesta A/B/Ambas/Ninguna",$A9="Verdadero o Falso Complejas",$A9="Selección de la mejor respuesta",$A9="Subítem de caso o problema",$A9="Opción de Emparejamiento Ampliado"),TRIM($J9)=""),IF(COUNTIF($M9:$Q9,"?*")&gt;0,", ","")&amp;"dificultad","")</x:f>
      </x:c>
      <x:c r="S9" t="str">
        <x:f>IF(AND(OR($A9="Ítems agrupados por caso clínico o problema",$A9="Emparejamiento Ampliado"),TRIM($I9)&lt;&gt;""),IF(COUNTIF($M9:$R9,"?*")&gt;0,", ","")&amp;"respuesta debe ir vacia","")</x:f>
      </x:c>
      <x:c r="T9" t="str">
        <x:f>IF(AND(OR($A9="Ítems agrupados por caso clínico o problema",$A9="Emparejamiento Ampliado"),TRIM($J9)&lt;&gt;""),IF(COUNTIF($M9:$S9,"?*")&gt;0,", ","")&amp;"dificultad debe ir vacia","")</x:f>
      </x:c>
      <x:c r="U9" t="str">
        <x:f>IF(AND($A9="Verdadero o Falso Simple",OR(COUNTIF($D9:$E9,"?*")&lt;2,COUNTIF($F9:$H9,"?*")&gt;0)),IF(COUNTIF($M9:$T9,"?*")&gt;0,", ","")&amp;"incisos A-B","")</x:f>
      </x:c>
      <x:c r="V9" t="str">
        <x:f>IF(AND($A9="Verdadero o Falso Simple",TRIM($I9)&lt;&gt;"",NOT(OR(LEFT(TRIM($I9),1)="A",LEFT(TRIM($I9),1)="B"))),IF(COUNTIF($M9:$U9,"?*")&gt;0,", ","")&amp;"respuesta A-B","")</x:f>
      </x:c>
      <x:c r="W9" t="str">
        <x:f>IF(AND($A9="Respuesta A/B/Ambas/Ninguna",COUNTIF($D9:$G9,"?*")&lt;4),IF(COUNTIF($M9:$V9,"?*")&gt;0,", ","")&amp;"opciones A-D","")</x:f>
      </x:c>
      <x:c r="X9" t="str">
        <x:f>IF(AND($A9="Respuesta A/B/Ambas/Ninguna",COUNTIF($H9:$H9,"?*")&gt;0),IF(COUNTIF($M9:$W9,"?*")&gt;0,", ","")&amp;"opcion E deshabilitada","")</x:f>
      </x:c>
      <x:c r="Y9" t="str">
        <x:f>IF(AND($A9="Respuesta A/B/Ambas/Ninguna",TRIM($I9)&lt;&gt;"",NOT(OR(LEFT(TRIM($I9),1)="A",LEFT(TRIM($I9),1)="B",LEFT(TRIM($I9),1)="C",LEFT(TRIM($I9),1)="D"))),IF(COUNTIF($M9:$X9,"?*")&gt;0,", ","")&amp;"respuesta A-D","")</x:f>
      </x:c>
      <x:c r="Z9" t="str">
        <x:f>IF(AND($A9="Verdadero o Falso Complejas",OR(LEN(TRIM(SUBSTITUTE($D9,"1.","")))=0,LEN(TRIM(SUBSTITUTE($E9,"2.","")))=0,LEN(TRIM(SUBSTITUTE($F9,"3.","")))=0,LEN(TRIM(SUBSTITUTE($G9,"4.","")))=0)),IF(COUNTIF($M9:$Y9,"?*")&gt;0,", ","")&amp;"incisos 1-4","")</x:f>
      </x:c>
      <x:c r="AA9" t="str">
        <x:f>IF(AND($A9="Verdadero o Falso Complejas",COUNTIF($H9:$H9,"?*")&gt;0),IF(COUNTIF($M9:$Z9,"?*")&gt;0,", ","")&amp;"opcion E deshabilitada","")</x:f>
      </x:c>
      <x:c r="AB9" t="str">
        <x:f>IF(AND($A9="Verdadero o Falso Complejas",TRIM($I9)&lt;&gt;"",NOT(OR(LEFT(TRIM($I9),1)="A",LEFT(TRIM($I9),1)="B",LEFT(TRIM($I9),1)="C",LEFT(TRIM($I9),1)="D",LEFT(TRIM($I9),1)="E"))),IF(COUNTIF($M9:$AA9,"?*")&gt;0,", ","")&amp;"respuesta A-E","")</x:f>
      </x:c>
      <x:c r="AC9" t="str">
        <x:f>IF(AND(OR($A9="Selección de la mejor respuesta",$A9="Subítem de caso o problema"),COUNTIF($D9:$H9,"?*")&lt;5),IF(COUNTIF($M9:$AB9,"?*")&gt;0,", ","")&amp;"incisos A-E","")</x:f>
      </x:c>
      <x:c r="AD9" t="str">
        <x:f>IF(AND(OR($A9="Selección de la mejor respuesta",$A9="Subítem de caso o problema"),TRIM($I9)&lt;&gt;"",NOT(OR(LEFT(TRIM($I9),1)="A",LEFT(TRIM($I9),1)="B",LEFT(TRIM($I9),1)="C",LEFT(TRIM($I9),1)="D",LEFT(TRIM($I9),1)="E"))),IF(COUNTIF($M9:$AC9,"?*")&gt;0,", ","")&amp;"respuesta A-E","")</x:f>
      </x:c>
      <x:c r="AE9" t="str">
        <x:f>IF(AND(OR($A9="Ítems agrupados por caso clínico o problema",$A9="Opción de Emparejamiento Ampliado"),COUNTIF($D9:$H9,"?*")&gt;0),IF(COUNTIF($M9:$AD9,"?*")&gt;0,", ","")&amp;"sin incisos","")</x:f>
      </x:c>
      <x:c r="AF9" t="str">
        <x:f>IF(AND($A9="Emparejamiento Ampliado",COUNTIF($D9:$H9,"?*")&lt;2),IF(COUNTIF($M9:$AE9,"?*")&gt;0,", ","")&amp;"minimo 2 claves","")</x:f>
      </x:c>
      <x:c r="AG9" t="str">
        <x:f>IF(AND($A9="Opción de Emparejamiento Ampliado",NOT(OR(LEFT(TRIM($I9),1)="A",LEFT(TRIM($I9),1)="B",LEFT(TRIM($I9),1)="C",LEFT(TRIM($I9),1)="D",LEFT(TRIM($I9),1)="E"))),IF(COUNTIF($M9:$AF9,"?*")&gt;0,", ","")&amp;"respuesta A-E","")</x:f>
      </x:c>
      <x:c r="AK9" s="26" t="str"/>
    </x:row>
    <x:row r="10" ht="24" customHeight="1">
      <x:c r="A10" s="8" t="s">
        <x:v>2</x:v>
      </x:c>
      <x:c r="B10" s="8" t="s">
        <x:v>2</x:v>
      </x:c>
      <x:c r="C10" s="9" t="str">
        <x:f>IF($A10="Emparejamiento Ampliado",VALIDACIONES!$I$1,IF($A10="Respuesta A/B/Ambas/Ninguna","I. "&amp;CHAR(10)&amp;"II. ",""))</x:f>
      </x:c>
      <x:c r="D10" s="8" t="str">
        <x:f>IF($A10="Verdadero o Falso Simple","Verdadero",IF($A10="Respuesta A/B/Ambas/Ninguna","A. Si la primera es verdadera",""))</x:f>
      </x:c>
      <x:c r="E10" s="8" t="str">
        <x:f>IF($A10="Verdadero o Falso Simple","Falso",IF($A10="Respuesta A/B/Ambas/Ninguna","B. Si la segunda es verdadera",""))</x:f>
      </x:c>
      <x:c r="F10" s="8" t="str">
        <x:f>IF($A10="Respuesta A/B/Ambas/Ninguna","C. Si ambas son verdaderas","")</x:f>
      </x:c>
      <x:c r="G10" s="8" t="str">
        <x:f>IF($A10="Respuesta A/B/Ambas/Ninguna","D. Si ninguna es verdadera","")</x:f>
      </x:c>
      <x:c r="H10" s="8" t="s">
        <x:v>2</x:v>
      </x:c>
      <x:c r="I10" s="8" t="str">
        <x:f>IF($A10="Verdadero o Falso Simple","A","")</x:f>
      </x:c>
      <x:c r="J10" s="8" t="s">
        <x:v>3</x:v>
      </x:c>
      <x:c r="K10" s="8" t="s">
        <x:v>4</x:v>
      </x:c>
      <x:c r="L10" s="10" t="str">
        <x:f>IF(TRIM($A10)="","",IF(COUNTIF($M10:$AG10,"?*")=0,"OK","Falta revisar: "&amp;$M10&amp;$N10&amp;$O10&amp;$P10&amp;$Q10&amp;$R10&amp;$S10&amp;$T10&amp;$U10&amp;$V10&amp;$W10&amp;$X10&amp;$Y10&amp;$Z10&amp;$AA10&amp;$AB10&amp;$AC10&amp;$AD10&amp;$AE10&amp;$AF10&amp;$AG10))</x:f>
        <x:v>OK</x:v>
      </x:c>
      <x:c r="M10" t="str">
        <x:f>IF(TRIM($C10)="","enunciado","")</x:f>
        <x:v>enunciado</x:v>
      </x:c>
      <x:c r="N10" t="str">
        <x:f>IF(TRIM($K10)="",IF(COUNTIF($M10:$M10,"?*")&gt;0,", ","")&amp;"parcial","")</x:f>
      </x:c>
      <x:c r="O10" t="str">
        <x:f>IF(AND(TRIM($K10)&lt;&gt;"",TRIM($K10)&lt;&gt;"EF"),IF(COUNTIF($M10:$N10,"?*")&gt;0,", ","")&amp;"parcial distinto a EF","")</x:f>
      </x:c>
      <x:c r="P10" t="str">
        <x:f>IF(AND(OR($A10="Ítems agrupados por caso clínico o problema",$A10="Subítem de caso o problema",$A10="Emparejamiento Ampliado",$A10="Opción de Emparejamiento Ampliado"),TRIM($B10)=""),IF(COUNTIF($M10:$O10,"?*")&gt;0,", ","")&amp;"grupo","")</x:f>
      </x:c>
      <x:c r="Q10" t="str">
        <x:f>IF(AND(OR($A10="Verdadero o Falso Simple",$A10="Respuesta A/B/Ambas/Ninguna",$A10="Verdadero o Falso Complejas",$A10="Selección de la mejor respuesta",$A10="Subítem de caso o problema",$A10="Opción de Emparejamiento Ampliado"),TRIM($I10)=""),IF(COUNTIF($M10:$P10,"?*")&gt;0,", ","")&amp;"respuesta_correcta","")</x:f>
      </x:c>
      <x:c r="R10" t="str">
        <x:f>IF(AND(OR($A10="Verdadero o Falso Simple",$A10="Respuesta A/B/Ambas/Ninguna",$A10="Verdadero o Falso Complejas",$A10="Selección de la mejor respuesta",$A10="Subítem de caso o problema",$A10="Opción de Emparejamiento Ampliado"),TRIM($J10)=""),IF(COUNTIF($M10:$Q10,"?*")&gt;0,", ","")&amp;"dificultad","")</x:f>
      </x:c>
      <x:c r="S10" t="str">
        <x:f>IF(AND(OR($A10="Ítems agrupados por caso clínico o problema",$A10="Emparejamiento Ampliado"),TRIM($I10)&lt;&gt;""),IF(COUNTIF($M10:$R10,"?*")&gt;0,", ","")&amp;"respuesta debe ir vacia","")</x:f>
      </x:c>
      <x:c r="T10" t="str">
        <x:f>IF(AND(OR($A10="Ítems agrupados por caso clínico o problema",$A10="Emparejamiento Ampliado"),TRIM($J10)&lt;&gt;""),IF(COUNTIF($M10:$S10,"?*")&gt;0,", ","")&amp;"dificultad debe ir vacia","")</x:f>
      </x:c>
      <x:c r="U10" t="str">
        <x:f>IF(AND($A10="Verdadero o Falso Simple",OR(COUNTIF($D10:$E10,"?*")&lt;2,COUNTIF($F10:$H10,"?*")&gt;0)),IF(COUNTIF($M10:$T10,"?*")&gt;0,", ","")&amp;"incisos A-B","")</x:f>
      </x:c>
      <x:c r="V10" t="str">
        <x:f>IF(AND($A10="Verdadero o Falso Simple",TRIM($I10)&lt;&gt;"",NOT(OR(LEFT(TRIM($I10),1)="A",LEFT(TRIM($I10),1)="B"))),IF(COUNTIF($M10:$U10,"?*")&gt;0,", ","")&amp;"respuesta A-B","")</x:f>
      </x:c>
      <x:c r="W10" t="str">
        <x:f>IF(AND($A10="Respuesta A/B/Ambas/Ninguna",COUNTIF($D10:$G10,"?*")&lt;4),IF(COUNTIF($M10:$V10,"?*")&gt;0,", ","")&amp;"opciones A-D","")</x:f>
      </x:c>
      <x:c r="X10" t="str">
        <x:f>IF(AND($A10="Respuesta A/B/Ambas/Ninguna",COUNTIF($H10:$H10,"?*")&gt;0),IF(COUNTIF($M10:$W10,"?*")&gt;0,", ","")&amp;"opcion E deshabilitada","")</x:f>
      </x:c>
      <x:c r="Y10" t="str">
        <x:f>IF(AND($A10="Respuesta A/B/Ambas/Ninguna",TRIM($I10)&lt;&gt;"",NOT(OR(LEFT(TRIM($I10),1)="A",LEFT(TRIM($I10),1)="B",LEFT(TRIM($I10),1)="C",LEFT(TRIM($I10),1)="D"))),IF(COUNTIF($M10:$X10,"?*")&gt;0,", ","")&amp;"respuesta A-D","")</x:f>
      </x:c>
      <x:c r="Z10" t="str">
        <x:f>IF(AND($A10="Verdadero o Falso Complejas",OR(LEN(TRIM(SUBSTITUTE($D10,"1.","")))=0,LEN(TRIM(SUBSTITUTE($E10,"2.","")))=0,LEN(TRIM(SUBSTITUTE($F10,"3.","")))=0,LEN(TRIM(SUBSTITUTE($G10,"4.","")))=0)),IF(COUNTIF($M10:$Y10,"?*")&gt;0,", ","")&amp;"incisos 1-4","")</x:f>
      </x:c>
      <x:c r="AA10" t="str">
        <x:f>IF(AND($A10="Verdadero o Falso Complejas",COUNTIF($H10:$H10,"?*")&gt;0),IF(COUNTIF($M10:$Z10,"?*")&gt;0,", ","")&amp;"opcion E deshabilitada","")</x:f>
      </x:c>
      <x:c r="AB10" t="str">
        <x:f>IF(AND($A10="Verdadero o Falso Complejas",TRIM($I10)&lt;&gt;"",NOT(OR(LEFT(TRIM($I10),1)="A",LEFT(TRIM($I10),1)="B",LEFT(TRIM($I10),1)="C",LEFT(TRIM($I10),1)="D",LEFT(TRIM($I10),1)="E"))),IF(COUNTIF($M10:$AA10,"?*")&gt;0,", ","")&amp;"respuesta A-E","")</x:f>
      </x:c>
      <x:c r="AC10" t="str">
        <x:f>IF(AND(OR($A10="Selección de la mejor respuesta",$A10="Subítem de caso o problema"),COUNTIF($D10:$H10,"?*")&lt;5),IF(COUNTIF($M10:$AB10,"?*")&gt;0,", ","")&amp;"incisos A-E","")</x:f>
      </x:c>
      <x:c r="AD10" t="str">
        <x:f>IF(AND(OR($A10="Selección de la mejor respuesta",$A10="Subítem de caso o problema"),TRIM($I10)&lt;&gt;"",NOT(OR(LEFT(TRIM($I10),1)="A",LEFT(TRIM($I10),1)="B",LEFT(TRIM($I10),1)="C",LEFT(TRIM($I10),1)="D",LEFT(TRIM($I10),1)="E"))),IF(COUNTIF($M10:$AC10,"?*")&gt;0,", ","")&amp;"respuesta A-E","")</x:f>
      </x:c>
      <x:c r="AE10" t="str">
        <x:f>IF(AND(OR($A10="Ítems agrupados por caso clínico o problema",$A10="Opción de Emparejamiento Ampliado"),COUNTIF($D10:$H10,"?*")&gt;0),IF(COUNTIF($M10:$AD10,"?*")&gt;0,", ","")&amp;"sin incisos","")</x:f>
      </x:c>
      <x:c r="AF10" t="str">
        <x:f>IF(AND($A10="Emparejamiento Ampliado",COUNTIF($D10:$H10,"?*")&lt;2),IF(COUNTIF($M10:$AE10,"?*")&gt;0,", ","")&amp;"minimo 2 claves","")</x:f>
      </x:c>
      <x:c r="AG10" t="str">
        <x:f>IF(AND($A10="Opción de Emparejamiento Ampliado",NOT(OR(LEFT(TRIM($I10),1)="A",LEFT(TRIM($I10),1)="B",LEFT(TRIM($I10),1)="C",LEFT(TRIM($I10),1)="D",LEFT(TRIM($I10),1)="E"))),IF(COUNTIF($M10:$AF10,"?*")&gt;0,", ","")&amp;"respuesta A-E","")</x:f>
      </x:c>
      <x:c r="AK10" s="26" t="str"/>
    </x:row>
    <x:row r="11" ht="24" customHeight="1">
      <x:c r="A11" s="8" t="s">
        <x:v>2</x:v>
      </x:c>
      <x:c r="B11" s="8" t="s">
        <x:v>2</x:v>
      </x:c>
      <x:c r="C11" s="9" t="str">
        <x:f>IF($A11="Emparejamiento Ampliado",VALIDACIONES!$I$1,IF($A11="Respuesta A/B/Ambas/Ninguna","I. "&amp;CHAR(10)&amp;"II. ",""))</x:f>
      </x:c>
      <x:c r="D11" s="8" t="str">
        <x:f>IF($A11="Verdadero o Falso Simple","Verdadero",IF($A11="Respuesta A/B/Ambas/Ninguna","A. Si la primera es verdadera",""))</x:f>
      </x:c>
      <x:c r="E11" s="8" t="str">
        <x:f>IF($A11="Verdadero o Falso Simple","Falso",IF($A11="Respuesta A/B/Ambas/Ninguna","B. Si la segunda es verdadera",""))</x:f>
      </x:c>
      <x:c r="F11" s="8" t="str">
        <x:f>IF($A11="Respuesta A/B/Ambas/Ninguna","C. Si ambas son verdaderas","")</x:f>
      </x:c>
      <x:c r="G11" s="8" t="str">
        <x:f>IF($A11="Respuesta A/B/Ambas/Ninguna","D. Si ninguna es verdadera","")</x:f>
      </x:c>
      <x:c r="H11" s="8" t="s">
        <x:v>2</x:v>
      </x:c>
      <x:c r="I11" s="8" t="str">
        <x:f>IF($A11="Verdadero o Falso Simple","A","")</x:f>
      </x:c>
      <x:c r="J11" s="8" t="s">
        <x:v>3</x:v>
      </x:c>
      <x:c r="K11" s="8" t="s">
        <x:v>4</x:v>
      </x:c>
      <x:c r="L11" s="10" t="str">
        <x:f>IF(TRIM($A11)="","",IF(COUNTIF($M11:$AG11,"?*")=0,"OK","Falta revisar: "&amp;$M11&amp;$N11&amp;$O11&amp;$P11&amp;$Q11&amp;$R11&amp;$S11&amp;$T11&amp;$U11&amp;$V11&amp;$W11&amp;$X11&amp;$Y11&amp;$Z11&amp;$AA11&amp;$AB11&amp;$AC11&amp;$AD11&amp;$AE11&amp;$AF11&amp;$AG11))</x:f>
        <x:v>OK</x:v>
      </x:c>
      <x:c r="M11" t="str">
        <x:f>IF(TRIM($C11)="","enunciado","")</x:f>
        <x:v>enunciado</x:v>
      </x:c>
      <x:c r="N11" t="str">
        <x:f>IF(TRIM($K11)="",IF(COUNTIF($M11:$M11,"?*")&gt;0,", ","")&amp;"parcial","")</x:f>
      </x:c>
      <x:c r="O11" t="str">
        <x:f>IF(AND(TRIM($K11)&lt;&gt;"",TRIM($K11)&lt;&gt;"EF"),IF(COUNTIF($M11:$N11,"?*")&gt;0,", ","")&amp;"parcial distinto a EF","")</x:f>
      </x:c>
      <x:c r="P11" t="str">
        <x:f>IF(AND(OR($A11="Ítems agrupados por caso clínico o problema",$A11="Subítem de caso o problema",$A11="Emparejamiento Ampliado",$A11="Opción de Emparejamiento Ampliado"),TRIM($B11)=""),IF(COUNTIF($M11:$O11,"?*")&gt;0,", ","")&amp;"grupo","")</x:f>
      </x:c>
      <x:c r="Q11" t="str">
        <x:f>IF(AND(OR($A11="Verdadero o Falso Simple",$A11="Respuesta A/B/Ambas/Ninguna",$A11="Verdadero o Falso Complejas",$A11="Selección de la mejor respuesta",$A11="Subítem de caso o problema",$A11="Opción de Emparejamiento Ampliado"),TRIM($I11)=""),IF(COUNTIF($M11:$P11,"?*")&gt;0,", ","")&amp;"respuesta_correcta","")</x:f>
      </x:c>
      <x:c r="R11" t="str">
        <x:f>IF(AND(OR($A11="Verdadero o Falso Simple",$A11="Respuesta A/B/Ambas/Ninguna",$A11="Verdadero o Falso Complejas",$A11="Selección de la mejor respuesta",$A11="Subítem de caso o problema",$A11="Opción de Emparejamiento Ampliado"),TRIM($J11)=""),IF(COUNTIF($M11:$Q11,"?*")&gt;0,", ","")&amp;"dificultad","")</x:f>
      </x:c>
      <x:c r="S11" t="str">
        <x:f>IF(AND(OR($A11="Ítems agrupados por caso clínico o problema",$A11="Emparejamiento Ampliado"),TRIM($I11)&lt;&gt;""),IF(COUNTIF($M11:$R11,"?*")&gt;0,", ","")&amp;"respuesta debe ir vacia","")</x:f>
      </x:c>
      <x:c r="T11" t="str">
        <x:f>IF(AND(OR($A11="Ítems agrupados por caso clínico o problema",$A11="Emparejamiento Ampliado"),TRIM($J11)&lt;&gt;""),IF(COUNTIF($M11:$S11,"?*")&gt;0,", ","")&amp;"dificultad debe ir vacia","")</x:f>
      </x:c>
      <x:c r="U11" t="str">
        <x:f>IF(AND($A11="Verdadero o Falso Simple",OR(COUNTIF($D11:$E11,"?*")&lt;2,COUNTIF($F11:$H11,"?*")&gt;0)),IF(COUNTIF($M11:$T11,"?*")&gt;0,", ","")&amp;"incisos A-B","")</x:f>
      </x:c>
      <x:c r="V11" t="str">
        <x:f>IF(AND($A11="Verdadero o Falso Simple",TRIM($I11)&lt;&gt;"",NOT(OR(LEFT(TRIM($I11),1)="A",LEFT(TRIM($I11),1)="B"))),IF(COUNTIF($M11:$U11,"?*")&gt;0,", ","")&amp;"respuesta A-B","")</x:f>
      </x:c>
      <x:c r="W11" t="str">
        <x:f>IF(AND($A11="Respuesta A/B/Ambas/Ninguna",COUNTIF($D11:$G11,"?*")&lt;4),IF(COUNTIF($M11:$V11,"?*")&gt;0,", ","")&amp;"opciones A-D","")</x:f>
      </x:c>
      <x:c r="X11" t="str">
        <x:f>IF(AND($A11="Respuesta A/B/Ambas/Ninguna",COUNTIF($H11:$H11,"?*")&gt;0),IF(COUNTIF($M11:$W11,"?*")&gt;0,", ","")&amp;"opcion E deshabilitada","")</x:f>
      </x:c>
      <x:c r="Y11" t="str">
        <x:f>IF(AND($A11="Respuesta A/B/Ambas/Ninguna",TRIM($I11)&lt;&gt;"",NOT(OR(LEFT(TRIM($I11),1)="A",LEFT(TRIM($I11),1)="B",LEFT(TRIM($I11),1)="C",LEFT(TRIM($I11),1)="D"))),IF(COUNTIF($M11:$X11,"?*")&gt;0,", ","")&amp;"respuesta A-D","")</x:f>
      </x:c>
      <x:c r="Z11" t="str">
        <x:f>IF(AND($A11="Verdadero o Falso Complejas",OR(LEN(TRIM(SUBSTITUTE($D11,"1.","")))=0,LEN(TRIM(SUBSTITUTE($E11,"2.","")))=0,LEN(TRIM(SUBSTITUTE($F11,"3.","")))=0,LEN(TRIM(SUBSTITUTE($G11,"4.","")))=0)),IF(COUNTIF($M11:$Y11,"?*")&gt;0,", ","")&amp;"incisos 1-4","")</x:f>
      </x:c>
      <x:c r="AA11" t="str">
        <x:f>IF(AND($A11="Verdadero o Falso Complejas",COUNTIF($H11:$H11,"?*")&gt;0),IF(COUNTIF($M11:$Z11,"?*")&gt;0,", ","")&amp;"opcion E deshabilitada","")</x:f>
      </x:c>
      <x:c r="AB11" t="str">
        <x:f>IF(AND($A11="Verdadero o Falso Complejas",TRIM($I11)&lt;&gt;"",NOT(OR(LEFT(TRIM($I11),1)="A",LEFT(TRIM($I11),1)="B",LEFT(TRIM($I11),1)="C",LEFT(TRIM($I11),1)="D",LEFT(TRIM($I11),1)="E"))),IF(COUNTIF($M11:$AA11,"?*")&gt;0,", ","")&amp;"respuesta A-E","")</x:f>
      </x:c>
      <x:c r="AC11" t="str">
        <x:f>IF(AND(OR($A11="Selección de la mejor respuesta",$A11="Subítem de caso o problema"),COUNTIF($D11:$H11,"?*")&lt;5),IF(COUNTIF($M11:$AB11,"?*")&gt;0,", ","")&amp;"incisos A-E","")</x:f>
      </x:c>
      <x:c r="AD11" t="str">
        <x:f>IF(AND(OR($A11="Selección de la mejor respuesta",$A11="Subítem de caso o problema"),TRIM($I11)&lt;&gt;"",NOT(OR(LEFT(TRIM($I11),1)="A",LEFT(TRIM($I11),1)="B",LEFT(TRIM($I11),1)="C",LEFT(TRIM($I11),1)="D",LEFT(TRIM($I11),1)="E"))),IF(COUNTIF($M11:$AC11,"?*")&gt;0,", ","")&amp;"respuesta A-E","")</x:f>
      </x:c>
      <x:c r="AE11" t="str">
        <x:f>IF(AND(OR($A11="Ítems agrupados por caso clínico o problema",$A11="Opción de Emparejamiento Ampliado"),COUNTIF($D11:$H11,"?*")&gt;0),IF(COUNTIF($M11:$AD11,"?*")&gt;0,", ","")&amp;"sin incisos","")</x:f>
      </x:c>
      <x:c r="AF11" t="str">
        <x:f>IF(AND($A11="Emparejamiento Ampliado",COUNTIF($D11:$H11,"?*")&lt;2),IF(COUNTIF($M11:$AE11,"?*")&gt;0,", ","")&amp;"minimo 2 claves","")</x:f>
      </x:c>
      <x:c r="AG11" t="str">
        <x:f>IF(AND($A11="Opción de Emparejamiento Ampliado",NOT(OR(LEFT(TRIM($I11),1)="A",LEFT(TRIM($I11),1)="B",LEFT(TRIM($I11),1)="C",LEFT(TRIM($I11),1)="D",LEFT(TRIM($I11),1)="E"))),IF(COUNTIF($M11:$AF11,"?*")&gt;0,", ","")&amp;"respuesta A-E","")</x:f>
      </x:c>
      <x:c r="AK11" s="26" t="str"/>
    </x:row>
    <x:row r="12" ht="24" customHeight="1">
      <x:c r="A12" s="8" t="s">
        <x:v>2</x:v>
      </x:c>
      <x:c r="B12" s="8" t="s">
        <x:v>2</x:v>
      </x:c>
      <x:c r="C12" s="9" t="str">
        <x:f>IF($A12="Emparejamiento Ampliado",VALIDACIONES!$I$1,IF($A12="Respuesta A/B/Ambas/Ninguna","I. "&amp;CHAR(10)&amp;"II. ",""))</x:f>
      </x:c>
      <x:c r="D12" s="8" t="str">
        <x:f>IF($A12="Verdadero o Falso Simple","Verdadero",IF($A12="Respuesta A/B/Ambas/Ninguna","A. Si la primera es verdadera",""))</x:f>
      </x:c>
      <x:c r="E12" s="8" t="str">
        <x:f>IF($A12="Verdadero o Falso Simple","Falso",IF($A12="Respuesta A/B/Ambas/Ninguna","B. Si la segunda es verdadera",""))</x:f>
      </x:c>
      <x:c r="F12" s="8" t="str">
        <x:f>IF($A12="Respuesta A/B/Ambas/Ninguna","C. Si ambas son verdaderas","")</x:f>
      </x:c>
      <x:c r="G12" s="8" t="str">
        <x:f>IF($A12="Respuesta A/B/Ambas/Ninguna","D. Si ninguna es verdadera","")</x:f>
      </x:c>
      <x:c r="H12" s="8" t="s">
        <x:v>2</x:v>
      </x:c>
      <x:c r="I12" s="8" t="str">
        <x:f>IF($A12="Verdadero o Falso Simple","A","")</x:f>
      </x:c>
      <x:c r="J12" s="8" t="s">
        <x:v>3</x:v>
      </x:c>
      <x:c r="K12" s="8" t="s">
        <x:v>4</x:v>
      </x:c>
      <x:c r="L12" s="10" t="str">
        <x:f>IF(TRIM($A12)="","",IF(COUNTIF($M12:$AG12,"?*")=0,"OK","Falta revisar: "&amp;$M12&amp;$N12&amp;$O12&amp;$P12&amp;$Q12&amp;$R12&amp;$S12&amp;$T12&amp;$U12&amp;$V12&amp;$W12&amp;$X12&amp;$Y12&amp;$Z12&amp;$AA12&amp;$AB12&amp;$AC12&amp;$AD12&amp;$AE12&amp;$AF12&amp;$AG12))</x:f>
        <x:v>OK</x:v>
      </x:c>
      <x:c r="M12" t="str">
        <x:f>IF(TRIM($C12)="","enunciado","")</x:f>
        <x:v>enunciado</x:v>
      </x:c>
      <x:c r="N12" t="str">
        <x:f>IF(TRIM($K12)="",IF(COUNTIF($M12:$M12,"?*")&gt;0,", ","")&amp;"parcial","")</x:f>
      </x:c>
      <x:c r="O12" t="str">
        <x:f>IF(AND(TRIM($K12)&lt;&gt;"",TRIM($K12)&lt;&gt;"EF"),IF(COUNTIF($M12:$N12,"?*")&gt;0,", ","")&amp;"parcial distinto a EF","")</x:f>
      </x:c>
      <x:c r="P12" t="str">
        <x:f>IF(AND(OR($A12="Ítems agrupados por caso clínico o problema",$A12="Subítem de caso o problema",$A12="Emparejamiento Ampliado",$A12="Opción de Emparejamiento Ampliado"),TRIM($B12)=""),IF(COUNTIF($M12:$O12,"?*")&gt;0,", ","")&amp;"grupo","")</x:f>
      </x:c>
      <x:c r="Q12" t="str">
        <x:f>IF(AND(OR($A12="Verdadero o Falso Simple",$A12="Respuesta A/B/Ambas/Ninguna",$A12="Verdadero o Falso Complejas",$A12="Selección de la mejor respuesta",$A12="Subítem de caso o problema",$A12="Opción de Emparejamiento Ampliado"),TRIM($I12)=""),IF(COUNTIF($M12:$P12,"?*")&gt;0,", ","")&amp;"respuesta_correcta","")</x:f>
      </x:c>
      <x:c r="R12" t="str">
        <x:f>IF(AND(OR($A12="Verdadero o Falso Simple",$A12="Respuesta A/B/Ambas/Ninguna",$A12="Verdadero o Falso Complejas",$A12="Selección de la mejor respuesta",$A12="Subítem de caso o problema",$A12="Opción de Emparejamiento Ampliado"),TRIM($J12)=""),IF(COUNTIF($M12:$Q12,"?*")&gt;0,", ","")&amp;"dificultad","")</x:f>
      </x:c>
      <x:c r="S12" t="str">
        <x:f>IF(AND(OR($A12="Ítems agrupados por caso clínico o problema",$A12="Emparejamiento Ampliado"),TRIM($I12)&lt;&gt;""),IF(COUNTIF($M12:$R12,"?*")&gt;0,", ","")&amp;"respuesta debe ir vacia","")</x:f>
      </x:c>
      <x:c r="T12" t="str">
        <x:f>IF(AND(OR($A12="Ítems agrupados por caso clínico o problema",$A12="Emparejamiento Ampliado"),TRIM($J12)&lt;&gt;""),IF(COUNTIF($M12:$S12,"?*")&gt;0,", ","")&amp;"dificultad debe ir vacia","")</x:f>
      </x:c>
      <x:c r="U12" t="str">
        <x:f>IF(AND($A12="Verdadero o Falso Simple",OR(COUNTIF($D12:$E12,"?*")&lt;2,COUNTIF($F12:$H12,"?*")&gt;0)),IF(COUNTIF($M12:$T12,"?*")&gt;0,", ","")&amp;"incisos A-B","")</x:f>
      </x:c>
      <x:c r="V12" t="str">
        <x:f>IF(AND($A12="Verdadero o Falso Simple",TRIM($I12)&lt;&gt;"",NOT(OR(LEFT(TRIM($I12),1)="A",LEFT(TRIM($I12),1)="B"))),IF(COUNTIF($M12:$U12,"?*")&gt;0,", ","")&amp;"respuesta A-B","")</x:f>
      </x:c>
      <x:c r="W12" t="str">
        <x:f>IF(AND($A12="Respuesta A/B/Ambas/Ninguna",COUNTIF($D12:$G12,"?*")&lt;4),IF(COUNTIF($M12:$V12,"?*")&gt;0,", ","")&amp;"opciones A-D","")</x:f>
      </x:c>
      <x:c r="X12" t="str">
        <x:f>IF(AND($A12="Respuesta A/B/Ambas/Ninguna",COUNTIF($H12:$H12,"?*")&gt;0),IF(COUNTIF($M12:$W12,"?*")&gt;0,", ","")&amp;"opcion E deshabilitada","")</x:f>
      </x:c>
      <x:c r="Y12" t="str">
        <x:f>IF(AND($A12="Respuesta A/B/Ambas/Ninguna",TRIM($I12)&lt;&gt;"",NOT(OR(LEFT(TRIM($I12),1)="A",LEFT(TRIM($I12),1)="B",LEFT(TRIM($I12),1)="C",LEFT(TRIM($I12),1)="D"))),IF(COUNTIF($M12:$X12,"?*")&gt;0,", ","")&amp;"respuesta A-D","")</x:f>
      </x:c>
      <x:c r="Z12" t="str">
        <x:f>IF(AND($A12="Verdadero o Falso Complejas",OR(LEN(TRIM(SUBSTITUTE($D12,"1.","")))=0,LEN(TRIM(SUBSTITUTE($E12,"2.","")))=0,LEN(TRIM(SUBSTITUTE($F12,"3.","")))=0,LEN(TRIM(SUBSTITUTE($G12,"4.","")))=0)),IF(COUNTIF($M12:$Y12,"?*")&gt;0,", ","")&amp;"incisos 1-4","")</x:f>
      </x:c>
      <x:c r="AA12" t="str">
        <x:f>IF(AND($A12="Verdadero o Falso Complejas",COUNTIF($H12:$H12,"?*")&gt;0),IF(COUNTIF($M12:$Z12,"?*")&gt;0,", ","")&amp;"opcion E deshabilitada","")</x:f>
      </x:c>
      <x:c r="AB12" t="str">
        <x:f>IF(AND($A12="Verdadero o Falso Complejas",TRIM($I12)&lt;&gt;"",NOT(OR(LEFT(TRIM($I12),1)="A",LEFT(TRIM($I12),1)="B",LEFT(TRIM($I12),1)="C",LEFT(TRIM($I12),1)="D",LEFT(TRIM($I12),1)="E"))),IF(COUNTIF($M12:$AA12,"?*")&gt;0,", ","")&amp;"respuesta A-E","")</x:f>
      </x:c>
      <x:c r="AC12" t="str">
        <x:f>IF(AND(OR($A12="Selección de la mejor respuesta",$A12="Subítem de caso o problema"),COUNTIF($D12:$H12,"?*")&lt;5),IF(COUNTIF($M12:$AB12,"?*")&gt;0,", ","")&amp;"incisos A-E","")</x:f>
      </x:c>
      <x:c r="AD12" t="str">
        <x:f>IF(AND(OR($A12="Selección de la mejor respuesta",$A12="Subítem de caso o problema"),TRIM($I12)&lt;&gt;"",NOT(OR(LEFT(TRIM($I12),1)="A",LEFT(TRIM($I12),1)="B",LEFT(TRIM($I12),1)="C",LEFT(TRIM($I12),1)="D",LEFT(TRIM($I12),1)="E"))),IF(COUNTIF($M12:$AC12,"?*")&gt;0,", ","")&amp;"respuesta A-E","")</x:f>
      </x:c>
      <x:c r="AE12" t="str">
        <x:f>IF(AND(OR($A12="Ítems agrupados por caso clínico o problema",$A12="Opción de Emparejamiento Ampliado"),COUNTIF($D12:$H12,"?*")&gt;0),IF(COUNTIF($M12:$AD12,"?*")&gt;0,", ","")&amp;"sin incisos","")</x:f>
      </x:c>
      <x:c r="AF12" t="str">
        <x:f>IF(AND($A12="Emparejamiento Ampliado",COUNTIF($D12:$H12,"?*")&lt;2),IF(COUNTIF($M12:$AE12,"?*")&gt;0,", ","")&amp;"minimo 2 claves","")</x:f>
      </x:c>
      <x:c r="AG12" t="str">
        <x:f>IF(AND($A12="Opción de Emparejamiento Ampliado",NOT(OR(LEFT(TRIM($I12),1)="A",LEFT(TRIM($I12),1)="B",LEFT(TRIM($I12),1)="C",LEFT(TRIM($I12),1)="D",LEFT(TRIM($I12),1)="E"))),IF(COUNTIF($M12:$AF12,"?*")&gt;0,", ","")&amp;"respuesta A-E","")</x:f>
      </x:c>
      <x:c r="AK12" s="26" t="str"/>
    </x:row>
    <x:row r="13" ht="24" customHeight="1">
      <x:c r="A13" s="8" t="s">
        <x:v>2</x:v>
      </x:c>
      <x:c r="B13" s="8" t="s">
        <x:v>2</x:v>
      </x:c>
      <x:c r="C13" s="9" t="str">
        <x:f>IF($A13="Emparejamiento Ampliado",VALIDACIONES!$I$1,IF($A13="Respuesta A/B/Ambas/Ninguna","I. "&amp;CHAR(10)&amp;"II. ",""))</x:f>
      </x:c>
      <x:c r="D13" s="8" t="str">
        <x:f>IF($A13="Verdadero o Falso Simple","Verdadero",IF($A13="Respuesta A/B/Ambas/Ninguna","A. Si la primera es verdadera",""))</x:f>
      </x:c>
      <x:c r="E13" s="8" t="str">
        <x:f>IF($A13="Verdadero o Falso Simple","Falso",IF($A13="Respuesta A/B/Ambas/Ninguna","B. Si la segunda es verdadera",""))</x:f>
      </x:c>
      <x:c r="F13" s="8" t="str">
        <x:f>IF($A13="Respuesta A/B/Ambas/Ninguna","C. Si ambas son verdaderas","")</x:f>
      </x:c>
      <x:c r="G13" s="8" t="str">
        <x:f>IF($A13="Respuesta A/B/Ambas/Ninguna","D. Si ninguna es verdadera","")</x:f>
      </x:c>
      <x:c r="H13" s="8" t="s">
        <x:v>2</x:v>
      </x:c>
      <x:c r="I13" s="8" t="str">
        <x:f>IF($A13="Verdadero o Falso Simple","A","")</x:f>
      </x:c>
      <x:c r="J13" s="8" t="s">
        <x:v>3</x:v>
      </x:c>
      <x:c r="K13" s="8" t="s">
        <x:v>4</x:v>
      </x:c>
      <x:c r="L13" s="10" t="str">
        <x:f>IF(TRIM($A13)="","",IF(COUNTIF($M13:$AG13,"?*")=0,"OK","Falta revisar: "&amp;$M13&amp;$N13&amp;$O13&amp;$P13&amp;$Q13&amp;$R13&amp;$S13&amp;$T13&amp;$U13&amp;$V13&amp;$W13&amp;$X13&amp;$Y13&amp;$Z13&amp;$AA13&amp;$AB13&amp;$AC13&amp;$AD13&amp;$AE13&amp;$AF13&amp;$AG13))</x:f>
        <x:v>OK</x:v>
      </x:c>
      <x:c r="M13" t="str">
        <x:f>IF(TRIM($C13)="","enunciado","")</x:f>
        <x:v>enunciado</x:v>
      </x:c>
      <x:c r="N13" t="str">
        <x:f>IF(TRIM($K13)="",IF(COUNTIF($M13:$M13,"?*")&gt;0,", ","")&amp;"parcial","")</x:f>
      </x:c>
      <x:c r="O13" t="str">
        <x:f>IF(AND(TRIM($K13)&lt;&gt;"",TRIM($K13)&lt;&gt;"EF"),IF(COUNTIF($M13:$N13,"?*")&gt;0,", ","")&amp;"parcial distinto a EF","")</x:f>
      </x:c>
      <x:c r="P13" t="str">
        <x:f>IF(AND(OR($A13="Ítems agrupados por caso clínico o problema",$A13="Subítem de caso o problema",$A13="Emparejamiento Ampliado",$A13="Opción de Emparejamiento Ampliado"),TRIM($B13)=""),IF(COUNTIF($M13:$O13,"?*")&gt;0,", ","")&amp;"grupo","")</x:f>
      </x:c>
      <x:c r="Q13" t="str">
        <x:f>IF(AND(OR($A13="Verdadero o Falso Simple",$A13="Respuesta A/B/Ambas/Ninguna",$A13="Verdadero o Falso Complejas",$A13="Selección de la mejor respuesta",$A13="Subítem de caso o problema",$A13="Opción de Emparejamiento Ampliado"),TRIM($I13)=""),IF(COUNTIF($M13:$P13,"?*")&gt;0,", ","")&amp;"respuesta_correcta","")</x:f>
      </x:c>
      <x:c r="R13" t="str">
        <x:f>IF(AND(OR($A13="Verdadero o Falso Simple",$A13="Respuesta A/B/Ambas/Ninguna",$A13="Verdadero o Falso Complejas",$A13="Selección de la mejor respuesta",$A13="Subítem de caso o problema",$A13="Opción de Emparejamiento Ampliado"),TRIM($J13)=""),IF(COUNTIF($M13:$Q13,"?*")&gt;0,", ","")&amp;"dificultad","")</x:f>
      </x:c>
      <x:c r="S13" t="str">
        <x:f>IF(AND(OR($A13="Ítems agrupados por caso clínico o problema",$A13="Emparejamiento Ampliado"),TRIM($I13)&lt;&gt;""),IF(COUNTIF($M13:$R13,"?*")&gt;0,", ","")&amp;"respuesta debe ir vacia","")</x:f>
      </x:c>
      <x:c r="T13" t="str">
        <x:f>IF(AND(OR($A13="Ítems agrupados por caso clínico o problema",$A13="Emparejamiento Ampliado"),TRIM($J13)&lt;&gt;""),IF(COUNTIF($M13:$S13,"?*")&gt;0,", ","")&amp;"dificultad debe ir vacia","")</x:f>
      </x:c>
      <x:c r="U13" t="str">
        <x:f>IF(AND($A13="Verdadero o Falso Simple",OR(COUNTIF($D13:$E13,"?*")&lt;2,COUNTIF($F13:$H13,"?*")&gt;0)),IF(COUNTIF($M13:$T13,"?*")&gt;0,", ","")&amp;"incisos A-B","")</x:f>
      </x:c>
      <x:c r="V13" t="str">
        <x:f>IF(AND($A13="Verdadero o Falso Simple",TRIM($I13)&lt;&gt;"",NOT(OR(LEFT(TRIM($I13),1)="A",LEFT(TRIM($I13),1)="B"))),IF(COUNTIF($M13:$U13,"?*")&gt;0,", ","")&amp;"respuesta A-B","")</x:f>
      </x:c>
      <x:c r="W13" t="str">
        <x:f>IF(AND($A13="Respuesta A/B/Ambas/Ninguna",COUNTIF($D13:$G13,"?*")&lt;4),IF(COUNTIF($M13:$V13,"?*")&gt;0,", ","")&amp;"opciones A-D","")</x:f>
      </x:c>
      <x:c r="X13" t="str">
        <x:f>IF(AND($A13="Respuesta A/B/Ambas/Ninguna",COUNTIF($H13:$H13,"?*")&gt;0),IF(COUNTIF($M13:$W13,"?*")&gt;0,", ","")&amp;"opcion E deshabilitada","")</x:f>
      </x:c>
      <x:c r="Y13" t="str">
        <x:f>IF(AND($A13="Respuesta A/B/Ambas/Ninguna",TRIM($I13)&lt;&gt;"",NOT(OR(LEFT(TRIM($I13),1)="A",LEFT(TRIM($I13),1)="B",LEFT(TRIM($I13),1)="C",LEFT(TRIM($I13),1)="D"))),IF(COUNTIF($M13:$X13,"?*")&gt;0,", ","")&amp;"respuesta A-D","")</x:f>
      </x:c>
      <x:c r="Z13" t="str">
        <x:f>IF(AND($A13="Verdadero o Falso Complejas",OR(LEN(TRIM(SUBSTITUTE($D13,"1.","")))=0,LEN(TRIM(SUBSTITUTE($E13,"2.","")))=0,LEN(TRIM(SUBSTITUTE($F13,"3.","")))=0,LEN(TRIM(SUBSTITUTE($G13,"4.","")))=0)),IF(COUNTIF($M13:$Y13,"?*")&gt;0,", ","")&amp;"incisos 1-4","")</x:f>
      </x:c>
      <x:c r="AA13" t="str">
        <x:f>IF(AND($A13="Verdadero o Falso Complejas",COUNTIF($H13:$H13,"?*")&gt;0),IF(COUNTIF($M13:$Z13,"?*")&gt;0,", ","")&amp;"opcion E deshabilitada","")</x:f>
      </x:c>
      <x:c r="AB13" t="str">
        <x:f>IF(AND($A13="Verdadero o Falso Complejas",TRIM($I13)&lt;&gt;"",NOT(OR(LEFT(TRIM($I13),1)="A",LEFT(TRIM($I13),1)="B",LEFT(TRIM($I13),1)="C",LEFT(TRIM($I13),1)="D",LEFT(TRIM($I13),1)="E"))),IF(COUNTIF($M13:$AA13,"?*")&gt;0,", ","")&amp;"respuesta A-E","")</x:f>
      </x:c>
      <x:c r="AC13" t="str">
        <x:f>IF(AND(OR($A13="Selección de la mejor respuesta",$A13="Subítem de caso o problema"),COUNTIF($D13:$H13,"?*")&lt;5),IF(COUNTIF($M13:$AB13,"?*")&gt;0,", ","")&amp;"incisos A-E","")</x:f>
      </x:c>
      <x:c r="AD13" t="str">
        <x:f>IF(AND(OR($A13="Selección de la mejor respuesta",$A13="Subítem de caso o problema"),TRIM($I13)&lt;&gt;"",NOT(OR(LEFT(TRIM($I13),1)="A",LEFT(TRIM($I13),1)="B",LEFT(TRIM($I13),1)="C",LEFT(TRIM($I13),1)="D",LEFT(TRIM($I13),1)="E"))),IF(COUNTIF($M13:$AC13,"?*")&gt;0,", ","")&amp;"respuesta A-E","")</x:f>
      </x:c>
      <x:c r="AE13" t="str">
        <x:f>IF(AND(OR($A13="Ítems agrupados por caso clínico o problema",$A13="Opción de Emparejamiento Ampliado"),COUNTIF($D13:$H13,"?*")&gt;0),IF(COUNTIF($M13:$AD13,"?*")&gt;0,", ","")&amp;"sin incisos","")</x:f>
      </x:c>
      <x:c r="AF13" t="str">
        <x:f>IF(AND($A13="Emparejamiento Ampliado",COUNTIF($D13:$H13,"?*")&lt;2),IF(COUNTIF($M13:$AE13,"?*")&gt;0,", ","")&amp;"minimo 2 claves","")</x:f>
      </x:c>
      <x:c r="AG13" t="str">
        <x:f>IF(AND($A13="Opción de Emparejamiento Ampliado",NOT(OR(LEFT(TRIM($I13),1)="A",LEFT(TRIM($I13),1)="B",LEFT(TRIM($I13),1)="C",LEFT(TRIM($I13),1)="D",LEFT(TRIM($I13),1)="E"))),IF(COUNTIF($M13:$AF13,"?*")&gt;0,", ","")&amp;"respuesta A-E","")</x:f>
      </x:c>
      <x:c r="AK13" s="26" t="str"/>
    </x:row>
    <x:row r="14" ht="24" customHeight="1">
      <x:c r="A14" s="8" t="s">
        <x:v>2</x:v>
      </x:c>
      <x:c r="B14" s="8" t="s">
        <x:v>2</x:v>
      </x:c>
      <x:c r="C14" s="9" t="str">
        <x:f>IF($A14="Emparejamiento Ampliado",VALIDACIONES!$I$1,IF($A14="Respuesta A/B/Ambas/Ninguna","I. "&amp;CHAR(10)&amp;"II. ",""))</x:f>
      </x:c>
      <x:c r="D14" s="8" t="str">
        <x:f>IF($A14="Verdadero o Falso Simple","Verdadero",IF($A14="Respuesta A/B/Ambas/Ninguna","A. Si la primera es verdadera",""))</x:f>
      </x:c>
      <x:c r="E14" s="8" t="str">
        <x:f>IF($A14="Verdadero o Falso Simple","Falso",IF($A14="Respuesta A/B/Ambas/Ninguna","B. Si la segunda es verdadera",""))</x:f>
      </x:c>
      <x:c r="F14" s="8" t="str">
        <x:f>IF($A14="Respuesta A/B/Ambas/Ninguna","C. Si ambas son verdaderas","")</x:f>
      </x:c>
      <x:c r="G14" s="8" t="str">
        <x:f>IF($A14="Respuesta A/B/Ambas/Ninguna","D. Si ninguna es verdadera","")</x:f>
      </x:c>
      <x:c r="H14" s="8" t="s">
        <x:v>2</x:v>
      </x:c>
      <x:c r="I14" s="8" t="str">
        <x:f>IF($A14="Verdadero o Falso Simple","A","")</x:f>
      </x:c>
      <x:c r="J14" s="8" t="s">
        <x:v>3</x:v>
      </x:c>
      <x:c r="K14" s="8" t="s">
        <x:v>4</x:v>
      </x:c>
      <x:c r="L14" s="10" t="str">
        <x:f>IF(TRIM($A14)="","",IF(COUNTIF($M14:$AG14,"?*")=0,"OK","Falta revisar: "&amp;$M14&amp;$N14&amp;$O14&amp;$P14&amp;$Q14&amp;$R14&amp;$S14&amp;$T14&amp;$U14&amp;$V14&amp;$W14&amp;$X14&amp;$Y14&amp;$Z14&amp;$AA14&amp;$AB14&amp;$AC14&amp;$AD14&amp;$AE14&amp;$AF14&amp;$AG14))</x:f>
        <x:v>OK</x:v>
      </x:c>
      <x:c r="M14" t="str">
        <x:f>IF(TRIM($C14)="","enunciado","")</x:f>
        <x:v>enunciado</x:v>
      </x:c>
      <x:c r="N14" t="str">
        <x:f>IF(TRIM($K14)="",IF(COUNTIF($M14:$M14,"?*")&gt;0,", ","")&amp;"parcial","")</x:f>
      </x:c>
      <x:c r="O14" t="str">
        <x:f>IF(AND(TRIM($K14)&lt;&gt;"",TRIM($K14)&lt;&gt;"EF"),IF(COUNTIF($M14:$N14,"?*")&gt;0,", ","")&amp;"parcial distinto a EF","")</x:f>
      </x:c>
      <x:c r="P14" t="str">
        <x:f>IF(AND(OR($A14="Ítems agrupados por caso clínico o problema",$A14="Subítem de caso o problema",$A14="Emparejamiento Ampliado",$A14="Opción de Emparejamiento Ampliado"),TRIM($B14)=""),IF(COUNTIF($M14:$O14,"?*")&gt;0,", ","")&amp;"grupo","")</x:f>
      </x:c>
      <x:c r="Q14" t="str">
        <x:f>IF(AND(OR($A14="Verdadero o Falso Simple",$A14="Respuesta A/B/Ambas/Ninguna",$A14="Verdadero o Falso Complejas",$A14="Selección de la mejor respuesta",$A14="Subítem de caso o problema",$A14="Opción de Emparejamiento Ampliado"),TRIM($I14)=""),IF(COUNTIF($M14:$P14,"?*")&gt;0,", ","")&amp;"respuesta_correcta","")</x:f>
      </x:c>
      <x:c r="R14" t="str">
        <x:f>IF(AND(OR($A14="Verdadero o Falso Simple",$A14="Respuesta A/B/Ambas/Ninguna",$A14="Verdadero o Falso Complejas",$A14="Selección de la mejor respuesta",$A14="Subítem de caso o problema",$A14="Opción de Emparejamiento Ampliado"),TRIM($J14)=""),IF(COUNTIF($M14:$Q14,"?*")&gt;0,", ","")&amp;"dificultad","")</x:f>
      </x:c>
      <x:c r="S14" t="str">
        <x:f>IF(AND(OR($A14="Ítems agrupados por caso clínico o problema",$A14="Emparejamiento Ampliado"),TRIM($I14)&lt;&gt;""),IF(COUNTIF($M14:$R14,"?*")&gt;0,", ","")&amp;"respuesta debe ir vacia","")</x:f>
      </x:c>
      <x:c r="T14" t="str">
        <x:f>IF(AND(OR($A14="Ítems agrupados por caso clínico o problema",$A14="Emparejamiento Ampliado"),TRIM($J14)&lt;&gt;""),IF(COUNTIF($M14:$S14,"?*")&gt;0,", ","")&amp;"dificultad debe ir vacia","")</x:f>
      </x:c>
      <x:c r="U14" t="str">
        <x:f>IF(AND($A14="Verdadero o Falso Simple",OR(COUNTIF($D14:$E14,"?*")&lt;2,COUNTIF($F14:$H14,"?*")&gt;0)),IF(COUNTIF($M14:$T14,"?*")&gt;0,", ","")&amp;"incisos A-B","")</x:f>
      </x:c>
      <x:c r="V14" t="str">
        <x:f>IF(AND($A14="Verdadero o Falso Simple",TRIM($I14)&lt;&gt;"",NOT(OR(LEFT(TRIM($I14),1)="A",LEFT(TRIM($I14),1)="B"))),IF(COUNTIF($M14:$U14,"?*")&gt;0,", ","")&amp;"respuesta A-B","")</x:f>
      </x:c>
      <x:c r="W14" t="str">
        <x:f>IF(AND($A14="Respuesta A/B/Ambas/Ninguna",COUNTIF($D14:$G14,"?*")&lt;4),IF(COUNTIF($M14:$V14,"?*")&gt;0,", ","")&amp;"opciones A-D","")</x:f>
      </x:c>
      <x:c r="X14" t="str">
        <x:f>IF(AND($A14="Respuesta A/B/Ambas/Ninguna",COUNTIF($H14:$H14,"?*")&gt;0),IF(COUNTIF($M14:$W14,"?*")&gt;0,", ","")&amp;"opcion E deshabilitada","")</x:f>
      </x:c>
      <x:c r="Y14" t="str">
        <x:f>IF(AND($A14="Respuesta A/B/Ambas/Ninguna",TRIM($I14)&lt;&gt;"",NOT(OR(LEFT(TRIM($I14),1)="A",LEFT(TRIM($I14),1)="B",LEFT(TRIM($I14),1)="C",LEFT(TRIM($I14),1)="D"))),IF(COUNTIF($M14:$X14,"?*")&gt;0,", ","")&amp;"respuesta A-D","")</x:f>
      </x:c>
      <x:c r="Z14" t="str">
        <x:f>IF(AND($A14="Verdadero o Falso Complejas",OR(LEN(TRIM(SUBSTITUTE($D14,"1.","")))=0,LEN(TRIM(SUBSTITUTE($E14,"2.","")))=0,LEN(TRIM(SUBSTITUTE($F14,"3.","")))=0,LEN(TRIM(SUBSTITUTE($G14,"4.","")))=0)),IF(COUNTIF($M14:$Y14,"?*")&gt;0,", ","")&amp;"incisos 1-4","")</x:f>
      </x:c>
      <x:c r="AA14" t="str">
        <x:f>IF(AND($A14="Verdadero o Falso Complejas",COUNTIF($H14:$H14,"?*")&gt;0),IF(COUNTIF($M14:$Z14,"?*")&gt;0,", ","")&amp;"opcion E deshabilitada","")</x:f>
      </x:c>
      <x:c r="AB14" t="str">
        <x:f>IF(AND($A14="Verdadero o Falso Complejas",TRIM($I14)&lt;&gt;"",NOT(OR(LEFT(TRIM($I14),1)="A",LEFT(TRIM($I14),1)="B",LEFT(TRIM($I14),1)="C",LEFT(TRIM($I14),1)="D",LEFT(TRIM($I14),1)="E"))),IF(COUNTIF($M14:$AA14,"?*")&gt;0,", ","")&amp;"respuesta A-E","")</x:f>
      </x:c>
      <x:c r="AC14" t="str">
        <x:f>IF(AND(OR($A14="Selección de la mejor respuesta",$A14="Subítem de caso o problema"),COUNTIF($D14:$H14,"?*")&lt;5),IF(COUNTIF($M14:$AB14,"?*")&gt;0,", ","")&amp;"incisos A-E","")</x:f>
      </x:c>
      <x:c r="AD14" t="str">
        <x:f>IF(AND(OR($A14="Selección de la mejor respuesta",$A14="Subítem de caso o problema"),TRIM($I14)&lt;&gt;"",NOT(OR(LEFT(TRIM($I14),1)="A",LEFT(TRIM($I14),1)="B",LEFT(TRIM($I14),1)="C",LEFT(TRIM($I14),1)="D",LEFT(TRIM($I14),1)="E"))),IF(COUNTIF($M14:$AC14,"?*")&gt;0,", ","")&amp;"respuesta A-E","")</x:f>
      </x:c>
      <x:c r="AE14" t="str">
        <x:f>IF(AND(OR($A14="Ítems agrupados por caso clínico o problema",$A14="Opción de Emparejamiento Ampliado"),COUNTIF($D14:$H14,"?*")&gt;0),IF(COUNTIF($M14:$AD14,"?*")&gt;0,", ","")&amp;"sin incisos","")</x:f>
      </x:c>
      <x:c r="AF14" t="str">
        <x:f>IF(AND($A14="Emparejamiento Ampliado",COUNTIF($D14:$H14,"?*")&lt;2),IF(COUNTIF($M14:$AE14,"?*")&gt;0,", ","")&amp;"minimo 2 claves","")</x:f>
      </x:c>
      <x:c r="AG14" t="str">
        <x:f>IF(AND($A14="Opción de Emparejamiento Ampliado",NOT(OR(LEFT(TRIM($I14),1)="A",LEFT(TRIM($I14),1)="B",LEFT(TRIM($I14),1)="C",LEFT(TRIM($I14),1)="D",LEFT(TRIM($I14),1)="E"))),IF(COUNTIF($M14:$AF14,"?*")&gt;0,", ","")&amp;"respuesta A-E","")</x:f>
      </x:c>
      <x:c r="AK14" s="26" t="str"/>
    </x:row>
    <x:row r="15" ht="24" customHeight="1">
      <x:c r="A15" s="8" t="s">
        <x:v>2</x:v>
      </x:c>
      <x:c r="B15" s="8" t="s">
        <x:v>2</x:v>
      </x:c>
      <x:c r="C15" s="9" t="str">
        <x:f>IF($A15="Emparejamiento Ampliado",VALIDACIONES!$I$1,IF($A15="Respuesta A/B/Ambas/Ninguna","I. "&amp;CHAR(10)&amp;"II. ",""))</x:f>
      </x:c>
      <x:c r="D15" s="8" t="str">
        <x:f>IF($A15="Verdadero o Falso Simple","Verdadero",IF($A15="Respuesta A/B/Ambas/Ninguna","A. Si la primera es verdadera",""))</x:f>
      </x:c>
      <x:c r="E15" s="8" t="str">
        <x:f>IF($A15="Verdadero o Falso Simple","Falso",IF($A15="Respuesta A/B/Ambas/Ninguna","B. Si la segunda es verdadera",""))</x:f>
      </x:c>
      <x:c r="F15" s="8" t="str">
        <x:f>IF($A15="Respuesta A/B/Ambas/Ninguna","C. Si ambas son verdaderas","")</x:f>
      </x:c>
      <x:c r="G15" s="8" t="str">
        <x:f>IF($A15="Respuesta A/B/Ambas/Ninguna","D. Si ninguna es verdadera","")</x:f>
      </x:c>
      <x:c r="H15" s="8" t="s">
        <x:v>2</x:v>
      </x:c>
      <x:c r="I15" s="8" t="str">
        <x:f>IF($A15="Verdadero o Falso Simple","A","")</x:f>
      </x:c>
      <x:c r="J15" s="8" t="s">
        <x:v>3</x:v>
      </x:c>
      <x:c r="K15" s="8" t="s">
        <x:v>4</x:v>
      </x:c>
      <x:c r="L15" s="10" t="str">
        <x:f>IF(TRIM($A15)="","",IF(COUNTIF($M15:$AG15,"?*")=0,"OK","Falta revisar: "&amp;$M15&amp;$N15&amp;$O15&amp;$P15&amp;$Q15&amp;$R15&amp;$S15&amp;$T15&amp;$U15&amp;$V15&amp;$W15&amp;$X15&amp;$Y15&amp;$Z15&amp;$AA15&amp;$AB15&amp;$AC15&amp;$AD15&amp;$AE15&amp;$AF15&amp;$AG15))</x:f>
        <x:v>OK</x:v>
      </x:c>
      <x:c r="M15" t="str">
        <x:f>IF(TRIM($C15)="","enunciado","")</x:f>
        <x:v>enunciado</x:v>
      </x:c>
      <x:c r="N15" t="str">
        <x:f>IF(TRIM($K15)="",IF(COUNTIF($M15:$M15,"?*")&gt;0,", ","")&amp;"parcial","")</x:f>
      </x:c>
      <x:c r="O15" t="str">
        <x:f>IF(AND(TRIM($K15)&lt;&gt;"",TRIM($K15)&lt;&gt;"EF"),IF(COUNTIF($M15:$N15,"?*")&gt;0,", ","")&amp;"parcial distinto a EF","")</x:f>
      </x:c>
      <x:c r="P15" t="str">
        <x:f>IF(AND(OR($A15="Ítems agrupados por caso clínico o problema",$A15="Subítem de caso o problema",$A15="Emparejamiento Ampliado",$A15="Opción de Emparejamiento Ampliado"),TRIM($B15)=""),IF(COUNTIF($M15:$O15,"?*")&gt;0,", ","")&amp;"grupo","")</x:f>
      </x:c>
      <x:c r="Q15" t="str">
        <x:f>IF(AND(OR($A15="Verdadero o Falso Simple",$A15="Respuesta A/B/Ambas/Ninguna",$A15="Verdadero o Falso Complejas",$A15="Selección de la mejor respuesta",$A15="Subítem de caso o problema",$A15="Opción de Emparejamiento Ampliado"),TRIM($I15)=""),IF(COUNTIF($M15:$P15,"?*")&gt;0,", ","")&amp;"respuesta_correcta","")</x:f>
      </x:c>
      <x:c r="R15" t="str">
        <x:f>IF(AND(OR($A15="Verdadero o Falso Simple",$A15="Respuesta A/B/Ambas/Ninguna",$A15="Verdadero o Falso Complejas",$A15="Selección de la mejor respuesta",$A15="Subítem de caso o problema",$A15="Opción de Emparejamiento Ampliado"),TRIM($J15)=""),IF(COUNTIF($M15:$Q15,"?*")&gt;0,", ","")&amp;"dificultad","")</x:f>
      </x:c>
      <x:c r="S15" t="str">
        <x:f>IF(AND(OR($A15="Ítems agrupados por caso clínico o problema",$A15="Emparejamiento Ampliado"),TRIM($I15)&lt;&gt;""),IF(COUNTIF($M15:$R15,"?*")&gt;0,", ","")&amp;"respuesta debe ir vacia","")</x:f>
      </x:c>
      <x:c r="T15" t="str">
        <x:f>IF(AND(OR($A15="Ítems agrupados por caso clínico o problema",$A15="Emparejamiento Ampliado"),TRIM($J15)&lt;&gt;""),IF(COUNTIF($M15:$S15,"?*")&gt;0,", ","")&amp;"dificultad debe ir vacia","")</x:f>
      </x:c>
      <x:c r="U15" t="str">
        <x:f>IF(AND($A15="Verdadero o Falso Simple",OR(COUNTIF($D15:$E15,"?*")&lt;2,COUNTIF($F15:$H15,"?*")&gt;0)),IF(COUNTIF($M15:$T15,"?*")&gt;0,", ","")&amp;"incisos A-B","")</x:f>
      </x:c>
      <x:c r="V15" t="str">
        <x:f>IF(AND($A15="Verdadero o Falso Simple",TRIM($I15)&lt;&gt;"",NOT(OR(LEFT(TRIM($I15),1)="A",LEFT(TRIM($I15),1)="B"))),IF(COUNTIF($M15:$U15,"?*")&gt;0,", ","")&amp;"respuesta A-B","")</x:f>
      </x:c>
      <x:c r="W15" t="str">
        <x:f>IF(AND($A15="Respuesta A/B/Ambas/Ninguna",COUNTIF($D15:$G15,"?*")&lt;4),IF(COUNTIF($M15:$V15,"?*")&gt;0,", ","")&amp;"opciones A-D","")</x:f>
      </x:c>
      <x:c r="X15" t="str">
        <x:f>IF(AND($A15="Respuesta A/B/Ambas/Ninguna",COUNTIF($H15:$H15,"?*")&gt;0),IF(COUNTIF($M15:$W15,"?*")&gt;0,", ","")&amp;"opcion E deshabilitada","")</x:f>
      </x:c>
      <x:c r="Y15" t="str">
        <x:f>IF(AND($A15="Respuesta A/B/Ambas/Ninguna",TRIM($I15)&lt;&gt;"",NOT(OR(LEFT(TRIM($I15),1)="A",LEFT(TRIM($I15),1)="B",LEFT(TRIM($I15),1)="C",LEFT(TRIM($I15),1)="D"))),IF(COUNTIF($M15:$X15,"?*")&gt;0,", ","")&amp;"respuesta A-D","")</x:f>
      </x:c>
      <x:c r="Z15" t="str">
        <x:f>IF(AND($A15="Verdadero o Falso Complejas",OR(LEN(TRIM(SUBSTITUTE($D15,"1.","")))=0,LEN(TRIM(SUBSTITUTE($E15,"2.","")))=0,LEN(TRIM(SUBSTITUTE($F15,"3.","")))=0,LEN(TRIM(SUBSTITUTE($G15,"4.","")))=0)),IF(COUNTIF($M15:$Y15,"?*")&gt;0,", ","")&amp;"incisos 1-4","")</x:f>
      </x:c>
      <x:c r="AA15" t="str">
        <x:f>IF(AND($A15="Verdadero o Falso Complejas",COUNTIF($H15:$H15,"?*")&gt;0),IF(COUNTIF($M15:$Z15,"?*")&gt;0,", ","")&amp;"opcion E deshabilitada","")</x:f>
      </x:c>
      <x:c r="AB15" t="str">
        <x:f>IF(AND($A15="Verdadero o Falso Complejas",TRIM($I15)&lt;&gt;"",NOT(OR(LEFT(TRIM($I15),1)="A",LEFT(TRIM($I15),1)="B",LEFT(TRIM($I15),1)="C",LEFT(TRIM($I15),1)="D",LEFT(TRIM($I15),1)="E"))),IF(COUNTIF($M15:$AA15,"?*")&gt;0,", ","")&amp;"respuesta A-E","")</x:f>
      </x:c>
      <x:c r="AC15" t="str">
        <x:f>IF(AND(OR($A15="Selección de la mejor respuesta",$A15="Subítem de caso o problema"),COUNTIF($D15:$H15,"?*")&lt;5),IF(COUNTIF($M15:$AB15,"?*")&gt;0,", ","")&amp;"incisos A-E","")</x:f>
      </x:c>
      <x:c r="AD15" t="str">
        <x:f>IF(AND(OR($A15="Selección de la mejor respuesta",$A15="Subítem de caso o problema"),TRIM($I15)&lt;&gt;"",NOT(OR(LEFT(TRIM($I15),1)="A",LEFT(TRIM($I15),1)="B",LEFT(TRIM($I15),1)="C",LEFT(TRIM($I15),1)="D",LEFT(TRIM($I15),1)="E"))),IF(COUNTIF($M15:$AC15,"?*")&gt;0,", ","")&amp;"respuesta A-E","")</x:f>
      </x:c>
      <x:c r="AE15" t="str">
        <x:f>IF(AND(OR($A15="Ítems agrupados por caso clínico o problema",$A15="Opción de Emparejamiento Ampliado"),COUNTIF($D15:$H15,"?*")&gt;0),IF(COUNTIF($M15:$AD15,"?*")&gt;0,", ","")&amp;"sin incisos","")</x:f>
      </x:c>
      <x:c r="AF15" t="str">
        <x:f>IF(AND($A15="Emparejamiento Ampliado",COUNTIF($D15:$H15,"?*")&lt;2),IF(COUNTIF($M15:$AE15,"?*")&gt;0,", ","")&amp;"minimo 2 claves","")</x:f>
      </x:c>
      <x:c r="AG15" t="str">
        <x:f>IF(AND($A15="Opción de Emparejamiento Ampliado",NOT(OR(LEFT(TRIM($I15),1)="A",LEFT(TRIM($I15),1)="B",LEFT(TRIM($I15),1)="C",LEFT(TRIM($I15),1)="D",LEFT(TRIM($I15),1)="E"))),IF(COUNTIF($M15:$AF15,"?*")&gt;0,", ","")&amp;"respuesta A-E","")</x:f>
      </x:c>
      <x:c r="AK15" s="26" t="str"/>
    </x:row>
    <x:row r="16" ht="24" customHeight="1">
      <x:c r="A16" s="8" t="s">
        <x:v>2</x:v>
      </x:c>
      <x:c r="B16" s="8" t="s">
        <x:v>2</x:v>
      </x:c>
      <x:c r="C16" s="9" t="str">
        <x:f>IF($A16="Emparejamiento Ampliado",VALIDACIONES!$I$1,IF($A16="Respuesta A/B/Ambas/Ninguna","I. "&amp;CHAR(10)&amp;"II. ",""))</x:f>
      </x:c>
      <x:c r="D16" s="8" t="str">
        <x:f>IF($A16="Verdadero o Falso Simple","Verdadero",IF($A16="Respuesta A/B/Ambas/Ninguna","A. Si la primera es verdadera",""))</x:f>
      </x:c>
      <x:c r="E16" s="8" t="str">
        <x:f>IF($A16="Verdadero o Falso Simple","Falso",IF($A16="Respuesta A/B/Ambas/Ninguna","B. Si la segunda es verdadera",""))</x:f>
      </x:c>
      <x:c r="F16" s="8" t="str">
        <x:f>IF($A16="Respuesta A/B/Ambas/Ninguna","C. Si ambas son verdaderas","")</x:f>
      </x:c>
      <x:c r="G16" s="8" t="str">
        <x:f>IF($A16="Respuesta A/B/Ambas/Ninguna","D. Si ninguna es verdadera","")</x:f>
      </x:c>
      <x:c r="H16" s="8" t="s">
        <x:v>2</x:v>
      </x:c>
      <x:c r="I16" s="8" t="str">
        <x:f>IF($A16="Verdadero o Falso Simple","A","")</x:f>
      </x:c>
      <x:c r="J16" s="8" t="s">
        <x:v>3</x:v>
      </x:c>
      <x:c r="K16" s="8" t="s">
        <x:v>4</x:v>
      </x:c>
      <x:c r="L16" s="10" t="str">
        <x:f>IF(TRIM($A16)="","",IF(COUNTIF($M16:$AG16,"?*")=0,"OK","Falta revisar: "&amp;$M16&amp;$N16&amp;$O16&amp;$P16&amp;$Q16&amp;$R16&amp;$S16&amp;$T16&amp;$U16&amp;$V16&amp;$W16&amp;$X16&amp;$Y16&amp;$Z16&amp;$AA16&amp;$AB16&amp;$AC16&amp;$AD16&amp;$AE16&amp;$AF16&amp;$AG16))</x:f>
        <x:v>OK</x:v>
      </x:c>
      <x:c r="M16" t="str">
        <x:f>IF(TRIM($C16)="","enunciado","")</x:f>
        <x:v>enunciado</x:v>
      </x:c>
      <x:c r="N16" t="str">
        <x:f>IF(TRIM($K16)="",IF(COUNTIF($M16:$M16,"?*")&gt;0,", ","")&amp;"parcial","")</x:f>
      </x:c>
      <x:c r="O16" t="str">
        <x:f>IF(AND(TRIM($K16)&lt;&gt;"",TRIM($K16)&lt;&gt;"EF"),IF(COUNTIF($M16:$N16,"?*")&gt;0,", ","")&amp;"parcial distinto a EF","")</x:f>
      </x:c>
      <x:c r="P16" t="str">
        <x:f>IF(AND(OR($A16="Ítems agrupados por caso clínico o problema",$A16="Subítem de caso o problema",$A16="Emparejamiento Ampliado",$A16="Opción de Emparejamiento Ampliado"),TRIM($B16)=""),IF(COUNTIF($M16:$O16,"?*")&gt;0,", ","")&amp;"grupo","")</x:f>
      </x:c>
      <x:c r="Q16" t="str">
        <x:f>IF(AND(OR($A16="Verdadero o Falso Simple",$A16="Respuesta A/B/Ambas/Ninguna",$A16="Verdadero o Falso Complejas",$A16="Selección de la mejor respuesta",$A16="Subítem de caso o problema",$A16="Opción de Emparejamiento Ampliado"),TRIM($I16)=""),IF(COUNTIF($M16:$P16,"?*")&gt;0,", ","")&amp;"respuesta_correcta","")</x:f>
      </x:c>
      <x:c r="R16" t="str">
        <x:f>IF(AND(OR($A16="Verdadero o Falso Simple",$A16="Respuesta A/B/Ambas/Ninguna",$A16="Verdadero o Falso Complejas",$A16="Selección de la mejor respuesta",$A16="Subítem de caso o problema",$A16="Opción de Emparejamiento Ampliado"),TRIM($J16)=""),IF(COUNTIF($M16:$Q16,"?*")&gt;0,", ","")&amp;"dificultad","")</x:f>
      </x:c>
      <x:c r="S16" t="str">
        <x:f>IF(AND(OR($A16="Ítems agrupados por caso clínico o problema",$A16="Emparejamiento Ampliado"),TRIM($I16)&lt;&gt;""),IF(COUNTIF($M16:$R16,"?*")&gt;0,", ","")&amp;"respuesta debe ir vacia","")</x:f>
      </x:c>
      <x:c r="T16" t="str">
        <x:f>IF(AND(OR($A16="Ítems agrupados por caso clínico o problema",$A16="Emparejamiento Ampliado"),TRIM($J16)&lt;&gt;""),IF(COUNTIF($M16:$S16,"?*")&gt;0,", ","")&amp;"dificultad debe ir vacia","")</x:f>
      </x:c>
      <x:c r="U16" t="str">
        <x:f>IF(AND($A16="Verdadero o Falso Simple",OR(COUNTIF($D16:$E16,"?*")&lt;2,COUNTIF($F16:$H16,"?*")&gt;0)),IF(COUNTIF($M16:$T16,"?*")&gt;0,", ","")&amp;"incisos A-B","")</x:f>
      </x:c>
      <x:c r="V16" t="str">
        <x:f>IF(AND($A16="Verdadero o Falso Simple",TRIM($I16)&lt;&gt;"",NOT(OR(LEFT(TRIM($I16),1)="A",LEFT(TRIM($I16),1)="B"))),IF(COUNTIF($M16:$U16,"?*")&gt;0,", ","")&amp;"respuesta A-B","")</x:f>
      </x:c>
      <x:c r="W16" t="str">
        <x:f>IF(AND($A16="Respuesta A/B/Ambas/Ninguna",COUNTIF($D16:$G16,"?*")&lt;4),IF(COUNTIF($M16:$V16,"?*")&gt;0,", ","")&amp;"opciones A-D","")</x:f>
      </x:c>
      <x:c r="X16" t="str">
        <x:f>IF(AND($A16="Respuesta A/B/Ambas/Ninguna",COUNTIF($H16:$H16,"?*")&gt;0),IF(COUNTIF($M16:$W16,"?*")&gt;0,", ","")&amp;"opcion E deshabilitada","")</x:f>
      </x:c>
      <x:c r="Y16" t="str">
        <x:f>IF(AND($A16="Respuesta A/B/Ambas/Ninguna",TRIM($I16)&lt;&gt;"",NOT(OR(LEFT(TRIM($I16),1)="A",LEFT(TRIM($I16),1)="B",LEFT(TRIM($I16),1)="C",LEFT(TRIM($I16),1)="D"))),IF(COUNTIF($M16:$X16,"?*")&gt;0,", ","")&amp;"respuesta A-D","")</x:f>
      </x:c>
      <x:c r="Z16" t="str">
        <x:f>IF(AND($A16="Verdadero o Falso Complejas",OR(LEN(TRIM(SUBSTITUTE($D16,"1.","")))=0,LEN(TRIM(SUBSTITUTE($E16,"2.","")))=0,LEN(TRIM(SUBSTITUTE($F16,"3.","")))=0,LEN(TRIM(SUBSTITUTE($G16,"4.","")))=0)),IF(COUNTIF($M16:$Y16,"?*")&gt;0,", ","")&amp;"incisos 1-4","")</x:f>
      </x:c>
      <x:c r="AA16" t="str">
        <x:f>IF(AND($A16="Verdadero o Falso Complejas",COUNTIF($H16:$H16,"?*")&gt;0),IF(COUNTIF($M16:$Z16,"?*")&gt;0,", ","")&amp;"opcion E deshabilitada","")</x:f>
      </x:c>
      <x:c r="AB16" t="str">
        <x:f>IF(AND($A16="Verdadero o Falso Complejas",TRIM($I16)&lt;&gt;"",NOT(OR(LEFT(TRIM($I16),1)="A",LEFT(TRIM($I16),1)="B",LEFT(TRIM($I16),1)="C",LEFT(TRIM($I16),1)="D",LEFT(TRIM($I16),1)="E"))),IF(COUNTIF($M16:$AA16,"?*")&gt;0,", ","")&amp;"respuesta A-E","")</x:f>
      </x:c>
      <x:c r="AC16" t="str">
        <x:f>IF(AND(OR($A16="Selección de la mejor respuesta",$A16="Subítem de caso o problema"),COUNTIF($D16:$H16,"?*")&lt;5),IF(COUNTIF($M16:$AB16,"?*")&gt;0,", ","")&amp;"incisos A-E","")</x:f>
      </x:c>
      <x:c r="AD16" t="str">
        <x:f>IF(AND(OR($A16="Selección de la mejor respuesta",$A16="Subítem de caso o problema"),TRIM($I16)&lt;&gt;"",NOT(OR(LEFT(TRIM($I16),1)="A",LEFT(TRIM($I16),1)="B",LEFT(TRIM($I16),1)="C",LEFT(TRIM($I16),1)="D",LEFT(TRIM($I16),1)="E"))),IF(COUNTIF($M16:$AC16,"?*")&gt;0,", ","")&amp;"respuesta A-E","")</x:f>
      </x:c>
      <x:c r="AE16" t="str">
        <x:f>IF(AND(OR($A16="Ítems agrupados por caso clínico o problema",$A16="Opción de Emparejamiento Ampliado"),COUNTIF($D16:$H16,"?*")&gt;0),IF(COUNTIF($M16:$AD16,"?*")&gt;0,", ","")&amp;"sin incisos","")</x:f>
      </x:c>
      <x:c r="AF16" t="str">
        <x:f>IF(AND($A16="Emparejamiento Ampliado",COUNTIF($D16:$H16,"?*")&lt;2),IF(COUNTIF($M16:$AE16,"?*")&gt;0,", ","")&amp;"minimo 2 claves","")</x:f>
      </x:c>
      <x:c r="AG16" t="str">
        <x:f>IF(AND($A16="Opción de Emparejamiento Ampliado",NOT(OR(LEFT(TRIM($I16),1)="A",LEFT(TRIM($I16),1)="B",LEFT(TRIM($I16),1)="C",LEFT(TRIM($I16),1)="D",LEFT(TRIM($I16),1)="E"))),IF(COUNTIF($M16:$AF16,"?*")&gt;0,", ","")&amp;"respuesta A-E","")</x:f>
      </x:c>
      <x:c r="AK16" s="26" t="str"/>
    </x:row>
    <x:row r="17" ht="24" customHeight="1">
      <x:c r="A17" s="8" t="s">
        <x:v>2</x:v>
      </x:c>
      <x:c r="B17" s="8" t="s">
        <x:v>2</x:v>
      </x:c>
      <x:c r="C17" s="9" t="str">
        <x:f>IF($A17="Emparejamiento Ampliado",VALIDACIONES!$I$1,IF($A17="Respuesta A/B/Ambas/Ninguna","I. "&amp;CHAR(10)&amp;"II. ",""))</x:f>
      </x:c>
      <x:c r="D17" s="8" t="str">
        <x:f>IF($A17="Verdadero o Falso Simple","Verdadero",IF($A17="Respuesta A/B/Ambas/Ninguna","A. Si la primera es verdadera",""))</x:f>
      </x:c>
      <x:c r="E17" s="8" t="str">
        <x:f>IF($A17="Verdadero o Falso Simple","Falso",IF($A17="Respuesta A/B/Ambas/Ninguna","B. Si la segunda es verdadera",""))</x:f>
      </x:c>
      <x:c r="F17" s="8" t="str">
        <x:f>IF($A17="Respuesta A/B/Ambas/Ninguna","C. Si ambas son verdaderas","")</x:f>
      </x:c>
      <x:c r="G17" s="8" t="str">
        <x:f>IF($A17="Respuesta A/B/Ambas/Ninguna","D. Si ninguna es verdadera","")</x:f>
      </x:c>
      <x:c r="H17" s="8" t="s">
        <x:v>2</x:v>
      </x:c>
      <x:c r="I17" s="8" t="str">
        <x:f>IF($A17="Verdadero o Falso Simple","A","")</x:f>
      </x:c>
      <x:c r="J17" s="8" t="s">
        <x:v>3</x:v>
      </x:c>
      <x:c r="K17" s="8" t="s">
        <x:v>4</x:v>
      </x:c>
      <x:c r="L17" s="10" t="str">
        <x:f>IF(TRIM($A17)="","",IF(COUNTIF($M17:$AG17,"?*")=0,"OK","Falta revisar: "&amp;$M17&amp;$N17&amp;$O17&amp;$P17&amp;$Q17&amp;$R17&amp;$S17&amp;$T17&amp;$U17&amp;$V17&amp;$W17&amp;$X17&amp;$Y17&amp;$Z17&amp;$AA17&amp;$AB17&amp;$AC17&amp;$AD17&amp;$AE17&amp;$AF17&amp;$AG17))</x:f>
        <x:v>OK</x:v>
      </x:c>
      <x:c r="M17" t="str">
        <x:f>IF(TRIM($C17)="","enunciado","")</x:f>
        <x:v>enunciado</x:v>
      </x:c>
      <x:c r="N17" t="str">
        <x:f>IF(TRIM($K17)="",IF(COUNTIF($M17:$M17,"?*")&gt;0,", ","")&amp;"parcial","")</x:f>
      </x:c>
      <x:c r="O17" t="str">
        <x:f>IF(AND(TRIM($K17)&lt;&gt;"",TRIM($K17)&lt;&gt;"EF"),IF(COUNTIF($M17:$N17,"?*")&gt;0,", ","")&amp;"parcial distinto a EF","")</x:f>
      </x:c>
      <x:c r="P17" t="str">
        <x:f>IF(AND(OR($A17="Ítems agrupados por caso clínico o problema",$A17="Subítem de caso o problema",$A17="Emparejamiento Ampliado",$A17="Opción de Emparejamiento Ampliado"),TRIM($B17)=""),IF(COUNTIF($M17:$O17,"?*")&gt;0,", ","")&amp;"grupo","")</x:f>
      </x:c>
      <x:c r="Q17" t="str">
        <x:f>IF(AND(OR($A17="Verdadero o Falso Simple",$A17="Respuesta A/B/Ambas/Ninguna",$A17="Verdadero o Falso Complejas",$A17="Selección de la mejor respuesta",$A17="Subítem de caso o problema",$A17="Opción de Emparejamiento Ampliado"),TRIM($I17)=""),IF(COUNTIF($M17:$P17,"?*")&gt;0,", ","")&amp;"respuesta_correcta","")</x:f>
      </x:c>
      <x:c r="R17" t="str">
        <x:f>IF(AND(OR($A17="Verdadero o Falso Simple",$A17="Respuesta A/B/Ambas/Ninguna",$A17="Verdadero o Falso Complejas",$A17="Selección de la mejor respuesta",$A17="Subítem de caso o problema",$A17="Opción de Emparejamiento Ampliado"),TRIM($J17)=""),IF(COUNTIF($M17:$Q17,"?*")&gt;0,", ","")&amp;"dificultad","")</x:f>
      </x:c>
      <x:c r="S17" t="str">
        <x:f>IF(AND(OR($A17="Ítems agrupados por caso clínico o problema",$A17="Emparejamiento Ampliado"),TRIM($I17)&lt;&gt;""),IF(COUNTIF($M17:$R17,"?*")&gt;0,", ","")&amp;"respuesta debe ir vacia","")</x:f>
      </x:c>
      <x:c r="T17" t="str">
        <x:f>IF(AND(OR($A17="Ítems agrupados por caso clínico o problema",$A17="Emparejamiento Ampliado"),TRIM($J17)&lt;&gt;""),IF(COUNTIF($M17:$S17,"?*")&gt;0,", ","")&amp;"dificultad debe ir vacia","")</x:f>
      </x:c>
      <x:c r="U17" t="str">
        <x:f>IF(AND($A17="Verdadero o Falso Simple",OR(COUNTIF($D17:$E17,"?*")&lt;2,COUNTIF($F17:$H17,"?*")&gt;0)),IF(COUNTIF($M17:$T17,"?*")&gt;0,", ","")&amp;"incisos A-B","")</x:f>
      </x:c>
      <x:c r="V17" t="str">
        <x:f>IF(AND($A17="Verdadero o Falso Simple",TRIM($I17)&lt;&gt;"",NOT(OR(LEFT(TRIM($I17),1)="A",LEFT(TRIM($I17),1)="B"))),IF(COUNTIF($M17:$U17,"?*")&gt;0,", ","")&amp;"respuesta A-B","")</x:f>
      </x:c>
      <x:c r="W17" t="str">
        <x:f>IF(AND($A17="Respuesta A/B/Ambas/Ninguna",COUNTIF($D17:$G17,"?*")&lt;4),IF(COUNTIF($M17:$V17,"?*")&gt;0,", ","")&amp;"opciones A-D","")</x:f>
      </x:c>
      <x:c r="X17" t="str">
        <x:f>IF(AND($A17="Respuesta A/B/Ambas/Ninguna",COUNTIF($H17:$H17,"?*")&gt;0),IF(COUNTIF($M17:$W17,"?*")&gt;0,", ","")&amp;"opcion E deshabilitada","")</x:f>
      </x:c>
      <x:c r="Y17" t="str">
        <x:f>IF(AND($A17="Respuesta A/B/Ambas/Ninguna",TRIM($I17)&lt;&gt;"",NOT(OR(LEFT(TRIM($I17),1)="A",LEFT(TRIM($I17),1)="B",LEFT(TRIM($I17),1)="C",LEFT(TRIM($I17),1)="D"))),IF(COUNTIF($M17:$X17,"?*")&gt;0,", ","")&amp;"respuesta A-D","")</x:f>
      </x:c>
      <x:c r="Z17" t="str">
        <x:f>IF(AND($A17="Verdadero o Falso Complejas",OR(LEN(TRIM(SUBSTITUTE($D17,"1.","")))=0,LEN(TRIM(SUBSTITUTE($E17,"2.","")))=0,LEN(TRIM(SUBSTITUTE($F17,"3.","")))=0,LEN(TRIM(SUBSTITUTE($G17,"4.","")))=0)),IF(COUNTIF($M17:$Y17,"?*")&gt;0,", ","")&amp;"incisos 1-4","")</x:f>
      </x:c>
      <x:c r="AA17" t="str">
        <x:f>IF(AND($A17="Verdadero o Falso Complejas",COUNTIF($H17:$H17,"?*")&gt;0),IF(COUNTIF($M17:$Z17,"?*")&gt;0,", ","")&amp;"opcion E deshabilitada","")</x:f>
      </x:c>
      <x:c r="AB17" t="str">
        <x:f>IF(AND($A17="Verdadero o Falso Complejas",TRIM($I17)&lt;&gt;"",NOT(OR(LEFT(TRIM($I17),1)="A",LEFT(TRIM($I17),1)="B",LEFT(TRIM($I17),1)="C",LEFT(TRIM($I17),1)="D",LEFT(TRIM($I17),1)="E"))),IF(COUNTIF($M17:$AA17,"?*")&gt;0,", ","")&amp;"respuesta A-E","")</x:f>
      </x:c>
      <x:c r="AC17" t="str">
        <x:f>IF(AND(OR($A17="Selección de la mejor respuesta",$A17="Subítem de caso o problema"),COUNTIF($D17:$H17,"?*")&lt;5),IF(COUNTIF($M17:$AB17,"?*")&gt;0,", ","")&amp;"incisos A-E","")</x:f>
      </x:c>
      <x:c r="AD17" t="str">
        <x:f>IF(AND(OR($A17="Selección de la mejor respuesta",$A17="Subítem de caso o problema"),TRIM($I17)&lt;&gt;"",NOT(OR(LEFT(TRIM($I17),1)="A",LEFT(TRIM($I17),1)="B",LEFT(TRIM($I17),1)="C",LEFT(TRIM($I17),1)="D",LEFT(TRIM($I17),1)="E"))),IF(COUNTIF($M17:$AC17,"?*")&gt;0,", ","")&amp;"respuesta A-E","")</x:f>
      </x:c>
      <x:c r="AE17" t="str">
        <x:f>IF(AND(OR($A17="Ítems agrupados por caso clínico o problema",$A17="Opción de Emparejamiento Ampliado"),COUNTIF($D17:$H17,"?*")&gt;0),IF(COUNTIF($M17:$AD17,"?*")&gt;0,", ","")&amp;"sin incisos","")</x:f>
      </x:c>
      <x:c r="AF17" t="str">
        <x:f>IF(AND($A17="Emparejamiento Ampliado",COUNTIF($D17:$H17,"?*")&lt;2),IF(COUNTIF($M17:$AE17,"?*")&gt;0,", ","")&amp;"minimo 2 claves","")</x:f>
      </x:c>
      <x:c r="AG17" t="str">
        <x:f>IF(AND($A17="Opción de Emparejamiento Ampliado",NOT(OR(LEFT(TRIM($I17),1)="A",LEFT(TRIM($I17),1)="B",LEFT(TRIM($I17),1)="C",LEFT(TRIM($I17),1)="D",LEFT(TRIM($I17),1)="E"))),IF(COUNTIF($M17:$AF17,"?*")&gt;0,", ","")&amp;"respuesta A-E","")</x:f>
      </x:c>
      <x:c r="AK17" s="26" t="str"/>
    </x:row>
    <x:row r="18" ht="24" customHeight="1">
      <x:c r="A18" s="8" t="s">
        <x:v>2</x:v>
      </x:c>
      <x:c r="B18" s="8" t="s">
        <x:v>2</x:v>
      </x:c>
      <x:c r="C18" s="9" t="str">
        <x:f>IF($A18="Emparejamiento Ampliado",VALIDACIONES!$I$1,IF($A18="Respuesta A/B/Ambas/Ninguna","I. "&amp;CHAR(10)&amp;"II. ",""))</x:f>
      </x:c>
      <x:c r="D18" s="8" t="str">
        <x:f>IF($A18="Verdadero o Falso Simple","Verdadero",IF($A18="Respuesta A/B/Ambas/Ninguna","A. Si la primera es verdadera",""))</x:f>
      </x:c>
      <x:c r="E18" s="8" t="str">
        <x:f>IF($A18="Verdadero o Falso Simple","Falso",IF($A18="Respuesta A/B/Ambas/Ninguna","B. Si la segunda es verdadera",""))</x:f>
      </x:c>
      <x:c r="F18" s="8" t="str">
        <x:f>IF($A18="Respuesta A/B/Ambas/Ninguna","C. Si ambas son verdaderas","")</x:f>
      </x:c>
      <x:c r="G18" s="8" t="str">
        <x:f>IF($A18="Respuesta A/B/Ambas/Ninguna","D. Si ninguna es verdadera","")</x:f>
      </x:c>
      <x:c r="H18" s="8" t="s">
        <x:v>2</x:v>
      </x:c>
      <x:c r="I18" s="8" t="str">
        <x:f>IF($A18="Verdadero o Falso Simple","A","")</x:f>
      </x:c>
      <x:c r="J18" s="8" t="s">
        <x:v>3</x:v>
      </x:c>
      <x:c r="K18" s="8" t="s">
        <x:v>4</x:v>
      </x:c>
      <x:c r="L18" s="10" t="str">
        <x:f>IF(TRIM($A18)="","",IF(COUNTIF($M18:$AG18,"?*")=0,"OK","Falta revisar: "&amp;$M18&amp;$N18&amp;$O18&amp;$P18&amp;$Q18&amp;$R18&amp;$S18&amp;$T18&amp;$U18&amp;$V18&amp;$W18&amp;$X18&amp;$Y18&amp;$Z18&amp;$AA18&amp;$AB18&amp;$AC18&amp;$AD18&amp;$AE18&amp;$AF18&amp;$AG18))</x:f>
        <x:v>OK</x:v>
      </x:c>
      <x:c r="M18" t="str">
        <x:f>IF(TRIM($C18)="","enunciado","")</x:f>
        <x:v>enunciado</x:v>
      </x:c>
      <x:c r="N18" t="str">
        <x:f>IF(TRIM($K18)="",IF(COUNTIF($M18:$M18,"?*")&gt;0,", ","")&amp;"parcial","")</x:f>
      </x:c>
      <x:c r="O18" t="str">
        <x:f>IF(AND(TRIM($K18)&lt;&gt;"",TRIM($K18)&lt;&gt;"EF"),IF(COUNTIF($M18:$N18,"?*")&gt;0,", ","")&amp;"parcial distinto a EF","")</x:f>
      </x:c>
      <x:c r="P18" t="str">
        <x:f>IF(AND(OR($A18="Ítems agrupados por caso clínico o problema",$A18="Subítem de caso o problema",$A18="Emparejamiento Ampliado",$A18="Opción de Emparejamiento Ampliado"),TRIM($B18)=""),IF(COUNTIF($M18:$O18,"?*")&gt;0,", ","")&amp;"grupo","")</x:f>
      </x:c>
      <x:c r="Q18" t="str">
        <x:f>IF(AND(OR($A18="Verdadero o Falso Simple",$A18="Respuesta A/B/Ambas/Ninguna",$A18="Verdadero o Falso Complejas",$A18="Selección de la mejor respuesta",$A18="Subítem de caso o problema",$A18="Opción de Emparejamiento Ampliado"),TRIM($I18)=""),IF(COUNTIF($M18:$P18,"?*")&gt;0,", ","")&amp;"respuesta_correcta","")</x:f>
      </x:c>
      <x:c r="R18" t="str">
        <x:f>IF(AND(OR($A18="Verdadero o Falso Simple",$A18="Respuesta A/B/Ambas/Ninguna",$A18="Verdadero o Falso Complejas",$A18="Selección de la mejor respuesta",$A18="Subítem de caso o problema",$A18="Opción de Emparejamiento Ampliado"),TRIM($J18)=""),IF(COUNTIF($M18:$Q18,"?*")&gt;0,", ","")&amp;"dificultad","")</x:f>
      </x:c>
      <x:c r="S18" t="str">
        <x:f>IF(AND(OR($A18="Ítems agrupados por caso clínico o problema",$A18="Emparejamiento Ampliado"),TRIM($I18)&lt;&gt;""),IF(COUNTIF($M18:$R18,"?*")&gt;0,", ","")&amp;"respuesta debe ir vacia","")</x:f>
      </x:c>
      <x:c r="T18" t="str">
        <x:f>IF(AND(OR($A18="Ítems agrupados por caso clínico o problema",$A18="Emparejamiento Ampliado"),TRIM($J18)&lt;&gt;""),IF(COUNTIF($M18:$S18,"?*")&gt;0,", ","")&amp;"dificultad debe ir vacia","")</x:f>
      </x:c>
      <x:c r="U18" t="str">
        <x:f>IF(AND($A18="Verdadero o Falso Simple",OR(COUNTIF($D18:$E18,"?*")&lt;2,COUNTIF($F18:$H18,"?*")&gt;0)),IF(COUNTIF($M18:$T18,"?*")&gt;0,", ","")&amp;"incisos A-B","")</x:f>
      </x:c>
      <x:c r="V18" t="str">
        <x:f>IF(AND($A18="Verdadero o Falso Simple",TRIM($I18)&lt;&gt;"",NOT(OR(LEFT(TRIM($I18),1)="A",LEFT(TRIM($I18),1)="B"))),IF(COUNTIF($M18:$U18,"?*")&gt;0,", ","")&amp;"respuesta A-B","")</x:f>
      </x:c>
      <x:c r="W18" t="str">
        <x:f>IF(AND($A18="Respuesta A/B/Ambas/Ninguna",COUNTIF($D18:$G18,"?*")&lt;4),IF(COUNTIF($M18:$V18,"?*")&gt;0,", ","")&amp;"opciones A-D","")</x:f>
      </x:c>
      <x:c r="X18" t="str">
        <x:f>IF(AND($A18="Respuesta A/B/Ambas/Ninguna",COUNTIF($H18:$H18,"?*")&gt;0),IF(COUNTIF($M18:$W18,"?*")&gt;0,", ","")&amp;"opcion E deshabilitada","")</x:f>
      </x:c>
      <x:c r="Y18" t="str">
        <x:f>IF(AND($A18="Respuesta A/B/Ambas/Ninguna",TRIM($I18)&lt;&gt;"",NOT(OR(LEFT(TRIM($I18),1)="A",LEFT(TRIM($I18),1)="B",LEFT(TRIM($I18),1)="C",LEFT(TRIM($I18),1)="D"))),IF(COUNTIF($M18:$X18,"?*")&gt;0,", ","")&amp;"respuesta A-D","")</x:f>
      </x:c>
      <x:c r="Z18" t="str">
        <x:f>IF(AND($A18="Verdadero o Falso Complejas",OR(LEN(TRIM(SUBSTITUTE($D18,"1.","")))=0,LEN(TRIM(SUBSTITUTE($E18,"2.","")))=0,LEN(TRIM(SUBSTITUTE($F18,"3.","")))=0,LEN(TRIM(SUBSTITUTE($G18,"4.","")))=0)),IF(COUNTIF($M18:$Y18,"?*")&gt;0,", ","")&amp;"incisos 1-4","")</x:f>
      </x:c>
      <x:c r="AA18" t="str">
        <x:f>IF(AND($A18="Verdadero o Falso Complejas",COUNTIF($H18:$H18,"?*")&gt;0),IF(COUNTIF($M18:$Z18,"?*")&gt;0,", ","")&amp;"opcion E deshabilitada","")</x:f>
      </x:c>
      <x:c r="AB18" t="str">
        <x:f>IF(AND($A18="Verdadero o Falso Complejas",TRIM($I18)&lt;&gt;"",NOT(OR(LEFT(TRIM($I18),1)="A",LEFT(TRIM($I18),1)="B",LEFT(TRIM($I18),1)="C",LEFT(TRIM($I18),1)="D",LEFT(TRIM($I18),1)="E"))),IF(COUNTIF($M18:$AA18,"?*")&gt;0,", ","")&amp;"respuesta A-E","")</x:f>
      </x:c>
      <x:c r="AC18" t="str">
        <x:f>IF(AND(OR($A18="Selección de la mejor respuesta",$A18="Subítem de caso o problema"),COUNTIF($D18:$H18,"?*")&lt;5),IF(COUNTIF($M18:$AB18,"?*")&gt;0,", ","")&amp;"incisos A-E","")</x:f>
      </x:c>
      <x:c r="AD18" t="str">
        <x:f>IF(AND(OR($A18="Selección de la mejor respuesta",$A18="Subítem de caso o problema"),TRIM($I18)&lt;&gt;"",NOT(OR(LEFT(TRIM($I18),1)="A",LEFT(TRIM($I18),1)="B",LEFT(TRIM($I18),1)="C",LEFT(TRIM($I18),1)="D",LEFT(TRIM($I18),1)="E"))),IF(COUNTIF($M18:$AC18,"?*")&gt;0,", ","")&amp;"respuesta A-E","")</x:f>
      </x:c>
      <x:c r="AE18" t="str">
        <x:f>IF(AND(OR($A18="Ítems agrupados por caso clínico o problema",$A18="Opción de Emparejamiento Ampliado"),COUNTIF($D18:$H18,"?*")&gt;0),IF(COUNTIF($M18:$AD18,"?*")&gt;0,", ","")&amp;"sin incisos","")</x:f>
      </x:c>
      <x:c r="AF18" t="str">
        <x:f>IF(AND($A18="Emparejamiento Ampliado",COUNTIF($D18:$H18,"?*")&lt;2),IF(COUNTIF($M18:$AE18,"?*")&gt;0,", ","")&amp;"minimo 2 claves","")</x:f>
      </x:c>
      <x:c r="AG18" t="str">
        <x:f>IF(AND($A18="Opción de Emparejamiento Ampliado",NOT(OR(LEFT(TRIM($I18),1)="A",LEFT(TRIM($I18),1)="B",LEFT(TRIM($I18),1)="C",LEFT(TRIM($I18),1)="D",LEFT(TRIM($I18),1)="E"))),IF(COUNTIF($M18:$AF18,"?*")&gt;0,", ","")&amp;"respuesta A-E","")</x:f>
      </x:c>
      <x:c r="AK18" s="26" t="str"/>
    </x:row>
    <x:row r="19" ht="24" customHeight="1">
      <x:c r="A19" s="8" t="s">
        <x:v>2</x:v>
      </x:c>
      <x:c r="B19" s="8" t="s">
        <x:v>2</x:v>
      </x:c>
      <x:c r="C19" s="9" t="str">
        <x:f>IF($A19="Emparejamiento Ampliado",VALIDACIONES!$I$1,IF($A19="Respuesta A/B/Ambas/Ninguna","I. "&amp;CHAR(10)&amp;"II. ",""))</x:f>
      </x:c>
      <x:c r="D19" s="8" t="str">
        <x:f>IF($A19="Verdadero o Falso Simple","Verdadero",IF($A19="Respuesta A/B/Ambas/Ninguna","A. Si la primera es verdadera",""))</x:f>
      </x:c>
      <x:c r="E19" s="8" t="str">
        <x:f>IF($A19="Verdadero o Falso Simple","Falso",IF($A19="Respuesta A/B/Ambas/Ninguna","B. Si la segunda es verdadera",""))</x:f>
      </x:c>
      <x:c r="F19" s="8" t="str">
        <x:f>IF($A19="Respuesta A/B/Ambas/Ninguna","C. Si ambas son verdaderas","")</x:f>
      </x:c>
      <x:c r="G19" s="8" t="str">
        <x:f>IF($A19="Respuesta A/B/Ambas/Ninguna","D. Si ninguna es verdadera","")</x:f>
      </x:c>
      <x:c r="H19" s="8" t="s">
        <x:v>2</x:v>
      </x:c>
      <x:c r="I19" s="8" t="str">
        <x:f>IF($A19="Verdadero o Falso Simple","A","")</x:f>
      </x:c>
      <x:c r="J19" s="8" t="s">
        <x:v>3</x:v>
      </x:c>
      <x:c r="K19" s="8" t="s">
        <x:v>4</x:v>
      </x:c>
      <x:c r="L19" s="10" t="str">
        <x:f>IF(TRIM($A19)="","",IF(COUNTIF($M19:$AG19,"?*")=0,"OK","Falta revisar: "&amp;$M19&amp;$N19&amp;$O19&amp;$P19&amp;$Q19&amp;$R19&amp;$S19&amp;$T19&amp;$U19&amp;$V19&amp;$W19&amp;$X19&amp;$Y19&amp;$Z19&amp;$AA19&amp;$AB19&amp;$AC19&amp;$AD19&amp;$AE19&amp;$AF19&amp;$AG19))</x:f>
        <x:v>OK</x:v>
      </x:c>
      <x:c r="M19" t="str">
        <x:f>IF(TRIM($C19)="","enunciado","")</x:f>
        <x:v>enunciado</x:v>
      </x:c>
      <x:c r="N19" t="str">
        <x:f>IF(TRIM($K19)="",IF(COUNTIF($M19:$M19,"?*")&gt;0,", ","")&amp;"parcial","")</x:f>
      </x:c>
      <x:c r="O19" t="str">
        <x:f>IF(AND(TRIM($K19)&lt;&gt;"",TRIM($K19)&lt;&gt;"EF"),IF(COUNTIF($M19:$N19,"?*")&gt;0,", ","")&amp;"parcial distinto a EF","")</x:f>
      </x:c>
      <x:c r="P19" t="str">
        <x:f>IF(AND(OR($A19="Ítems agrupados por caso clínico o problema",$A19="Subítem de caso o problema",$A19="Emparejamiento Ampliado",$A19="Opción de Emparejamiento Ampliado"),TRIM($B19)=""),IF(COUNTIF($M19:$O19,"?*")&gt;0,", ","")&amp;"grupo","")</x:f>
      </x:c>
      <x:c r="Q19" t="str">
        <x:f>IF(AND(OR($A19="Verdadero o Falso Simple",$A19="Respuesta A/B/Ambas/Ninguna",$A19="Verdadero o Falso Complejas",$A19="Selección de la mejor respuesta",$A19="Subítem de caso o problema",$A19="Opción de Emparejamiento Ampliado"),TRIM($I19)=""),IF(COUNTIF($M19:$P19,"?*")&gt;0,", ","")&amp;"respuesta_correcta","")</x:f>
      </x:c>
      <x:c r="R19" t="str">
        <x:f>IF(AND(OR($A19="Verdadero o Falso Simple",$A19="Respuesta A/B/Ambas/Ninguna",$A19="Verdadero o Falso Complejas",$A19="Selección de la mejor respuesta",$A19="Subítem de caso o problema",$A19="Opción de Emparejamiento Ampliado"),TRIM($J19)=""),IF(COUNTIF($M19:$Q19,"?*")&gt;0,", ","")&amp;"dificultad","")</x:f>
      </x:c>
      <x:c r="S19" t="str">
        <x:f>IF(AND(OR($A19="Ítems agrupados por caso clínico o problema",$A19="Emparejamiento Ampliado"),TRIM($I19)&lt;&gt;""),IF(COUNTIF($M19:$R19,"?*")&gt;0,", ","")&amp;"respuesta debe ir vacia","")</x:f>
      </x:c>
      <x:c r="T19" t="str">
        <x:f>IF(AND(OR($A19="Ítems agrupados por caso clínico o problema",$A19="Emparejamiento Ampliado"),TRIM($J19)&lt;&gt;""),IF(COUNTIF($M19:$S19,"?*")&gt;0,", ","")&amp;"dificultad debe ir vacia","")</x:f>
      </x:c>
      <x:c r="U19" t="str">
        <x:f>IF(AND($A19="Verdadero o Falso Simple",OR(COUNTIF($D19:$E19,"?*")&lt;2,COUNTIF($F19:$H19,"?*")&gt;0)),IF(COUNTIF($M19:$T19,"?*")&gt;0,", ","")&amp;"incisos A-B","")</x:f>
      </x:c>
      <x:c r="V19" t="str">
        <x:f>IF(AND($A19="Verdadero o Falso Simple",TRIM($I19)&lt;&gt;"",NOT(OR(LEFT(TRIM($I19),1)="A",LEFT(TRIM($I19),1)="B"))),IF(COUNTIF($M19:$U19,"?*")&gt;0,", ","")&amp;"respuesta A-B","")</x:f>
      </x:c>
      <x:c r="W19" t="str">
        <x:f>IF(AND($A19="Respuesta A/B/Ambas/Ninguna",COUNTIF($D19:$G19,"?*")&lt;4),IF(COUNTIF($M19:$V19,"?*")&gt;0,", ","")&amp;"opciones A-D","")</x:f>
      </x:c>
      <x:c r="X19" t="str">
        <x:f>IF(AND($A19="Respuesta A/B/Ambas/Ninguna",COUNTIF($H19:$H19,"?*")&gt;0),IF(COUNTIF($M19:$W19,"?*")&gt;0,", ","")&amp;"opcion E deshabilitada","")</x:f>
      </x:c>
      <x:c r="Y19" t="str">
        <x:f>IF(AND($A19="Respuesta A/B/Ambas/Ninguna",TRIM($I19)&lt;&gt;"",NOT(OR(LEFT(TRIM($I19),1)="A",LEFT(TRIM($I19),1)="B",LEFT(TRIM($I19),1)="C",LEFT(TRIM($I19),1)="D"))),IF(COUNTIF($M19:$X19,"?*")&gt;0,", ","")&amp;"respuesta A-D","")</x:f>
      </x:c>
      <x:c r="Z19" t="str">
        <x:f>IF(AND($A19="Verdadero o Falso Complejas",OR(LEN(TRIM(SUBSTITUTE($D19,"1.","")))=0,LEN(TRIM(SUBSTITUTE($E19,"2.","")))=0,LEN(TRIM(SUBSTITUTE($F19,"3.","")))=0,LEN(TRIM(SUBSTITUTE($G19,"4.","")))=0)),IF(COUNTIF($M19:$Y19,"?*")&gt;0,", ","")&amp;"incisos 1-4","")</x:f>
      </x:c>
      <x:c r="AA19" t="str">
        <x:f>IF(AND($A19="Verdadero o Falso Complejas",COUNTIF($H19:$H19,"?*")&gt;0),IF(COUNTIF($M19:$Z19,"?*")&gt;0,", ","")&amp;"opcion E deshabilitada","")</x:f>
      </x:c>
      <x:c r="AB19" t="str">
        <x:f>IF(AND($A19="Verdadero o Falso Complejas",TRIM($I19)&lt;&gt;"",NOT(OR(LEFT(TRIM($I19),1)="A",LEFT(TRIM($I19),1)="B",LEFT(TRIM($I19),1)="C",LEFT(TRIM($I19),1)="D",LEFT(TRIM($I19),1)="E"))),IF(COUNTIF($M19:$AA19,"?*")&gt;0,", ","")&amp;"respuesta A-E","")</x:f>
      </x:c>
      <x:c r="AC19" t="str">
        <x:f>IF(AND(OR($A19="Selección de la mejor respuesta",$A19="Subítem de caso o problema"),COUNTIF($D19:$H19,"?*")&lt;5),IF(COUNTIF($M19:$AB19,"?*")&gt;0,", ","")&amp;"incisos A-E","")</x:f>
      </x:c>
      <x:c r="AD19" t="str">
        <x:f>IF(AND(OR($A19="Selección de la mejor respuesta",$A19="Subítem de caso o problema"),TRIM($I19)&lt;&gt;"",NOT(OR(LEFT(TRIM($I19),1)="A",LEFT(TRIM($I19),1)="B",LEFT(TRIM($I19),1)="C",LEFT(TRIM($I19),1)="D",LEFT(TRIM($I19),1)="E"))),IF(COUNTIF($M19:$AC19,"?*")&gt;0,", ","")&amp;"respuesta A-E","")</x:f>
      </x:c>
      <x:c r="AE19" t="str">
        <x:f>IF(AND(OR($A19="Ítems agrupados por caso clínico o problema",$A19="Opción de Emparejamiento Ampliado"),COUNTIF($D19:$H19,"?*")&gt;0),IF(COUNTIF($M19:$AD19,"?*")&gt;0,", ","")&amp;"sin incisos","")</x:f>
      </x:c>
      <x:c r="AF19" t="str">
        <x:f>IF(AND($A19="Emparejamiento Ampliado",COUNTIF($D19:$H19,"?*")&lt;2),IF(COUNTIF($M19:$AE19,"?*")&gt;0,", ","")&amp;"minimo 2 claves","")</x:f>
      </x:c>
      <x:c r="AG19" t="str">
        <x:f>IF(AND($A19="Opción de Emparejamiento Ampliado",NOT(OR(LEFT(TRIM($I19),1)="A",LEFT(TRIM($I19),1)="B",LEFT(TRIM($I19),1)="C",LEFT(TRIM($I19),1)="D",LEFT(TRIM($I19),1)="E"))),IF(COUNTIF($M19:$AF19,"?*")&gt;0,", ","")&amp;"respuesta A-E","")</x:f>
      </x:c>
      <x:c r="AK19" s="26" t="str"/>
    </x:row>
    <x:row r="20" ht="24" customHeight="1">
      <x:c r="A20" s="8" t="s">
        <x:v>2</x:v>
      </x:c>
      <x:c r="B20" s="8" t="s">
        <x:v>2</x:v>
      </x:c>
      <x:c r="C20" s="9" t="str">
        <x:f>IF($A20="Emparejamiento Ampliado",VALIDACIONES!$I$1,IF($A20="Respuesta A/B/Ambas/Ninguna","I. "&amp;CHAR(10)&amp;"II. ",""))</x:f>
      </x:c>
      <x:c r="D20" s="8" t="str">
        <x:f>IF($A20="Verdadero o Falso Simple","Verdadero",IF($A20="Respuesta A/B/Ambas/Ninguna","A. Si la primera es verdadera",""))</x:f>
      </x:c>
      <x:c r="E20" s="8" t="str">
        <x:f>IF($A20="Verdadero o Falso Simple","Falso",IF($A20="Respuesta A/B/Ambas/Ninguna","B. Si la segunda es verdadera",""))</x:f>
      </x:c>
      <x:c r="F20" s="8" t="str">
        <x:f>IF($A20="Respuesta A/B/Ambas/Ninguna","C. Si ambas son verdaderas","")</x:f>
      </x:c>
      <x:c r="G20" s="8" t="str">
        <x:f>IF($A20="Respuesta A/B/Ambas/Ninguna","D. Si ninguna es verdadera","")</x:f>
      </x:c>
      <x:c r="H20" s="8" t="s">
        <x:v>2</x:v>
      </x:c>
      <x:c r="I20" s="8" t="str">
        <x:f>IF($A20="Verdadero o Falso Simple","A","")</x:f>
      </x:c>
      <x:c r="J20" s="8" t="s">
        <x:v>3</x:v>
      </x:c>
      <x:c r="K20" s="8" t="s">
        <x:v>4</x:v>
      </x:c>
      <x:c r="L20" s="10" t="str">
        <x:f>IF(TRIM($A20)="","",IF(COUNTIF($M20:$AG20,"?*")=0,"OK","Falta revisar: "&amp;$M20&amp;$N20&amp;$O20&amp;$P20&amp;$Q20&amp;$R20&amp;$S20&amp;$T20&amp;$U20&amp;$V20&amp;$W20&amp;$X20&amp;$Y20&amp;$Z20&amp;$AA20&amp;$AB20&amp;$AC20&amp;$AD20&amp;$AE20&amp;$AF20&amp;$AG20))</x:f>
        <x:v>OK</x:v>
      </x:c>
      <x:c r="M20" t="str">
        <x:f>IF(TRIM($C20)="","enunciado","")</x:f>
        <x:v>enunciado</x:v>
      </x:c>
      <x:c r="N20" t="str">
        <x:f>IF(TRIM($K20)="",IF(COUNTIF($M20:$M20,"?*")&gt;0,", ","")&amp;"parcial","")</x:f>
      </x:c>
      <x:c r="O20" t="str">
        <x:f>IF(AND(TRIM($K20)&lt;&gt;"",TRIM($K20)&lt;&gt;"EF"),IF(COUNTIF($M20:$N20,"?*")&gt;0,", ","")&amp;"parcial distinto a EF","")</x:f>
      </x:c>
      <x:c r="P20" t="str">
        <x:f>IF(AND(OR($A20="Ítems agrupados por caso clínico o problema",$A20="Subítem de caso o problema",$A20="Emparejamiento Ampliado",$A20="Opción de Emparejamiento Ampliado"),TRIM($B20)=""),IF(COUNTIF($M20:$O20,"?*")&gt;0,", ","")&amp;"grupo","")</x:f>
      </x:c>
      <x:c r="Q20" t="str">
        <x:f>IF(AND(OR($A20="Verdadero o Falso Simple",$A20="Respuesta A/B/Ambas/Ninguna",$A20="Verdadero o Falso Complejas",$A20="Selección de la mejor respuesta",$A20="Subítem de caso o problema",$A20="Opción de Emparejamiento Ampliado"),TRIM($I20)=""),IF(COUNTIF($M20:$P20,"?*")&gt;0,", ","")&amp;"respuesta_correcta","")</x:f>
      </x:c>
      <x:c r="R20" t="str">
        <x:f>IF(AND(OR($A20="Verdadero o Falso Simple",$A20="Respuesta A/B/Ambas/Ninguna",$A20="Verdadero o Falso Complejas",$A20="Selección de la mejor respuesta",$A20="Subítem de caso o problema",$A20="Opción de Emparejamiento Ampliado"),TRIM($J20)=""),IF(COUNTIF($M20:$Q20,"?*")&gt;0,", ","")&amp;"dificultad","")</x:f>
      </x:c>
      <x:c r="S20" t="str">
        <x:f>IF(AND(OR($A20="Ítems agrupados por caso clínico o problema",$A20="Emparejamiento Ampliado"),TRIM($I20)&lt;&gt;""),IF(COUNTIF($M20:$R20,"?*")&gt;0,", ","")&amp;"respuesta debe ir vacia","")</x:f>
      </x:c>
      <x:c r="T20" t="str">
        <x:f>IF(AND(OR($A20="Ítems agrupados por caso clínico o problema",$A20="Emparejamiento Ampliado"),TRIM($J20)&lt;&gt;""),IF(COUNTIF($M20:$S20,"?*")&gt;0,", ","")&amp;"dificultad debe ir vacia","")</x:f>
      </x:c>
      <x:c r="U20" t="str">
        <x:f>IF(AND($A20="Verdadero o Falso Simple",OR(COUNTIF($D20:$E20,"?*")&lt;2,COUNTIF($F20:$H20,"?*")&gt;0)),IF(COUNTIF($M20:$T20,"?*")&gt;0,", ","")&amp;"incisos A-B","")</x:f>
      </x:c>
      <x:c r="V20" t="str">
        <x:f>IF(AND($A20="Verdadero o Falso Simple",TRIM($I20)&lt;&gt;"",NOT(OR(LEFT(TRIM($I20),1)="A",LEFT(TRIM($I20),1)="B"))),IF(COUNTIF($M20:$U20,"?*")&gt;0,", ","")&amp;"respuesta A-B","")</x:f>
      </x:c>
      <x:c r="W20" t="str">
        <x:f>IF(AND($A20="Respuesta A/B/Ambas/Ninguna",COUNTIF($D20:$G20,"?*")&lt;4),IF(COUNTIF($M20:$V20,"?*")&gt;0,", ","")&amp;"opciones A-D","")</x:f>
      </x:c>
      <x:c r="X20" t="str">
        <x:f>IF(AND($A20="Respuesta A/B/Ambas/Ninguna",COUNTIF($H20:$H20,"?*")&gt;0),IF(COUNTIF($M20:$W20,"?*")&gt;0,", ","")&amp;"opcion E deshabilitada","")</x:f>
      </x:c>
      <x:c r="Y20" t="str">
        <x:f>IF(AND($A20="Respuesta A/B/Ambas/Ninguna",TRIM($I20)&lt;&gt;"",NOT(OR(LEFT(TRIM($I20),1)="A",LEFT(TRIM($I20),1)="B",LEFT(TRIM($I20),1)="C",LEFT(TRIM($I20),1)="D"))),IF(COUNTIF($M20:$X20,"?*")&gt;0,", ","")&amp;"respuesta A-D","")</x:f>
      </x:c>
      <x:c r="Z20" t="str">
        <x:f>IF(AND($A20="Verdadero o Falso Complejas",OR(LEN(TRIM(SUBSTITUTE($D20,"1.","")))=0,LEN(TRIM(SUBSTITUTE($E20,"2.","")))=0,LEN(TRIM(SUBSTITUTE($F20,"3.","")))=0,LEN(TRIM(SUBSTITUTE($G20,"4.","")))=0)),IF(COUNTIF($M20:$Y20,"?*")&gt;0,", ","")&amp;"incisos 1-4","")</x:f>
      </x:c>
      <x:c r="AA20" t="str">
        <x:f>IF(AND($A20="Verdadero o Falso Complejas",COUNTIF($H20:$H20,"?*")&gt;0),IF(COUNTIF($M20:$Z20,"?*")&gt;0,", ","")&amp;"opcion E deshabilitada","")</x:f>
      </x:c>
      <x:c r="AB20" t="str">
        <x:f>IF(AND($A20="Verdadero o Falso Complejas",TRIM($I20)&lt;&gt;"",NOT(OR(LEFT(TRIM($I20),1)="A",LEFT(TRIM($I20),1)="B",LEFT(TRIM($I20),1)="C",LEFT(TRIM($I20),1)="D",LEFT(TRIM($I20),1)="E"))),IF(COUNTIF($M20:$AA20,"?*")&gt;0,", ","")&amp;"respuesta A-E","")</x:f>
      </x:c>
      <x:c r="AC20" t="str">
        <x:f>IF(AND(OR($A20="Selección de la mejor respuesta",$A20="Subítem de caso o problema"),COUNTIF($D20:$H20,"?*")&lt;5),IF(COUNTIF($M20:$AB20,"?*")&gt;0,", ","")&amp;"incisos A-E","")</x:f>
      </x:c>
      <x:c r="AD20" t="str">
        <x:f>IF(AND(OR($A20="Selección de la mejor respuesta",$A20="Subítem de caso o problema"),TRIM($I20)&lt;&gt;"",NOT(OR(LEFT(TRIM($I20),1)="A",LEFT(TRIM($I20),1)="B",LEFT(TRIM($I20),1)="C",LEFT(TRIM($I20),1)="D",LEFT(TRIM($I20),1)="E"))),IF(COUNTIF($M20:$AC20,"?*")&gt;0,", ","")&amp;"respuesta A-E","")</x:f>
      </x:c>
      <x:c r="AE20" t="str">
        <x:f>IF(AND(OR($A20="Ítems agrupados por caso clínico o problema",$A20="Opción de Emparejamiento Ampliado"),COUNTIF($D20:$H20,"?*")&gt;0),IF(COUNTIF($M20:$AD20,"?*")&gt;0,", ","")&amp;"sin incisos","")</x:f>
      </x:c>
      <x:c r="AF20" t="str">
        <x:f>IF(AND($A20="Emparejamiento Ampliado",COUNTIF($D20:$H20,"?*")&lt;2),IF(COUNTIF($M20:$AE20,"?*")&gt;0,", ","")&amp;"minimo 2 claves","")</x:f>
      </x:c>
      <x:c r="AG20" t="str">
        <x:f>IF(AND($A20="Opción de Emparejamiento Ampliado",NOT(OR(LEFT(TRIM($I20),1)="A",LEFT(TRIM($I20),1)="B",LEFT(TRIM($I20),1)="C",LEFT(TRIM($I20),1)="D",LEFT(TRIM($I20),1)="E"))),IF(COUNTIF($M20:$AF20,"?*")&gt;0,", ","")&amp;"respuesta A-E","")</x:f>
      </x:c>
      <x:c r="AK20" s="26" t="str"/>
    </x:row>
    <x:row r="21" ht="24" customHeight="1">
      <x:c r="A21" s="8" t="s">
        <x:v>2</x:v>
      </x:c>
      <x:c r="B21" s="8" t="s">
        <x:v>2</x:v>
      </x:c>
      <x:c r="C21" s="9" t="str">
        <x:f>IF($A21="Emparejamiento Ampliado",VALIDACIONES!$I$1,IF($A21="Respuesta A/B/Ambas/Ninguna","I. "&amp;CHAR(10)&amp;"II. ",""))</x:f>
      </x:c>
      <x:c r="D21" s="8" t="str">
        <x:f>IF($A21="Verdadero o Falso Simple","Verdadero",IF($A21="Respuesta A/B/Ambas/Ninguna","A. Si la primera es verdadera",""))</x:f>
      </x:c>
      <x:c r="E21" s="8" t="str">
        <x:f>IF($A21="Verdadero o Falso Simple","Falso",IF($A21="Respuesta A/B/Ambas/Ninguna","B. Si la segunda es verdadera",""))</x:f>
      </x:c>
      <x:c r="F21" s="8" t="str">
        <x:f>IF($A21="Respuesta A/B/Ambas/Ninguna","C. Si ambas son verdaderas","")</x:f>
      </x:c>
      <x:c r="G21" s="8" t="str">
        <x:f>IF($A21="Respuesta A/B/Ambas/Ninguna","D. Si ninguna es verdadera","")</x:f>
      </x:c>
      <x:c r="H21" s="8" t="s">
        <x:v>2</x:v>
      </x:c>
      <x:c r="I21" s="8" t="str">
        <x:f>IF($A21="Verdadero o Falso Simple","A","")</x:f>
      </x:c>
      <x:c r="J21" s="8" t="s">
        <x:v>3</x:v>
      </x:c>
      <x:c r="K21" s="8" t="s">
        <x:v>4</x:v>
      </x:c>
      <x:c r="L21" s="10" t="str">
        <x:f>IF(TRIM($A21)="","",IF(COUNTIF($M21:$AG21,"?*")=0,"OK","Falta revisar: "&amp;$M21&amp;$N21&amp;$O21&amp;$P21&amp;$Q21&amp;$R21&amp;$S21&amp;$T21&amp;$U21&amp;$V21&amp;$W21&amp;$X21&amp;$Y21&amp;$Z21&amp;$AA21&amp;$AB21&amp;$AC21&amp;$AD21&amp;$AE21&amp;$AF21&amp;$AG21))</x:f>
        <x:v>OK</x:v>
      </x:c>
      <x:c r="M21" t="str">
        <x:f>IF(TRIM($C21)="","enunciado","")</x:f>
        <x:v>enunciado</x:v>
      </x:c>
      <x:c r="N21" t="str">
        <x:f>IF(TRIM($K21)="",IF(COUNTIF($M21:$M21,"?*")&gt;0,", ","")&amp;"parcial","")</x:f>
      </x:c>
      <x:c r="O21" t="str">
        <x:f>IF(AND(TRIM($K21)&lt;&gt;"",TRIM($K21)&lt;&gt;"EF"),IF(COUNTIF($M21:$N21,"?*")&gt;0,", ","")&amp;"parcial distinto a EF","")</x:f>
      </x:c>
      <x:c r="P21" t="str">
        <x:f>IF(AND(OR($A21="Ítems agrupados por caso clínico o problema",$A21="Subítem de caso o problema",$A21="Emparejamiento Ampliado",$A21="Opción de Emparejamiento Ampliado"),TRIM($B21)=""),IF(COUNTIF($M21:$O21,"?*")&gt;0,", ","")&amp;"grupo","")</x:f>
      </x:c>
      <x:c r="Q21" t="str">
        <x:f>IF(AND(OR($A21="Verdadero o Falso Simple",$A21="Respuesta A/B/Ambas/Ninguna",$A21="Verdadero o Falso Complejas",$A21="Selección de la mejor respuesta",$A21="Subítem de caso o problema",$A21="Opción de Emparejamiento Ampliado"),TRIM($I21)=""),IF(COUNTIF($M21:$P21,"?*")&gt;0,", ","")&amp;"respuesta_correcta","")</x:f>
      </x:c>
      <x:c r="R21" t="str">
        <x:f>IF(AND(OR($A21="Verdadero o Falso Simple",$A21="Respuesta A/B/Ambas/Ninguna",$A21="Verdadero o Falso Complejas",$A21="Selección de la mejor respuesta",$A21="Subítem de caso o problema",$A21="Opción de Emparejamiento Ampliado"),TRIM($J21)=""),IF(COUNTIF($M21:$Q21,"?*")&gt;0,", ","")&amp;"dificultad","")</x:f>
      </x:c>
      <x:c r="S21" t="str">
        <x:f>IF(AND(OR($A21="Ítems agrupados por caso clínico o problema",$A21="Emparejamiento Ampliado"),TRIM($I21)&lt;&gt;""),IF(COUNTIF($M21:$R21,"?*")&gt;0,", ","")&amp;"respuesta debe ir vacia","")</x:f>
      </x:c>
      <x:c r="T21" t="str">
        <x:f>IF(AND(OR($A21="Ítems agrupados por caso clínico o problema",$A21="Emparejamiento Ampliado"),TRIM($J21)&lt;&gt;""),IF(COUNTIF($M21:$S21,"?*")&gt;0,", ","")&amp;"dificultad debe ir vacia","")</x:f>
      </x:c>
      <x:c r="U21" t="str">
        <x:f>IF(AND($A21="Verdadero o Falso Simple",OR(COUNTIF($D21:$E21,"?*")&lt;2,COUNTIF($F21:$H21,"?*")&gt;0)),IF(COUNTIF($M21:$T21,"?*")&gt;0,", ","")&amp;"incisos A-B","")</x:f>
      </x:c>
      <x:c r="V21" t="str">
        <x:f>IF(AND($A21="Verdadero o Falso Simple",TRIM($I21)&lt;&gt;"",NOT(OR(LEFT(TRIM($I21),1)="A",LEFT(TRIM($I21),1)="B"))),IF(COUNTIF($M21:$U21,"?*")&gt;0,", ","")&amp;"respuesta A-B","")</x:f>
      </x:c>
      <x:c r="W21" t="str">
        <x:f>IF(AND($A21="Respuesta A/B/Ambas/Ninguna",COUNTIF($D21:$G21,"?*")&lt;4),IF(COUNTIF($M21:$V21,"?*")&gt;0,", ","")&amp;"opciones A-D","")</x:f>
      </x:c>
      <x:c r="X21" t="str">
        <x:f>IF(AND($A21="Respuesta A/B/Ambas/Ninguna",COUNTIF($H21:$H21,"?*")&gt;0),IF(COUNTIF($M21:$W21,"?*")&gt;0,", ","")&amp;"opcion E deshabilitada","")</x:f>
      </x:c>
      <x:c r="Y21" t="str">
        <x:f>IF(AND($A21="Respuesta A/B/Ambas/Ninguna",TRIM($I21)&lt;&gt;"",NOT(OR(LEFT(TRIM($I21),1)="A",LEFT(TRIM($I21),1)="B",LEFT(TRIM($I21),1)="C",LEFT(TRIM($I21),1)="D"))),IF(COUNTIF($M21:$X21,"?*")&gt;0,", ","")&amp;"respuesta A-D","")</x:f>
      </x:c>
      <x:c r="Z21" t="str">
        <x:f>IF(AND($A21="Verdadero o Falso Complejas",OR(LEN(TRIM(SUBSTITUTE($D21,"1.","")))=0,LEN(TRIM(SUBSTITUTE($E21,"2.","")))=0,LEN(TRIM(SUBSTITUTE($F21,"3.","")))=0,LEN(TRIM(SUBSTITUTE($G21,"4.","")))=0)),IF(COUNTIF($M21:$Y21,"?*")&gt;0,", ","")&amp;"incisos 1-4","")</x:f>
      </x:c>
      <x:c r="AA21" t="str">
        <x:f>IF(AND($A21="Verdadero o Falso Complejas",COUNTIF($H21:$H21,"?*")&gt;0),IF(COUNTIF($M21:$Z21,"?*")&gt;0,", ","")&amp;"opcion E deshabilitada","")</x:f>
      </x:c>
      <x:c r="AB21" t="str">
        <x:f>IF(AND($A21="Verdadero o Falso Complejas",TRIM($I21)&lt;&gt;"",NOT(OR(LEFT(TRIM($I21),1)="A",LEFT(TRIM($I21),1)="B",LEFT(TRIM($I21),1)="C",LEFT(TRIM($I21),1)="D",LEFT(TRIM($I21),1)="E"))),IF(COUNTIF($M21:$AA21,"?*")&gt;0,", ","")&amp;"respuesta A-E","")</x:f>
      </x:c>
      <x:c r="AC21" t="str">
        <x:f>IF(AND(OR($A21="Selección de la mejor respuesta",$A21="Subítem de caso o problema"),COUNTIF($D21:$H21,"?*")&lt;5),IF(COUNTIF($M21:$AB21,"?*")&gt;0,", ","")&amp;"incisos A-E","")</x:f>
      </x:c>
      <x:c r="AD21" t="str">
        <x:f>IF(AND(OR($A21="Selección de la mejor respuesta",$A21="Subítem de caso o problema"),TRIM($I21)&lt;&gt;"",NOT(OR(LEFT(TRIM($I21),1)="A",LEFT(TRIM($I21),1)="B",LEFT(TRIM($I21),1)="C",LEFT(TRIM($I21),1)="D",LEFT(TRIM($I21),1)="E"))),IF(COUNTIF($M21:$AC21,"?*")&gt;0,", ","")&amp;"respuesta A-E","")</x:f>
      </x:c>
      <x:c r="AE21" t="str">
        <x:f>IF(AND(OR($A21="Ítems agrupados por caso clínico o problema",$A21="Opción de Emparejamiento Ampliado"),COUNTIF($D21:$H21,"?*")&gt;0),IF(COUNTIF($M21:$AD21,"?*")&gt;0,", ","")&amp;"sin incisos","")</x:f>
      </x:c>
      <x:c r="AF21" t="str">
        <x:f>IF(AND($A21="Emparejamiento Ampliado",COUNTIF($D21:$H21,"?*")&lt;2),IF(COUNTIF($M21:$AE21,"?*")&gt;0,", ","")&amp;"minimo 2 claves","")</x:f>
      </x:c>
      <x:c r="AG21" t="str">
        <x:f>IF(AND($A21="Opción de Emparejamiento Ampliado",NOT(OR(LEFT(TRIM($I21),1)="A",LEFT(TRIM($I21),1)="B",LEFT(TRIM($I21),1)="C",LEFT(TRIM($I21),1)="D",LEFT(TRIM($I21),1)="E"))),IF(COUNTIF($M21:$AF21,"?*")&gt;0,", ","")&amp;"respuesta A-E","")</x:f>
      </x:c>
      <x:c r="AK21" s="26" t="str"/>
    </x:row>
    <x:row r="22" ht="24" customHeight="1">
      <x:c r="A22" s="8" t="s">
        <x:v>2</x:v>
      </x:c>
      <x:c r="B22" s="8" t="s">
        <x:v>2</x:v>
      </x:c>
      <x:c r="C22" s="9" t="str">
        <x:f>IF($A22="Emparejamiento Ampliado",VALIDACIONES!$I$1,IF($A22="Respuesta A/B/Ambas/Ninguna","I. "&amp;CHAR(10)&amp;"II. ",""))</x:f>
      </x:c>
      <x:c r="D22" s="8" t="str">
        <x:f>IF($A22="Verdadero o Falso Simple","Verdadero",IF($A22="Respuesta A/B/Ambas/Ninguna","A. Si la primera es verdadera",""))</x:f>
      </x:c>
      <x:c r="E22" s="8" t="str">
        <x:f>IF($A22="Verdadero o Falso Simple","Falso",IF($A22="Respuesta A/B/Ambas/Ninguna","B. Si la segunda es verdadera",""))</x:f>
      </x:c>
      <x:c r="F22" s="8" t="str">
        <x:f>IF($A22="Respuesta A/B/Ambas/Ninguna","C. Si ambas son verdaderas","")</x:f>
      </x:c>
      <x:c r="G22" s="8" t="str">
        <x:f>IF($A22="Respuesta A/B/Ambas/Ninguna","D. Si ninguna es verdadera","")</x:f>
      </x:c>
      <x:c r="H22" s="8" t="s">
        <x:v>2</x:v>
      </x:c>
      <x:c r="I22" s="8" t="str">
        <x:f>IF($A22="Verdadero o Falso Simple","A","")</x:f>
      </x:c>
      <x:c r="J22" s="8" t="s">
        <x:v>3</x:v>
      </x:c>
      <x:c r="K22" s="8" t="s">
        <x:v>4</x:v>
      </x:c>
      <x:c r="L22" s="10" t="str">
        <x:f>IF(TRIM($A22)="","",IF(COUNTIF($M22:$AG22,"?*")=0,"OK","Falta revisar: "&amp;$M22&amp;$N22&amp;$O22&amp;$P22&amp;$Q22&amp;$R22&amp;$S22&amp;$T22&amp;$U22&amp;$V22&amp;$W22&amp;$X22&amp;$Y22&amp;$Z22&amp;$AA22&amp;$AB22&amp;$AC22&amp;$AD22&amp;$AE22&amp;$AF22&amp;$AG22))</x:f>
        <x:v>OK</x:v>
      </x:c>
      <x:c r="M22" t="str">
        <x:f>IF(TRIM($C22)="","enunciado","")</x:f>
        <x:v>enunciado</x:v>
      </x:c>
      <x:c r="N22" t="str">
        <x:f>IF(TRIM($K22)="",IF(COUNTIF($M22:$M22,"?*")&gt;0,", ","")&amp;"parcial","")</x:f>
      </x:c>
      <x:c r="O22" t="str">
        <x:f>IF(AND(TRIM($K22)&lt;&gt;"",TRIM($K22)&lt;&gt;"EF"),IF(COUNTIF($M22:$N22,"?*")&gt;0,", ","")&amp;"parcial distinto a EF","")</x:f>
      </x:c>
      <x:c r="P22" t="str">
        <x:f>IF(AND(OR($A22="Ítems agrupados por caso clínico o problema",$A22="Subítem de caso o problema",$A22="Emparejamiento Ampliado",$A22="Opción de Emparejamiento Ampliado"),TRIM($B22)=""),IF(COUNTIF($M22:$O22,"?*")&gt;0,", ","")&amp;"grupo","")</x:f>
      </x:c>
      <x:c r="Q22" t="str">
        <x:f>IF(AND(OR($A22="Verdadero o Falso Simple",$A22="Respuesta A/B/Ambas/Ninguna",$A22="Verdadero o Falso Complejas",$A22="Selección de la mejor respuesta",$A22="Subítem de caso o problema",$A22="Opción de Emparejamiento Ampliado"),TRIM($I22)=""),IF(COUNTIF($M22:$P22,"?*")&gt;0,", ","")&amp;"respuesta_correcta","")</x:f>
      </x:c>
      <x:c r="R22" t="str">
        <x:f>IF(AND(OR($A22="Verdadero o Falso Simple",$A22="Respuesta A/B/Ambas/Ninguna",$A22="Verdadero o Falso Complejas",$A22="Selección de la mejor respuesta",$A22="Subítem de caso o problema",$A22="Opción de Emparejamiento Ampliado"),TRIM($J22)=""),IF(COUNTIF($M22:$Q22,"?*")&gt;0,", ","")&amp;"dificultad","")</x:f>
      </x:c>
      <x:c r="S22" t="str">
        <x:f>IF(AND(OR($A22="Ítems agrupados por caso clínico o problema",$A22="Emparejamiento Ampliado"),TRIM($I22)&lt;&gt;""),IF(COUNTIF($M22:$R22,"?*")&gt;0,", ","")&amp;"respuesta debe ir vacia","")</x:f>
      </x:c>
      <x:c r="T22" t="str">
        <x:f>IF(AND(OR($A22="Ítems agrupados por caso clínico o problema",$A22="Emparejamiento Ampliado"),TRIM($J22)&lt;&gt;""),IF(COUNTIF($M22:$S22,"?*")&gt;0,", ","")&amp;"dificultad debe ir vacia","")</x:f>
      </x:c>
      <x:c r="U22" t="str">
        <x:f>IF(AND($A22="Verdadero o Falso Simple",OR(COUNTIF($D22:$E22,"?*")&lt;2,COUNTIF($F22:$H22,"?*")&gt;0)),IF(COUNTIF($M22:$T22,"?*")&gt;0,", ","")&amp;"incisos A-B","")</x:f>
      </x:c>
      <x:c r="V22" t="str">
        <x:f>IF(AND($A22="Verdadero o Falso Simple",TRIM($I22)&lt;&gt;"",NOT(OR(LEFT(TRIM($I22),1)="A",LEFT(TRIM($I22),1)="B"))),IF(COUNTIF($M22:$U22,"?*")&gt;0,", ","")&amp;"respuesta A-B","")</x:f>
      </x:c>
      <x:c r="W22" t="str">
        <x:f>IF(AND($A22="Respuesta A/B/Ambas/Ninguna",COUNTIF($D22:$G22,"?*")&lt;4),IF(COUNTIF($M22:$V22,"?*")&gt;0,", ","")&amp;"opciones A-D","")</x:f>
      </x:c>
      <x:c r="X22" t="str">
        <x:f>IF(AND($A22="Respuesta A/B/Ambas/Ninguna",COUNTIF($H22:$H22,"?*")&gt;0),IF(COUNTIF($M22:$W22,"?*")&gt;0,", ","")&amp;"opcion E deshabilitada","")</x:f>
      </x:c>
      <x:c r="Y22" t="str">
        <x:f>IF(AND($A22="Respuesta A/B/Ambas/Ninguna",TRIM($I22)&lt;&gt;"",NOT(OR(LEFT(TRIM($I22),1)="A",LEFT(TRIM($I22),1)="B",LEFT(TRIM($I22),1)="C",LEFT(TRIM($I22),1)="D"))),IF(COUNTIF($M22:$X22,"?*")&gt;0,", ","")&amp;"respuesta A-D","")</x:f>
      </x:c>
      <x:c r="Z22" t="str">
        <x:f>IF(AND($A22="Verdadero o Falso Complejas",OR(LEN(TRIM(SUBSTITUTE($D22,"1.","")))=0,LEN(TRIM(SUBSTITUTE($E22,"2.","")))=0,LEN(TRIM(SUBSTITUTE($F22,"3.","")))=0,LEN(TRIM(SUBSTITUTE($G22,"4.","")))=0)),IF(COUNTIF($M22:$Y22,"?*")&gt;0,", ","")&amp;"incisos 1-4","")</x:f>
      </x:c>
      <x:c r="AA22" t="str">
        <x:f>IF(AND($A22="Verdadero o Falso Complejas",COUNTIF($H22:$H22,"?*")&gt;0),IF(COUNTIF($M22:$Z22,"?*")&gt;0,", ","")&amp;"opcion E deshabilitada","")</x:f>
      </x:c>
      <x:c r="AB22" t="str">
        <x:f>IF(AND($A22="Verdadero o Falso Complejas",TRIM($I22)&lt;&gt;"",NOT(OR(LEFT(TRIM($I22),1)="A",LEFT(TRIM($I22),1)="B",LEFT(TRIM($I22),1)="C",LEFT(TRIM($I22),1)="D",LEFT(TRIM($I22),1)="E"))),IF(COUNTIF($M22:$AA22,"?*")&gt;0,", ","")&amp;"respuesta A-E","")</x:f>
      </x:c>
      <x:c r="AC22" t="str">
        <x:f>IF(AND(OR($A22="Selección de la mejor respuesta",$A22="Subítem de caso o problema"),COUNTIF($D22:$H22,"?*")&lt;5),IF(COUNTIF($M22:$AB22,"?*")&gt;0,", ","")&amp;"incisos A-E","")</x:f>
      </x:c>
      <x:c r="AD22" t="str">
        <x:f>IF(AND(OR($A22="Selección de la mejor respuesta",$A22="Subítem de caso o problema"),TRIM($I22)&lt;&gt;"",NOT(OR(LEFT(TRIM($I22),1)="A",LEFT(TRIM($I22),1)="B",LEFT(TRIM($I22),1)="C",LEFT(TRIM($I22),1)="D",LEFT(TRIM($I22),1)="E"))),IF(COUNTIF($M22:$AC22,"?*")&gt;0,", ","")&amp;"respuesta A-E","")</x:f>
      </x:c>
      <x:c r="AE22" t="str">
        <x:f>IF(AND(OR($A22="Ítems agrupados por caso clínico o problema",$A22="Opción de Emparejamiento Ampliado"),COUNTIF($D22:$H22,"?*")&gt;0),IF(COUNTIF($M22:$AD22,"?*")&gt;0,", ","")&amp;"sin incisos","")</x:f>
      </x:c>
      <x:c r="AF22" t="str">
        <x:f>IF(AND($A22="Emparejamiento Ampliado",COUNTIF($D22:$H22,"?*")&lt;2),IF(COUNTIF($M22:$AE22,"?*")&gt;0,", ","")&amp;"minimo 2 claves","")</x:f>
      </x:c>
      <x:c r="AG22" t="str">
        <x:f>IF(AND($A22="Opción de Emparejamiento Ampliado",NOT(OR(LEFT(TRIM($I22),1)="A",LEFT(TRIM($I22),1)="B",LEFT(TRIM($I22),1)="C",LEFT(TRIM($I22),1)="D",LEFT(TRIM($I22),1)="E"))),IF(COUNTIF($M22:$AF22,"?*")&gt;0,", ","")&amp;"respuesta A-E","")</x:f>
      </x:c>
      <x:c r="AK22" s="26" t="str"/>
    </x:row>
    <x:row r="23" ht="24" customHeight="1">
      <x:c r="A23" s="8" t="s">
        <x:v>2</x:v>
      </x:c>
      <x:c r="B23" s="8" t="s">
        <x:v>2</x:v>
      </x:c>
      <x:c r="C23" s="9" t="str">
        <x:f>IF($A23="Emparejamiento Ampliado",VALIDACIONES!$I$1,IF($A23="Respuesta A/B/Ambas/Ninguna","I. "&amp;CHAR(10)&amp;"II. ",""))</x:f>
      </x:c>
      <x:c r="D23" s="8" t="str">
        <x:f>IF($A23="Verdadero o Falso Simple","Verdadero",IF($A23="Respuesta A/B/Ambas/Ninguna","A. Si la primera es verdadera",""))</x:f>
      </x:c>
      <x:c r="E23" s="8" t="str">
        <x:f>IF($A23="Verdadero o Falso Simple","Falso",IF($A23="Respuesta A/B/Ambas/Ninguna","B. Si la segunda es verdadera",""))</x:f>
      </x:c>
      <x:c r="F23" s="8" t="str">
        <x:f>IF($A23="Respuesta A/B/Ambas/Ninguna","C. Si ambas son verdaderas","")</x:f>
      </x:c>
      <x:c r="G23" s="8" t="str">
        <x:f>IF($A23="Respuesta A/B/Ambas/Ninguna","D. Si ninguna es verdadera","")</x:f>
      </x:c>
      <x:c r="H23" s="8" t="s">
        <x:v>2</x:v>
      </x:c>
      <x:c r="I23" s="8" t="str">
        <x:f>IF($A23="Verdadero o Falso Simple","A","")</x:f>
      </x:c>
      <x:c r="J23" s="8" t="s">
        <x:v>3</x:v>
      </x:c>
      <x:c r="K23" s="8" t="s">
        <x:v>4</x:v>
      </x:c>
      <x:c r="L23" s="10" t="str">
        <x:f>IF(TRIM($A23)="","",IF(COUNTIF($M23:$AG23,"?*")=0,"OK","Falta revisar: "&amp;$M23&amp;$N23&amp;$O23&amp;$P23&amp;$Q23&amp;$R23&amp;$S23&amp;$T23&amp;$U23&amp;$V23&amp;$W23&amp;$X23&amp;$Y23&amp;$Z23&amp;$AA23&amp;$AB23&amp;$AC23&amp;$AD23&amp;$AE23&amp;$AF23&amp;$AG23))</x:f>
        <x:v>OK</x:v>
      </x:c>
      <x:c r="M23" t="str">
        <x:f>IF(TRIM($C23)="","enunciado","")</x:f>
        <x:v>enunciado</x:v>
      </x:c>
      <x:c r="N23" t="str">
        <x:f>IF(TRIM($K23)="",IF(COUNTIF($M23:$M23,"?*")&gt;0,", ","")&amp;"parcial","")</x:f>
      </x:c>
      <x:c r="O23" t="str">
        <x:f>IF(AND(TRIM($K23)&lt;&gt;"",TRIM($K23)&lt;&gt;"EF"),IF(COUNTIF($M23:$N23,"?*")&gt;0,", ","")&amp;"parcial distinto a EF","")</x:f>
      </x:c>
      <x:c r="P23" t="str">
        <x:f>IF(AND(OR($A23="Ítems agrupados por caso clínico o problema",$A23="Subítem de caso o problema",$A23="Emparejamiento Ampliado",$A23="Opción de Emparejamiento Ampliado"),TRIM($B23)=""),IF(COUNTIF($M23:$O23,"?*")&gt;0,", ","")&amp;"grupo","")</x:f>
      </x:c>
      <x:c r="Q23" t="str">
        <x:f>IF(AND(OR($A23="Verdadero o Falso Simple",$A23="Respuesta A/B/Ambas/Ninguna",$A23="Verdadero o Falso Complejas",$A23="Selección de la mejor respuesta",$A23="Subítem de caso o problema",$A23="Opción de Emparejamiento Ampliado"),TRIM($I23)=""),IF(COUNTIF($M23:$P23,"?*")&gt;0,", ","")&amp;"respuesta_correcta","")</x:f>
      </x:c>
      <x:c r="R23" t="str">
        <x:f>IF(AND(OR($A23="Verdadero o Falso Simple",$A23="Respuesta A/B/Ambas/Ninguna",$A23="Verdadero o Falso Complejas",$A23="Selección de la mejor respuesta",$A23="Subítem de caso o problema",$A23="Opción de Emparejamiento Ampliado"),TRIM($J23)=""),IF(COUNTIF($M23:$Q23,"?*")&gt;0,", ","")&amp;"dificultad","")</x:f>
      </x:c>
      <x:c r="S23" t="str">
        <x:f>IF(AND(OR($A23="Ítems agrupados por caso clínico o problema",$A23="Emparejamiento Ampliado"),TRIM($I23)&lt;&gt;""),IF(COUNTIF($M23:$R23,"?*")&gt;0,", ","")&amp;"respuesta debe ir vacia","")</x:f>
      </x:c>
      <x:c r="T23" t="str">
        <x:f>IF(AND(OR($A23="Ítems agrupados por caso clínico o problema",$A23="Emparejamiento Ampliado"),TRIM($J23)&lt;&gt;""),IF(COUNTIF($M23:$S23,"?*")&gt;0,", ","")&amp;"dificultad debe ir vacia","")</x:f>
      </x:c>
      <x:c r="U23" t="str">
        <x:f>IF(AND($A23="Verdadero o Falso Simple",OR(COUNTIF($D23:$E23,"?*")&lt;2,COUNTIF($F23:$H23,"?*")&gt;0)),IF(COUNTIF($M23:$T23,"?*")&gt;0,", ","")&amp;"incisos A-B","")</x:f>
      </x:c>
      <x:c r="V23" t="str">
        <x:f>IF(AND($A23="Verdadero o Falso Simple",TRIM($I23)&lt;&gt;"",NOT(OR(LEFT(TRIM($I23),1)="A",LEFT(TRIM($I23),1)="B"))),IF(COUNTIF($M23:$U23,"?*")&gt;0,", ","")&amp;"respuesta A-B","")</x:f>
      </x:c>
      <x:c r="W23" t="str">
        <x:f>IF(AND($A23="Respuesta A/B/Ambas/Ninguna",COUNTIF($D23:$G23,"?*")&lt;4),IF(COUNTIF($M23:$V23,"?*")&gt;0,", ","")&amp;"opciones A-D","")</x:f>
      </x:c>
      <x:c r="X23" t="str">
        <x:f>IF(AND($A23="Respuesta A/B/Ambas/Ninguna",COUNTIF($H23:$H23,"?*")&gt;0),IF(COUNTIF($M23:$W23,"?*")&gt;0,", ","")&amp;"opcion E deshabilitada","")</x:f>
      </x:c>
      <x:c r="Y23" t="str">
        <x:f>IF(AND($A23="Respuesta A/B/Ambas/Ninguna",TRIM($I23)&lt;&gt;"",NOT(OR(LEFT(TRIM($I23),1)="A",LEFT(TRIM($I23),1)="B",LEFT(TRIM($I23),1)="C",LEFT(TRIM($I23),1)="D"))),IF(COUNTIF($M23:$X23,"?*")&gt;0,", ","")&amp;"respuesta A-D","")</x:f>
      </x:c>
      <x:c r="Z23" t="str">
        <x:f>IF(AND($A23="Verdadero o Falso Complejas",OR(LEN(TRIM(SUBSTITUTE($D23,"1.","")))=0,LEN(TRIM(SUBSTITUTE($E23,"2.","")))=0,LEN(TRIM(SUBSTITUTE($F23,"3.","")))=0,LEN(TRIM(SUBSTITUTE($G23,"4.","")))=0)),IF(COUNTIF($M23:$Y23,"?*")&gt;0,", ","")&amp;"incisos 1-4","")</x:f>
      </x:c>
      <x:c r="AA23" t="str">
        <x:f>IF(AND($A23="Verdadero o Falso Complejas",COUNTIF($H23:$H23,"?*")&gt;0),IF(COUNTIF($M23:$Z23,"?*")&gt;0,", ","")&amp;"opcion E deshabilitada","")</x:f>
      </x:c>
      <x:c r="AB23" t="str">
        <x:f>IF(AND($A23="Verdadero o Falso Complejas",TRIM($I23)&lt;&gt;"",NOT(OR(LEFT(TRIM($I23),1)="A",LEFT(TRIM($I23),1)="B",LEFT(TRIM($I23),1)="C",LEFT(TRIM($I23),1)="D",LEFT(TRIM($I23),1)="E"))),IF(COUNTIF($M23:$AA23,"?*")&gt;0,", ","")&amp;"respuesta A-E","")</x:f>
      </x:c>
      <x:c r="AC23" t="str">
        <x:f>IF(AND(OR($A23="Selección de la mejor respuesta",$A23="Subítem de caso o problema"),COUNTIF($D23:$H23,"?*")&lt;5),IF(COUNTIF($M23:$AB23,"?*")&gt;0,", ","")&amp;"incisos A-E","")</x:f>
      </x:c>
      <x:c r="AD23" t="str">
        <x:f>IF(AND(OR($A23="Selección de la mejor respuesta",$A23="Subítem de caso o problema"),TRIM($I23)&lt;&gt;"",NOT(OR(LEFT(TRIM($I23),1)="A",LEFT(TRIM($I23),1)="B",LEFT(TRIM($I23),1)="C",LEFT(TRIM($I23),1)="D",LEFT(TRIM($I23),1)="E"))),IF(COUNTIF($M23:$AC23,"?*")&gt;0,", ","")&amp;"respuesta A-E","")</x:f>
      </x:c>
      <x:c r="AE23" t="str">
        <x:f>IF(AND(OR($A23="Ítems agrupados por caso clínico o problema",$A23="Opción de Emparejamiento Ampliado"),COUNTIF($D23:$H23,"?*")&gt;0),IF(COUNTIF($M23:$AD23,"?*")&gt;0,", ","")&amp;"sin incisos","")</x:f>
      </x:c>
      <x:c r="AF23" t="str">
        <x:f>IF(AND($A23="Emparejamiento Ampliado",COUNTIF($D23:$H23,"?*")&lt;2),IF(COUNTIF($M23:$AE23,"?*")&gt;0,", ","")&amp;"minimo 2 claves","")</x:f>
      </x:c>
      <x:c r="AG23" t="str">
        <x:f>IF(AND($A23="Opción de Emparejamiento Ampliado",NOT(OR(LEFT(TRIM($I23),1)="A",LEFT(TRIM($I23),1)="B",LEFT(TRIM($I23),1)="C",LEFT(TRIM($I23),1)="D",LEFT(TRIM($I23),1)="E"))),IF(COUNTIF($M23:$AF23,"?*")&gt;0,", ","")&amp;"respuesta A-E","")</x:f>
      </x:c>
      <x:c r="AK23" s="26" t="str"/>
    </x:row>
    <x:row r="24" ht="24" customHeight="1">
      <x:c r="A24" s="8" t="s">
        <x:v>2</x:v>
      </x:c>
      <x:c r="B24" s="8" t="s">
        <x:v>2</x:v>
      </x:c>
      <x:c r="C24" s="9" t="str">
        <x:f>IF($A24="Emparejamiento Ampliado",VALIDACIONES!$I$1,IF($A24="Respuesta A/B/Ambas/Ninguna","I. "&amp;CHAR(10)&amp;"II. ",""))</x:f>
      </x:c>
      <x:c r="D24" s="8" t="str">
        <x:f>IF($A24="Verdadero o Falso Simple","Verdadero",IF($A24="Respuesta A/B/Ambas/Ninguna","A. Si la primera es verdadera",""))</x:f>
      </x:c>
      <x:c r="E24" s="8" t="str">
        <x:f>IF($A24="Verdadero o Falso Simple","Falso",IF($A24="Respuesta A/B/Ambas/Ninguna","B. Si la segunda es verdadera",""))</x:f>
      </x:c>
      <x:c r="F24" s="8" t="str">
        <x:f>IF($A24="Respuesta A/B/Ambas/Ninguna","C. Si ambas son verdaderas","")</x:f>
      </x:c>
      <x:c r="G24" s="8" t="str">
        <x:f>IF($A24="Respuesta A/B/Ambas/Ninguna","D. Si ninguna es verdadera","")</x:f>
      </x:c>
      <x:c r="H24" s="8" t="s">
        <x:v>2</x:v>
      </x:c>
      <x:c r="I24" s="8" t="str">
        <x:f>IF($A24="Verdadero o Falso Simple","A","")</x:f>
      </x:c>
      <x:c r="J24" s="8" t="s">
        <x:v>3</x:v>
      </x:c>
      <x:c r="K24" s="8" t="s">
        <x:v>4</x:v>
      </x:c>
      <x:c r="L24" s="10" t="str">
        <x:f>IF(TRIM($A24)="","",IF(COUNTIF($M24:$AG24,"?*")=0,"OK","Falta revisar: "&amp;$M24&amp;$N24&amp;$O24&amp;$P24&amp;$Q24&amp;$R24&amp;$S24&amp;$T24&amp;$U24&amp;$V24&amp;$W24&amp;$X24&amp;$Y24&amp;$Z24&amp;$AA24&amp;$AB24&amp;$AC24&amp;$AD24&amp;$AE24&amp;$AF24&amp;$AG24))</x:f>
        <x:v>OK</x:v>
      </x:c>
      <x:c r="M24" t="str">
        <x:f>IF(TRIM($C24)="","enunciado","")</x:f>
        <x:v>enunciado</x:v>
      </x:c>
      <x:c r="N24" t="str">
        <x:f>IF(TRIM($K24)="",IF(COUNTIF($M24:$M24,"?*")&gt;0,", ","")&amp;"parcial","")</x:f>
      </x:c>
      <x:c r="O24" t="str">
        <x:f>IF(AND(TRIM($K24)&lt;&gt;"",TRIM($K24)&lt;&gt;"EF"),IF(COUNTIF($M24:$N24,"?*")&gt;0,", ","")&amp;"parcial distinto a EF","")</x:f>
      </x:c>
      <x:c r="P24" t="str">
        <x:f>IF(AND(OR($A24="Ítems agrupados por caso clínico o problema",$A24="Subítem de caso o problema",$A24="Emparejamiento Ampliado",$A24="Opción de Emparejamiento Ampliado"),TRIM($B24)=""),IF(COUNTIF($M24:$O24,"?*")&gt;0,", ","")&amp;"grupo","")</x:f>
      </x:c>
      <x:c r="Q24" t="str">
        <x:f>IF(AND(OR($A24="Verdadero o Falso Simple",$A24="Respuesta A/B/Ambas/Ninguna",$A24="Verdadero o Falso Complejas",$A24="Selección de la mejor respuesta",$A24="Subítem de caso o problema",$A24="Opción de Emparejamiento Ampliado"),TRIM($I24)=""),IF(COUNTIF($M24:$P24,"?*")&gt;0,", ","")&amp;"respuesta_correcta","")</x:f>
      </x:c>
      <x:c r="R24" t="str">
        <x:f>IF(AND(OR($A24="Verdadero o Falso Simple",$A24="Respuesta A/B/Ambas/Ninguna",$A24="Verdadero o Falso Complejas",$A24="Selección de la mejor respuesta",$A24="Subítem de caso o problema",$A24="Opción de Emparejamiento Ampliado"),TRIM($J24)=""),IF(COUNTIF($M24:$Q24,"?*")&gt;0,", ","")&amp;"dificultad","")</x:f>
      </x:c>
      <x:c r="S24" t="str">
        <x:f>IF(AND(OR($A24="Ítems agrupados por caso clínico o problema",$A24="Emparejamiento Ampliado"),TRIM($I24)&lt;&gt;""),IF(COUNTIF($M24:$R24,"?*")&gt;0,", ","")&amp;"respuesta debe ir vacia","")</x:f>
      </x:c>
      <x:c r="T24" t="str">
        <x:f>IF(AND(OR($A24="Ítems agrupados por caso clínico o problema",$A24="Emparejamiento Ampliado"),TRIM($J24)&lt;&gt;""),IF(COUNTIF($M24:$S24,"?*")&gt;0,", ","")&amp;"dificultad debe ir vacia","")</x:f>
      </x:c>
      <x:c r="U24" t="str">
        <x:f>IF(AND($A24="Verdadero o Falso Simple",OR(COUNTIF($D24:$E24,"?*")&lt;2,COUNTIF($F24:$H24,"?*")&gt;0)),IF(COUNTIF($M24:$T24,"?*")&gt;0,", ","")&amp;"incisos A-B","")</x:f>
      </x:c>
      <x:c r="V24" t="str">
        <x:f>IF(AND($A24="Verdadero o Falso Simple",TRIM($I24)&lt;&gt;"",NOT(OR(LEFT(TRIM($I24),1)="A",LEFT(TRIM($I24),1)="B"))),IF(COUNTIF($M24:$U24,"?*")&gt;0,", ","")&amp;"respuesta A-B","")</x:f>
      </x:c>
      <x:c r="W24" t="str">
        <x:f>IF(AND($A24="Respuesta A/B/Ambas/Ninguna",COUNTIF($D24:$G24,"?*")&lt;4),IF(COUNTIF($M24:$V24,"?*")&gt;0,", ","")&amp;"opciones A-D","")</x:f>
      </x:c>
      <x:c r="X24" t="str">
        <x:f>IF(AND($A24="Respuesta A/B/Ambas/Ninguna",COUNTIF($H24:$H24,"?*")&gt;0),IF(COUNTIF($M24:$W24,"?*")&gt;0,", ","")&amp;"opcion E deshabilitada","")</x:f>
      </x:c>
      <x:c r="Y24" t="str">
        <x:f>IF(AND($A24="Respuesta A/B/Ambas/Ninguna",TRIM($I24)&lt;&gt;"",NOT(OR(LEFT(TRIM($I24),1)="A",LEFT(TRIM($I24),1)="B",LEFT(TRIM($I24),1)="C",LEFT(TRIM($I24),1)="D"))),IF(COUNTIF($M24:$X24,"?*")&gt;0,", ","")&amp;"respuesta A-D","")</x:f>
      </x:c>
      <x:c r="Z24" t="str">
        <x:f>IF(AND($A24="Verdadero o Falso Complejas",OR(LEN(TRIM(SUBSTITUTE($D24,"1.","")))=0,LEN(TRIM(SUBSTITUTE($E24,"2.","")))=0,LEN(TRIM(SUBSTITUTE($F24,"3.","")))=0,LEN(TRIM(SUBSTITUTE($G24,"4.","")))=0)),IF(COUNTIF($M24:$Y24,"?*")&gt;0,", ","")&amp;"incisos 1-4","")</x:f>
      </x:c>
      <x:c r="AA24" t="str">
        <x:f>IF(AND($A24="Verdadero o Falso Complejas",COUNTIF($H24:$H24,"?*")&gt;0),IF(COUNTIF($M24:$Z24,"?*")&gt;0,", ","")&amp;"opcion E deshabilitada","")</x:f>
      </x:c>
      <x:c r="AB24" t="str">
        <x:f>IF(AND($A24="Verdadero o Falso Complejas",TRIM($I24)&lt;&gt;"",NOT(OR(LEFT(TRIM($I24),1)="A",LEFT(TRIM($I24),1)="B",LEFT(TRIM($I24),1)="C",LEFT(TRIM($I24),1)="D",LEFT(TRIM($I24),1)="E"))),IF(COUNTIF($M24:$AA24,"?*")&gt;0,", ","")&amp;"respuesta A-E","")</x:f>
      </x:c>
      <x:c r="AC24" t="str">
        <x:f>IF(AND(OR($A24="Selección de la mejor respuesta",$A24="Subítem de caso o problema"),COUNTIF($D24:$H24,"?*")&lt;5),IF(COUNTIF($M24:$AB24,"?*")&gt;0,", ","")&amp;"incisos A-E","")</x:f>
      </x:c>
      <x:c r="AD24" t="str">
        <x:f>IF(AND(OR($A24="Selección de la mejor respuesta",$A24="Subítem de caso o problema"),TRIM($I24)&lt;&gt;"",NOT(OR(LEFT(TRIM($I24),1)="A",LEFT(TRIM($I24),1)="B",LEFT(TRIM($I24),1)="C",LEFT(TRIM($I24),1)="D",LEFT(TRIM($I24),1)="E"))),IF(COUNTIF($M24:$AC24,"?*")&gt;0,", ","")&amp;"respuesta A-E","")</x:f>
      </x:c>
      <x:c r="AE24" t="str">
        <x:f>IF(AND(OR($A24="Ítems agrupados por caso clínico o problema",$A24="Opción de Emparejamiento Ampliado"),COUNTIF($D24:$H24,"?*")&gt;0),IF(COUNTIF($M24:$AD24,"?*")&gt;0,", ","")&amp;"sin incisos","")</x:f>
      </x:c>
      <x:c r="AF24" t="str">
        <x:f>IF(AND($A24="Emparejamiento Ampliado",COUNTIF($D24:$H24,"?*")&lt;2),IF(COUNTIF($M24:$AE24,"?*")&gt;0,", ","")&amp;"minimo 2 claves","")</x:f>
      </x:c>
      <x:c r="AG24" t="str">
        <x:f>IF(AND($A24="Opción de Emparejamiento Ampliado",NOT(OR(LEFT(TRIM($I24),1)="A",LEFT(TRIM($I24),1)="B",LEFT(TRIM($I24),1)="C",LEFT(TRIM($I24),1)="D",LEFT(TRIM($I24),1)="E"))),IF(COUNTIF($M24:$AF24,"?*")&gt;0,", ","")&amp;"respuesta A-E","")</x:f>
      </x:c>
      <x:c r="AK24" s="26" t="str"/>
    </x:row>
    <x:row r="25" ht="24" customHeight="1">
      <x:c r="A25" s="8" t="s">
        <x:v>2</x:v>
      </x:c>
      <x:c r="B25" s="8" t="s">
        <x:v>2</x:v>
      </x:c>
      <x:c r="C25" s="9" t="str">
        <x:f>IF($A25="Emparejamiento Ampliado",VALIDACIONES!$I$1,IF($A25="Respuesta A/B/Ambas/Ninguna","I. "&amp;CHAR(10)&amp;"II. ",""))</x:f>
      </x:c>
      <x:c r="D25" s="8" t="str">
        <x:f>IF($A25="Verdadero o Falso Simple","Verdadero",IF($A25="Respuesta A/B/Ambas/Ninguna","A. Si la primera es verdadera",""))</x:f>
      </x:c>
      <x:c r="E25" s="8" t="str">
        <x:f>IF($A25="Verdadero o Falso Simple","Falso",IF($A25="Respuesta A/B/Ambas/Ninguna","B. Si la segunda es verdadera",""))</x:f>
      </x:c>
      <x:c r="F25" s="8" t="str">
        <x:f>IF($A25="Respuesta A/B/Ambas/Ninguna","C. Si ambas son verdaderas","")</x:f>
      </x:c>
      <x:c r="G25" s="8" t="str">
        <x:f>IF($A25="Respuesta A/B/Ambas/Ninguna","D. Si ninguna es verdadera","")</x:f>
      </x:c>
      <x:c r="H25" s="8" t="s">
        <x:v>2</x:v>
      </x:c>
      <x:c r="I25" s="8" t="str">
        <x:f>IF($A25="Verdadero o Falso Simple","A","")</x:f>
      </x:c>
      <x:c r="J25" s="8" t="s">
        <x:v>3</x:v>
      </x:c>
      <x:c r="K25" s="8" t="s">
        <x:v>4</x:v>
      </x:c>
      <x:c r="L25" s="10" t="str">
        <x:f>IF(TRIM($A25)="","",IF(COUNTIF($M25:$AG25,"?*")=0,"OK","Falta revisar: "&amp;$M25&amp;$N25&amp;$O25&amp;$P25&amp;$Q25&amp;$R25&amp;$S25&amp;$T25&amp;$U25&amp;$V25&amp;$W25&amp;$X25&amp;$Y25&amp;$Z25&amp;$AA25&amp;$AB25&amp;$AC25&amp;$AD25&amp;$AE25&amp;$AF25&amp;$AG25))</x:f>
        <x:v>OK</x:v>
      </x:c>
      <x:c r="M25" t="str">
        <x:f>IF(TRIM($C25)="","enunciado","")</x:f>
        <x:v>enunciado</x:v>
      </x:c>
      <x:c r="N25" t="str">
        <x:f>IF(TRIM($K25)="",IF(COUNTIF($M25:$M25,"?*")&gt;0,", ","")&amp;"parcial","")</x:f>
      </x:c>
      <x:c r="O25" t="str">
        <x:f>IF(AND(TRIM($K25)&lt;&gt;"",TRIM($K25)&lt;&gt;"EF"),IF(COUNTIF($M25:$N25,"?*")&gt;0,", ","")&amp;"parcial distinto a EF","")</x:f>
      </x:c>
      <x:c r="P25" t="str">
        <x:f>IF(AND(OR($A25="Ítems agrupados por caso clínico o problema",$A25="Subítem de caso o problema",$A25="Emparejamiento Ampliado",$A25="Opción de Emparejamiento Ampliado"),TRIM($B25)=""),IF(COUNTIF($M25:$O25,"?*")&gt;0,", ","")&amp;"grupo","")</x:f>
      </x:c>
      <x:c r="Q25" t="str">
        <x:f>IF(AND(OR($A25="Verdadero o Falso Simple",$A25="Respuesta A/B/Ambas/Ninguna",$A25="Verdadero o Falso Complejas",$A25="Selección de la mejor respuesta",$A25="Subítem de caso o problema",$A25="Opción de Emparejamiento Ampliado"),TRIM($I25)=""),IF(COUNTIF($M25:$P25,"?*")&gt;0,", ","")&amp;"respuesta_correcta","")</x:f>
      </x:c>
      <x:c r="R25" t="str">
        <x:f>IF(AND(OR($A25="Verdadero o Falso Simple",$A25="Respuesta A/B/Ambas/Ninguna",$A25="Verdadero o Falso Complejas",$A25="Selección de la mejor respuesta",$A25="Subítem de caso o problema",$A25="Opción de Emparejamiento Ampliado"),TRIM($J25)=""),IF(COUNTIF($M25:$Q25,"?*")&gt;0,", ","")&amp;"dificultad","")</x:f>
      </x:c>
      <x:c r="S25" t="str">
        <x:f>IF(AND(OR($A25="Ítems agrupados por caso clínico o problema",$A25="Emparejamiento Ampliado"),TRIM($I25)&lt;&gt;""),IF(COUNTIF($M25:$R25,"?*")&gt;0,", ","")&amp;"respuesta debe ir vacia","")</x:f>
      </x:c>
      <x:c r="T25" t="str">
        <x:f>IF(AND(OR($A25="Ítems agrupados por caso clínico o problema",$A25="Emparejamiento Ampliado"),TRIM($J25)&lt;&gt;""),IF(COUNTIF($M25:$S25,"?*")&gt;0,", ","")&amp;"dificultad debe ir vacia","")</x:f>
      </x:c>
      <x:c r="U25" t="str">
        <x:f>IF(AND($A25="Verdadero o Falso Simple",OR(COUNTIF($D25:$E25,"?*")&lt;2,COUNTIF($F25:$H25,"?*")&gt;0)),IF(COUNTIF($M25:$T25,"?*")&gt;0,", ","")&amp;"incisos A-B","")</x:f>
      </x:c>
      <x:c r="V25" t="str">
        <x:f>IF(AND($A25="Verdadero o Falso Simple",TRIM($I25)&lt;&gt;"",NOT(OR(LEFT(TRIM($I25),1)="A",LEFT(TRIM($I25),1)="B"))),IF(COUNTIF($M25:$U25,"?*")&gt;0,", ","")&amp;"respuesta A-B","")</x:f>
      </x:c>
      <x:c r="W25" t="str">
        <x:f>IF(AND($A25="Respuesta A/B/Ambas/Ninguna",COUNTIF($D25:$G25,"?*")&lt;4),IF(COUNTIF($M25:$V25,"?*")&gt;0,", ","")&amp;"opciones A-D","")</x:f>
      </x:c>
      <x:c r="X25" t="str">
        <x:f>IF(AND($A25="Respuesta A/B/Ambas/Ninguna",COUNTIF($H25:$H25,"?*")&gt;0),IF(COUNTIF($M25:$W25,"?*")&gt;0,", ","")&amp;"opcion E deshabilitada","")</x:f>
      </x:c>
      <x:c r="Y25" t="str">
        <x:f>IF(AND($A25="Respuesta A/B/Ambas/Ninguna",TRIM($I25)&lt;&gt;"",NOT(OR(LEFT(TRIM($I25),1)="A",LEFT(TRIM($I25),1)="B",LEFT(TRIM($I25),1)="C",LEFT(TRIM($I25),1)="D"))),IF(COUNTIF($M25:$X25,"?*")&gt;0,", ","")&amp;"respuesta A-D","")</x:f>
      </x:c>
      <x:c r="Z25" t="str">
        <x:f>IF(AND($A25="Verdadero o Falso Complejas",OR(LEN(TRIM(SUBSTITUTE($D25,"1.","")))=0,LEN(TRIM(SUBSTITUTE($E25,"2.","")))=0,LEN(TRIM(SUBSTITUTE($F25,"3.","")))=0,LEN(TRIM(SUBSTITUTE($G25,"4.","")))=0)),IF(COUNTIF($M25:$Y25,"?*")&gt;0,", ","")&amp;"incisos 1-4","")</x:f>
      </x:c>
      <x:c r="AA25" t="str">
        <x:f>IF(AND($A25="Verdadero o Falso Complejas",COUNTIF($H25:$H25,"?*")&gt;0),IF(COUNTIF($M25:$Z25,"?*")&gt;0,", ","")&amp;"opcion E deshabilitada","")</x:f>
      </x:c>
      <x:c r="AB25" t="str">
        <x:f>IF(AND($A25="Verdadero o Falso Complejas",TRIM($I25)&lt;&gt;"",NOT(OR(LEFT(TRIM($I25),1)="A",LEFT(TRIM($I25),1)="B",LEFT(TRIM($I25),1)="C",LEFT(TRIM($I25),1)="D",LEFT(TRIM($I25),1)="E"))),IF(COUNTIF($M25:$AA25,"?*")&gt;0,", ","")&amp;"respuesta A-E","")</x:f>
      </x:c>
      <x:c r="AC25" t="str">
        <x:f>IF(AND(OR($A25="Selección de la mejor respuesta",$A25="Subítem de caso o problema"),COUNTIF($D25:$H25,"?*")&lt;5),IF(COUNTIF($M25:$AB25,"?*")&gt;0,", ","")&amp;"incisos A-E","")</x:f>
      </x:c>
      <x:c r="AD25" t="str">
        <x:f>IF(AND(OR($A25="Selección de la mejor respuesta",$A25="Subítem de caso o problema"),TRIM($I25)&lt;&gt;"",NOT(OR(LEFT(TRIM($I25),1)="A",LEFT(TRIM($I25),1)="B",LEFT(TRIM($I25),1)="C",LEFT(TRIM($I25),1)="D",LEFT(TRIM($I25),1)="E"))),IF(COUNTIF($M25:$AC25,"?*")&gt;0,", ","")&amp;"respuesta A-E","")</x:f>
      </x:c>
      <x:c r="AE25" t="str">
        <x:f>IF(AND(OR($A25="Ítems agrupados por caso clínico o problema",$A25="Opción de Emparejamiento Ampliado"),COUNTIF($D25:$H25,"?*")&gt;0),IF(COUNTIF($M25:$AD25,"?*")&gt;0,", ","")&amp;"sin incisos","")</x:f>
      </x:c>
      <x:c r="AF25" t="str">
        <x:f>IF(AND($A25="Emparejamiento Ampliado",COUNTIF($D25:$H25,"?*")&lt;2),IF(COUNTIF($M25:$AE25,"?*")&gt;0,", ","")&amp;"minimo 2 claves","")</x:f>
      </x:c>
      <x:c r="AG25" t="str">
        <x:f>IF(AND($A25="Opción de Emparejamiento Ampliado",NOT(OR(LEFT(TRIM($I25),1)="A",LEFT(TRIM($I25),1)="B",LEFT(TRIM($I25),1)="C",LEFT(TRIM($I25),1)="D",LEFT(TRIM($I25),1)="E"))),IF(COUNTIF($M25:$AF25,"?*")&gt;0,", ","")&amp;"respuesta A-E","")</x:f>
      </x:c>
      <x:c r="AK25" s="26" t="str"/>
    </x:row>
    <x:row r="26" ht="24" customHeight="1">
      <x:c r="A26" s="8" t="s">
        <x:v>2</x:v>
      </x:c>
      <x:c r="B26" s="8" t="s">
        <x:v>2</x:v>
      </x:c>
      <x:c r="C26" s="9" t="str">
        <x:f>IF($A26="Emparejamiento Ampliado",VALIDACIONES!$I$1,IF($A26="Respuesta A/B/Ambas/Ninguna","I. "&amp;CHAR(10)&amp;"II. ",""))</x:f>
      </x:c>
      <x:c r="D26" s="8" t="str">
        <x:f>IF($A26="Verdadero o Falso Simple","Verdadero",IF($A26="Respuesta A/B/Ambas/Ninguna","A. Si la primera es verdadera",""))</x:f>
      </x:c>
      <x:c r="E26" s="8" t="str">
        <x:f>IF($A26="Verdadero o Falso Simple","Falso",IF($A26="Respuesta A/B/Ambas/Ninguna","B. Si la segunda es verdadera",""))</x:f>
      </x:c>
      <x:c r="F26" s="8" t="str">
        <x:f>IF($A26="Respuesta A/B/Ambas/Ninguna","C. Si ambas son verdaderas","")</x:f>
      </x:c>
      <x:c r="G26" s="8" t="str">
        <x:f>IF($A26="Respuesta A/B/Ambas/Ninguna","D. Si ninguna es verdadera","")</x:f>
      </x:c>
      <x:c r="H26" s="8" t="s">
        <x:v>2</x:v>
      </x:c>
      <x:c r="I26" s="8" t="str">
        <x:f>IF($A26="Verdadero o Falso Simple","A","")</x:f>
      </x:c>
      <x:c r="J26" s="8" t="s">
        <x:v>3</x:v>
      </x:c>
      <x:c r="K26" s="8" t="s">
        <x:v>4</x:v>
      </x:c>
      <x:c r="L26" s="10" t="str">
        <x:f>IF(TRIM($A26)="","",IF(COUNTIF($M26:$AG26,"?*")=0,"OK","Falta revisar: "&amp;$M26&amp;$N26&amp;$O26&amp;$P26&amp;$Q26&amp;$R26&amp;$S26&amp;$T26&amp;$U26&amp;$V26&amp;$W26&amp;$X26&amp;$Y26&amp;$Z26&amp;$AA26&amp;$AB26&amp;$AC26&amp;$AD26&amp;$AE26&amp;$AF26&amp;$AG26))</x:f>
        <x:v>OK</x:v>
      </x:c>
      <x:c r="M26" t="str">
        <x:f>IF(TRIM($C26)="","enunciado","")</x:f>
        <x:v>enunciado</x:v>
      </x:c>
      <x:c r="N26" t="str">
        <x:f>IF(TRIM($K26)="",IF(COUNTIF($M26:$M26,"?*")&gt;0,", ","")&amp;"parcial","")</x:f>
      </x:c>
      <x:c r="O26" t="str">
        <x:f>IF(AND(TRIM($K26)&lt;&gt;"",TRIM($K26)&lt;&gt;"EF"),IF(COUNTIF($M26:$N26,"?*")&gt;0,", ","")&amp;"parcial distinto a EF","")</x:f>
      </x:c>
      <x:c r="P26" t="str">
        <x:f>IF(AND(OR($A26="Ítems agrupados por caso clínico o problema",$A26="Subítem de caso o problema",$A26="Emparejamiento Ampliado",$A26="Opción de Emparejamiento Ampliado"),TRIM($B26)=""),IF(COUNTIF($M26:$O26,"?*")&gt;0,", ","")&amp;"grupo","")</x:f>
      </x:c>
      <x:c r="Q26" t="str">
        <x:f>IF(AND(OR($A26="Verdadero o Falso Simple",$A26="Respuesta A/B/Ambas/Ninguna",$A26="Verdadero o Falso Complejas",$A26="Selección de la mejor respuesta",$A26="Subítem de caso o problema",$A26="Opción de Emparejamiento Ampliado"),TRIM($I26)=""),IF(COUNTIF($M26:$P26,"?*")&gt;0,", ","")&amp;"respuesta_correcta","")</x:f>
      </x:c>
      <x:c r="R26" t="str">
        <x:f>IF(AND(OR($A26="Verdadero o Falso Simple",$A26="Respuesta A/B/Ambas/Ninguna",$A26="Verdadero o Falso Complejas",$A26="Selección de la mejor respuesta",$A26="Subítem de caso o problema",$A26="Opción de Emparejamiento Ampliado"),TRIM($J26)=""),IF(COUNTIF($M26:$Q26,"?*")&gt;0,", ","")&amp;"dificultad","")</x:f>
      </x:c>
      <x:c r="S26" t="str">
        <x:f>IF(AND(OR($A26="Ítems agrupados por caso clínico o problema",$A26="Emparejamiento Ampliado"),TRIM($I26)&lt;&gt;""),IF(COUNTIF($M26:$R26,"?*")&gt;0,", ","")&amp;"respuesta debe ir vacia","")</x:f>
      </x:c>
      <x:c r="T26" t="str">
        <x:f>IF(AND(OR($A26="Ítems agrupados por caso clínico o problema",$A26="Emparejamiento Ampliado"),TRIM($J26)&lt;&gt;""),IF(COUNTIF($M26:$S26,"?*")&gt;0,", ","")&amp;"dificultad debe ir vacia","")</x:f>
      </x:c>
      <x:c r="U26" t="str">
        <x:f>IF(AND($A26="Verdadero o Falso Simple",OR(COUNTIF($D26:$E26,"?*")&lt;2,COUNTIF($F26:$H26,"?*")&gt;0)),IF(COUNTIF($M26:$T26,"?*")&gt;0,", ","")&amp;"incisos A-B","")</x:f>
      </x:c>
      <x:c r="V26" t="str">
        <x:f>IF(AND($A26="Verdadero o Falso Simple",TRIM($I26)&lt;&gt;"",NOT(OR(LEFT(TRIM($I26),1)="A",LEFT(TRIM($I26),1)="B"))),IF(COUNTIF($M26:$U26,"?*")&gt;0,", ","")&amp;"respuesta A-B","")</x:f>
      </x:c>
      <x:c r="W26" t="str">
        <x:f>IF(AND($A26="Respuesta A/B/Ambas/Ninguna",COUNTIF($D26:$G26,"?*")&lt;4),IF(COUNTIF($M26:$V26,"?*")&gt;0,", ","")&amp;"opciones A-D","")</x:f>
      </x:c>
      <x:c r="X26" t="str">
        <x:f>IF(AND($A26="Respuesta A/B/Ambas/Ninguna",COUNTIF($H26:$H26,"?*")&gt;0),IF(COUNTIF($M26:$W26,"?*")&gt;0,", ","")&amp;"opcion E deshabilitada","")</x:f>
      </x:c>
      <x:c r="Y26" t="str">
        <x:f>IF(AND($A26="Respuesta A/B/Ambas/Ninguna",TRIM($I26)&lt;&gt;"",NOT(OR(LEFT(TRIM($I26),1)="A",LEFT(TRIM($I26),1)="B",LEFT(TRIM($I26),1)="C",LEFT(TRIM($I26),1)="D"))),IF(COUNTIF($M26:$X26,"?*")&gt;0,", ","")&amp;"respuesta A-D","")</x:f>
      </x:c>
      <x:c r="Z26" t="str">
        <x:f>IF(AND($A26="Verdadero o Falso Complejas",OR(LEN(TRIM(SUBSTITUTE($D26,"1.","")))=0,LEN(TRIM(SUBSTITUTE($E26,"2.","")))=0,LEN(TRIM(SUBSTITUTE($F26,"3.","")))=0,LEN(TRIM(SUBSTITUTE($G26,"4.","")))=0)),IF(COUNTIF($M26:$Y26,"?*")&gt;0,", ","")&amp;"incisos 1-4","")</x:f>
      </x:c>
      <x:c r="AA26" t="str">
        <x:f>IF(AND($A26="Verdadero o Falso Complejas",COUNTIF($H26:$H26,"?*")&gt;0),IF(COUNTIF($M26:$Z26,"?*")&gt;0,", ","")&amp;"opcion E deshabilitada","")</x:f>
      </x:c>
      <x:c r="AB26" t="str">
        <x:f>IF(AND($A26="Verdadero o Falso Complejas",TRIM($I26)&lt;&gt;"",NOT(OR(LEFT(TRIM($I26),1)="A",LEFT(TRIM($I26),1)="B",LEFT(TRIM($I26),1)="C",LEFT(TRIM($I26),1)="D",LEFT(TRIM($I26),1)="E"))),IF(COUNTIF($M26:$AA26,"?*")&gt;0,", ","")&amp;"respuesta A-E","")</x:f>
      </x:c>
      <x:c r="AC26" t="str">
        <x:f>IF(AND(OR($A26="Selección de la mejor respuesta",$A26="Subítem de caso o problema"),COUNTIF($D26:$H26,"?*")&lt;5),IF(COUNTIF($M26:$AB26,"?*")&gt;0,", ","")&amp;"incisos A-E","")</x:f>
      </x:c>
      <x:c r="AD26" t="str">
        <x:f>IF(AND(OR($A26="Selección de la mejor respuesta",$A26="Subítem de caso o problema"),TRIM($I26)&lt;&gt;"",NOT(OR(LEFT(TRIM($I26),1)="A",LEFT(TRIM($I26),1)="B",LEFT(TRIM($I26),1)="C",LEFT(TRIM($I26),1)="D",LEFT(TRIM($I26),1)="E"))),IF(COUNTIF($M26:$AC26,"?*")&gt;0,", ","")&amp;"respuesta A-E","")</x:f>
      </x:c>
      <x:c r="AE26" t="str">
        <x:f>IF(AND(OR($A26="Ítems agrupados por caso clínico o problema",$A26="Opción de Emparejamiento Ampliado"),COUNTIF($D26:$H26,"?*")&gt;0),IF(COUNTIF($M26:$AD26,"?*")&gt;0,", ","")&amp;"sin incisos","")</x:f>
      </x:c>
      <x:c r="AF26" t="str">
        <x:f>IF(AND($A26="Emparejamiento Ampliado",COUNTIF($D26:$H26,"?*")&lt;2),IF(COUNTIF($M26:$AE26,"?*")&gt;0,", ","")&amp;"minimo 2 claves","")</x:f>
      </x:c>
      <x:c r="AG26" t="str">
        <x:f>IF(AND($A26="Opción de Emparejamiento Ampliado",NOT(OR(LEFT(TRIM($I26),1)="A",LEFT(TRIM($I26),1)="B",LEFT(TRIM($I26),1)="C",LEFT(TRIM($I26),1)="D",LEFT(TRIM($I26),1)="E"))),IF(COUNTIF($M26:$AF26,"?*")&gt;0,", ","")&amp;"respuesta A-E","")</x:f>
      </x:c>
      <x:c r="AK26" s="26" t="str"/>
    </x:row>
    <x:row r="27" ht="24" customHeight="1">
      <x:c r="A27" s="8" t="s">
        <x:v>2</x:v>
      </x:c>
      <x:c r="B27" s="8" t="s">
        <x:v>2</x:v>
      </x:c>
      <x:c r="C27" s="9" t="str">
        <x:f>IF($A27="Emparejamiento Ampliado",VALIDACIONES!$I$1,IF($A27="Respuesta A/B/Ambas/Ninguna","I. "&amp;CHAR(10)&amp;"II. ",""))</x:f>
      </x:c>
      <x:c r="D27" s="8" t="str">
        <x:f>IF($A27="Verdadero o Falso Simple","Verdadero",IF($A27="Respuesta A/B/Ambas/Ninguna","A. Si la primera es verdadera",""))</x:f>
      </x:c>
      <x:c r="E27" s="8" t="str">
        <x:f>IF($A27="Verdadero o Falso Simple","Falso",IF($A27="Respuesta A/B/Ambas/Ninguna","B. Si la segunda es verdadera",""))</x:f>
      </x:c>
      <x:c r="F27" s="8" t="str">
        <x:f>IF($A27="Respuesta A/B/Ambas/Ninguna","C. Si ambas son verdaderas","")</x:f>
      </x:c>
      <x:c r="G27" s="8" t="str">
        <x:f>IF($A27="Respuesta A/B/Ambas/Ninguna","D. Si ninguna es verdadera","")</x:f>
      </x:c>
      <x:c r="H27" s="8" t="s">
        <x:v>2</x:v>
      </x:c>
      <x:c r="I27" s="8" t="str">
        <x:f>IF($A27="Verdadero o Falso Simple","A","")</x:f>
      </x:c>
      <x:c r="J27" s="8" t="s">
        <x:v>3</x:v>
      </x:c>
      <x:c r="K27" s="8" t="s">
        <x:v>4</x:v>
      </x:c>
      <x:c r="L27" s="10" t="str">
        <x:f>IF(TRIM($A27)="","",IF(COUNTIF($M27:$AG27,"?*")=0,"OK","Falta revisar: "&amp;$M27&amp;$N27&amp;$O27&amp;$P27&amp;$Q27&amp;$R27&amp;$S27&amp;$T27&amp;$U27&amp;$V27&amp;$W27&amp;$X27&amp;$Y27&amp;$Z27&amp;$AA27&amp;$AB27&amp;$AC27&amp;$AD27&amp;$AE27&amp;$AF27&amp;$AG27))</x:f>
        <x:v>OK</x:v>
      </x:c>
      <x:c r="M27" t="str">
        <x:f>IF(TRIM($C27)="","enunciado","")</x:f>
        <x:v>enunciado</x:v>
      </x:c>
      <x:c r="N27" t="str">
        <x:f>IF(TRIM($K27)="",IF(COUNTIF($M27:$M27,"?*")&gt;0,", ","")&amp;"parcial","")</x:f>
      </x:c>
      <x:c r="O27" t="str">
        <x:f>IF(AND(TRIM($K27)&lt;&gt;"",TRIM($K27)&lt;&gt;"EF"),IF(COUNTIF($M27:$N27,"?*")&gt;0,", ","")&amp;"parcial distinto a EF","")</x:f>
      </x:c>
      <x:c r="P27" t="str">
        <x:f>IF(AND(OR($A27="Ítems agrupados por caso clínico o problema",$A27="Subítem de caso o problema",$A27="Emparejamiento Ampliado",$A27="Opción de Emparejamiento Ampliado"),TRIM($B27)=""),IF(COUNTIF($M27:$O27,"?*")&gt;0,", ","")&amp;"grupo","")</x:f>
      </x:c>
      <x:c r="Q27" t="str">
        <x:f>IF(AND(OR($A27="Verdadero o Falso Simple",$A27="Respuesta A/B/Ambas/Ninguna",$A27="Verdadero o Falso Complejas",$A27="Selección de la mejor respuesta",$A27="Subítem de caso o problema",$A27="Opción de Emparejamiento Ampliado"),TRIM($I27)=""),IF(COUNTIF($M27:$P27,"?*")&gt;0,", ","")&amp;"respuesta_correcta","")</x:f>
      </x:c>
      <x:c r="R27" t="str">
        <x:f>IF(AND(OR($A27="Verdadero o Falso Simple",$A27="Respuesta A/B/Ambas/Ninguna",$A27="Verdadero o Falso Complejas",$A27="Selección de la mejor respuesta",$A27="Subítem de caso o problema",$A27="Opción de Emparejamiento Ampliado"),TRIM($J27)=""),IF(COUNTIF($M27:$Q27,"?*")&gt;0,", ","")&amp;"dificultad","")</x:f>
      </x:c>
      <x:c r="S27" t="str">
        <x:f>IF(AND(OR($A27="Ítems agrupados por caso clínico o problema",$A27="Emparejamiento Ampliado"),TRIM($I27)&lt;&gt;""),IF(COUNTIF($M27:$R27,"?*")&gt;0,", ","")&amp;"respuesta debe ir vacia","")</x:f>
      </x:c>
      <x:c r="T27" t="str">
        <x:f>IF(AND(OR($A27="Ítems agrupados por caso clínico o problema",$A27="Emparejamiento Ampliado"),TRIM($J27)&lt;&gt;""),IF(COUNTIF($M27:$S27,"?*")&gt;0,", ","")&amp;"dificultad debe ir vacia","")</x:f>
      </x:c>
      <x:c r="U27" t="str">
        <x:f>IF(AND($A27="Verdadero o Falso Simple",OR(COUNTIF($D27:$E27,"?*")&lt;2,COUNTIF($F27:$H27,"?*")&gt;0)),IF(COUNTIF($M27:$T27,"?*")&gt;0,", ","")&amp;"incisos A-B","")</x:f>
      </x:c>
      <x:c r="V27" t="str">
        <x:f>IF(AND($A27="Verdadero o Falso Simple",TRIM($I27)&lt;&gt;"",NOT(OR(LEFT(TRIM($I27),1)="A",LEFT(TRIM($I27),1)="B"))),IF(COUNTIF($M27:$U27,"?*")&gt;0,", ","")&amp;"respuesta A-B","")</x:f>
      </x:c>
      <x:c r="W27" t="str">
        <x:f>IF(AND($A27="Respuesta A/B/Ambas/Ninguna",COUNTIF($D27:$G27,"?*")&lt;4),IF(COUNTIF($M27:$V27,"?*")&gt;0,", ","")&amp;"opciones A-D","")</x:f>
      </x:c>
      <x:c r="X27" t="str">
        <x:f>IF(AND($A27="Respuesta A/B/Ambas/Ninguna",COUNTIF($H27:$H27,"?*")&gt;0),IF(COUNTIF($M27:$W27,"?*")&gt;0,", ","")&amp;"opcion E deshabilitada","")</x:f>
      </x:c>
      <x:c r="Y27" t="str">
        <x:f>IF(AND($A27="Respuesta A/B/Ambas/Ninguna",TRIM($I27)&lt;&gt;"",NOT(OR(LEFT(TRIM($I27),1)="A",LEFT(TRIM($I27),1)="B",LEFT(TRIM($I27),1)="C",LEFT(TRIM($I27),1)="D"))),IF(COUNTIF($M27:$X27,"?*")&gt;0,", ","")&amp;"respuesta A-D","")</x:f>
      </x:c>
      <x:c r="Z27" t="str">
        <x:f>IF(AND($A27="Verdadero o Falso Complejas",OR(LEN(TRIM(SUBSTITUTE($D27,"1.","")))=0,LEN(TRIM(SUBSTITUTE($E27,"2.","")))=0,LEN(TRIM(SUBSTITUTE($F27,"3.","")))=0,LEN(TRIM(SUBSTITUTE($G27,"4.","")))=0)),IF(COUNTIF($M27:$Y27,"?*")&gt;0,", ","")&amp;"incisos 1-4","")</x:f>
      </x:c>
      <x:c r="AA27" t="str">
        <x:f>IF(AND($A27="Verdadero o Falso Complejas",COUNTIF($H27:$H27,"?*")&gt;0),IF(COUNTIF($M27:$Z27,"?*")&gt;0,", ","")&amp;"opcion E deshabilitada","")</x:f>
      </x:c>
      <x:c r="AB27" t="str">
        <x:f>IF(AND($A27="Verdadero o Falso Complejas",TRIM($I27)&lt;&gt;"",NOT(OR(LEFT(TRIM($I27),1)="A",LEFT(TRIM($I27),1)="B",LEFT(TRIM($I27),1)="C",LEFT(TRIM($I27),1)="D",LEFT(TRIM($I27),1)="E"))),IF(COUNTIF($M27:$AA27,"?*")&gt;0,", ","")&amp;"respuesta A-E","")</x:f>
      </x:c>
      <x:c r="AC27" t="str">
        <x:f>IF(AND(OR($A27="Selección de la mejor respuesta",$A27="Subítem de caso o problema"),COUNTIF($D27:$H27,"?*")&lt;5),IF(COUNTIF($M27:$AB27,"?*")&gt;0,", ","")&amp;"incisos A-E","")</x:f>
      </x:c>
      <x:c r="AD27" t="str">
        <x:f>IF(AND(OR($A27="Selección de la mejor respuesta",$A27="Subítem de caso o problema"),TRIM($I27)&lt;&gt;"",NOT(OR(LEFT(TRIM($I27),1)="A",LEFT(TRIM($I27),1)="B",LEFT(TRIM($I27),1)="C",LEFT(TRIM($I27),1)="D",LEFT(TRIM($I27),1)="E"))),IF(COUNTIF($M27:$AC27,"?*")&gt;0,", ","")&amp;"respuesta A-E","")</x:f>
      </x:c>
      <x:c r="AE27" t="str">
        <x:f>IF(AND(OR($A27="Ítems agrupados por caso clínico o problema",$A27="Opción de Emparejamiento Ampliado"),COUNTIF($D27:$H27,"?*")&gt;0),IF(COUNTIF($M27:$AD27,"?*")&gt;0,", ","")&amp;"sin incisos","")</x:f>
      </x:c>
      <x:c r="AF27" t="str">
        <x:f>IF(AND($A27="Emparejamiento Ampliado",COUNTIF($D27:$H27,"?*")&lt;2),IF(COUNTIF($M27:$AE27,"?*")&gt;0,", ","")&amp;"minimo 2 claves","")</x:f>
      </x:c>
      <x:c r="AG27" t="str">
        <x:f>IF(AND($A27="Opción de Emparejamiento Ampliado",NOT(OR(LEFT(TRIM($I27),1)="A",LEFT(TRIM($I27),1)="B",LEFT(TRIM($I27),1)="C",LEFT(TRIM($I27),1)="D",LEFT(TRIM($I27),1)="E"))),IF(COUNTIF($M27:$AF27,"?*")&gt;0,", ","")&amp;"respuesta A-E","")</x:f>
      </x:c>
      <x:c r="AK27" s="26" t="str"/>
    </x:row>
    <x:row r="28" ht="24" customHeight="1">
      <x:c r="A28" s="8" t="s">
        <x:v>2</x:v>
      </x:c>
      <x:c r="B28" s="8" t="s">
        <x:v>2</x:v>
      </x:c>
      <x:c r="C28" s="9" t="str">
        <x:f>IF($A28="Emparejamiento Ampliado",VALIDACIONES!$I$1,IF($A28="Respuesta A/B/Ambas/Ninguna","I. "&amp;CHAR(10)&amp;"II. ",""))</x:f>
      </x:c>
      <x:c r="D28" s="8" t="str">
        <x:f>IF($A28="Verdadero o Falso Simple","Verdadero",IF($A28="Respuesta A/B/Ambas/Ninguna","A. Si la primera es verdadera",""))</x:f>
      </x:c>
      <x:c r="E28" s="8" t="str">
        <x:f>IF($A28="Verdadero o Falso Simple","Falso",IF($A28="Respuesta A/B/Ambas/Ninguna","B. Si la segunda es verdadera",""))</x:f>
      </x:c>
      <x:c r="F28" s="8" t="str">
        <x:f>IF($A28="Respuesta A/B/Ambas/Ninguna","C. Si ambas son verdaderas","")</x:f>
      </x:c>
      <x:c r="G28" s="8" t="str">
        <x:f>IF($A28="Respuesta A/B/Ambas/Ninguna","D. Si ninguna es verdadera","")</x:f>
      </x:c>
      <x:c r="H28" s="8" t="s">
        <x:v>2</x:v>
      </x:c>
      <x:c r="I28" s="8" t="str">
        <x:f>IF($A28="Verdadero o Falso Simple","A","")</x:f>
      </x:c>
      <x:c r="J28" s="8" t="s">
        <x:v>3</x:v>
      </x:c>
      <x:c r="K28" s="8" t="s">
        <x:v>4</x:v>
      </x:c>
      <x:c r="L28" s="10" t="str">
        <x:f>IF(TRIM($A28)="","",IF(COUNTIF($M28:$AG28,"?*")=0,"OK","Falta revisar: "&amp;$M28&amp;$N28&amp;$O28&amp;$P28&amp;$Q28&amp;$R28&amp;$S28&amp;$T28&amp;$U28&amp;$V28&amp;$W28&amp;$X28&amp;$Y28&amp;$Z28&amp;$AA28&amp;$AB28&amp;$AC28&amp;$AD28&amp;$AE28&amp;$AF28&amp;$AG28))</x:f>
        <x:v>OK</x:v>
      </x:c>
      <x:c r="M28" t="str">
        <x:f>IF(TRIM($C28)="","enunciado","")</x:f>
        <x:v>enunciado</x:v>
      </x:c>
      <x:c r="N28" t="str">
        <x:f>IF(TRIM($K28)="",IF(COUNTIF($M28:$M28,"?*")&gt;0,", ","")&amp;"parcial","")</x:f>
      </x:c>
      <x:c r="O28" t="str">
        <x:f>IF(AND(TRIM($K28)&lt;&gt;"",TRIM($K28)&lt;&gt;"EF"),IF(COUNTIF($M28:$N28,"?*")&gt;0,", ","")&amp;"parcial distinto a EF","")</x:f>
      </x:c>
      <x:c r="P28" t="str">
        <x:f>IF(AND(OR($A28="Ítems agrupados por caso clínico o problema",$A28="Subítem de caso o problema",$A28="Emparejamiento Ampliado",$A28="Opción de Emparejamiento Ampliado"),TRIM($B28)=""),IF(COUNTIF($M28:$O28,"?*")&gt;0,", ","")&amp;"grupo","")</x:f>
      </x:c>
      <x:c r="Q28" t="str">
        <x:f>IF(AND(OR($A28="Verdadero o Falso Simple",$A28="Respuesta A/B/Ambas/Ninguna",$A28="Verdadero o Falso Complejas",$A28="Selección de la mejor respuesta",$A28="Subítem de caso o problema",$A28="Opción de Emparejamiento Ampliado"),TRIM($I28)=""),IF(COUNTIF($M28:$P28,"?*")&gt;0,", ","")&amp;"respuesta_correcta","")</x:f>
      </x:c>
      <x:c r="R28" t="str">
        <x:f>IF(AND(OR($A28="Verdadero o Falso Simple",$A28="Respuesta A/B/Ambas/Ninguna",$A28="Verdadero o Falso Complejas",$A28="Selección de la mejor respuesta",$A28="Subítem de caso o problema",$A28="Opción de Emparejamiento Ampliado"),TRIM($J28)=""),IF(COUNTIF($M28:$Q28,"?*")&gt;0,", ","")&amp;"dificultad","")</x:f>
      </x:c>
      <x:c r="S28" t="str">
        <x:f>IF(AND(OR($A28="Ítems agrupados por caso clínico o problema",$A28="Emparejamiento Ampliado"),TRIM($I28)&lt;&gt;""),IF(COUNTIF($M28:$R28,"?*")&gt;0,", ","")&amp;"respuesta debe ir vacia","")</x:f>
      </x:c>
      <x:c r="T28" t="str">
        <x:f>IF(AND(OR($A28="Ítems agrupados por caso clínico o problema",$A28="Emparejamiento Ampliado"),TRIM($J28)&lt;&gt;""),IF(COUNTIF($M28:$S28,"?*")&gt;0,", ","")&amp;"dificultad debe ir vacia","")</x:f>
      </x:c>
      <x:c r="U28" t="str">
        <x:f>IF(AND($A28="Verdadero o Falso Simple",OR(COUNTIF($D28:$E28,"?*")&lt;2,COUNTIF($F28:$H28,"?*")&gt;0)),IF(COUNTIF($M28:$T28,"?*")&gt;0,", ","")&amp;"incisos A-B","")</x:f>
      </x:c>
      <x:c r="V28" t="str">
        <x:f>IF(AND($A28="Verdadero o Falso Simple",TRIM($I28)&lt;&gt;"",NOT(OR(LEFT(TRIM($I28),1)="A",LEFT(TRIM($I28),1)="B"))),IF(COUNTIF($M28:$U28,"?*")&gt;0,", ","")&amp;"respuesta A-B","")</x:f>
      </x:c>
      <x:c r="W28" t="str">
        <x:f>IF(AND($A28="Respuesta A/B/Ambas/Ninguna",COUNTIF($D28:$G28,"?*")&lt;4),IF(COUNTIF($M28:$V28,"?*")&gt;0,", ","")&amp;"opciones A-D","")</x:f>
      </x:c>
      <x:c r="X28" t="str">
        <x:f>IF(AND($A28="Respuesta A/B/Ambas/Ninguna",COUNTIF($H28:$H28,"?*")&gt;0),IF(COUNTIF($M28:$W28,"?*")&gt;0,", ","")&amp;"opcion E deshabilitada","")</x:f>
      </x:c>
      <x:c r="Y28" t="str">
        <x:f>IF(AND($A28="Respuesta A/B/Ambas/Ninguna",TRIM($I28)&lt;&gt;"",NOT(OR(LEFT(TRIM($I28),1)="A",LEFT(TRIM($I28),1)="B",LEFT(TRIM($I28),1)="C",LEFT(TRIM($I28),1)="D"))),IF(COUNTIF($M28:$X28,"?*")&gt;0,", ","")&amp;"respuesta A-D","")</x:f>
      </x:c>
      <x:c r="Z28" t="str">
        <x:f>IF(AND($A28="Verdadero o Falso Complejas",OR(LEN(TRIM(SUBSTITUTE($D28,"1.","")))=0,LEN(TRIM(SUBSTITUTE($E28,"2.","")))=0,LEN(TRIM(SUBSTITUTE($F28,"3.","")))=0,LEN(TRIM(SUBSTITUTE($G28,"4.","")))=0)),IF(COUNTIF($M28:$Y28,"?*")&gt;0,", ","")&amp;"incisos 1-4","")</x:f>
      </x:c>
      <x:c r="AA28" t="str">
        <x:f>IF(AND($A28="Verdadero o Falso Complejas",COUNTIF($H28:$H28,"?*")&gt;0),IF(COUNTIF($M28:$Z28,"?*")&gt;0,", ","")&amp;"opcion E deshabilitada","")</x:f>
      </x:c>
      <x:c r="AB28" t="str">
        <x:f>IF(AND($A28="Verdadero o Falso Complejas",TRIM($I28)&lt;&gt;"",NOT(OR(LEFT(TRIM($I28),1)="A",LEFT(TRIM($I28),1)="B",LEFT(TRIM($I28),1)="C",LEFT(TRIM($I28),1)="D",LEFT(TRIM($I28),1)="E"))),IF(COUNTIF($M28:$AA28,"?*")&gt;0,", ","")&amp;"respuesta A-E","")</x:f>
      </x:c>
      <x:c r="AC28" t="str">
        <x:f>IF(AND(OR($A28="Selección de la mejor respuesta",$A28="Subítem de caso o problema"),COUNTIF($D28:$H28,"?*")&lt;5),IF(COUNTIF($M28:$AB28,"?*")&gt;0,", ","")&amp;"incisos A-E","")</x:f>
      </x:c>
      <x:c r="AD28" t="str">
        <x:f>IF(AND(OR($A28="Selección de la mejor respuesta",$A28="Subítem de caso o problema"),TRIM($I28)&lt;&gt;"",NOT(OR(LEFT(TRIM($I28),1)="A",LEFT(TRIM($I28),1)="B",LEFT(TRIM($I28),1)="C",LEFT(TRIM($I28),1)="D",LEFT(TRIM($I28),1)="E"))),IF(COUNTIF($M28:$AC28,"?*")&gt;0,", ","")&amp;"respuesta A-E","")</x:f>
      </x:c>
      <x:c r="AE28" t="str">
        <x:f>IF(AND(OR($A28="Ítems agrupados por caso clínico o problema",$A28="Opción de Emparejamiento Ampliado"),COUNTIF($D28:$H28,"?*")&gt;0),IF(COUNTIF($M28:$AD28,"?*")&gt;0,", ","")&amp;"sin incisos","")</x:f>
      </x:c>
      <x:c r="AF28" t="str">
        <x:f>IF(AND($A28="Emparejamiento Ampliado",COUNTIF($D28:$H28,"?*")&lt;2),IF(COUNTIF($M28:$AE28,"?*")&gt;0,", ","")&amp;"minimo 2 claves","")</x:f>
      </x:c>
      <x:c r="AG28" t="str">
        <x:f>IF(AND($A28="Opción de Emparejamiento Ampliado",NOT(OR(LEFT(TRIM($I28),1)="A",LEFT(TRIM($I28),1)="B",LEFT(TRIM($I28),1)="C",LEFT(TRIM($I28),1)="D",LEFT(TRIM($I28),1)="E"))),IF(COUNTIF($M28:$AF28,"?*")&gt;0,", ","")&amp;"respuesta A-E","")</x:f>
      </x:c>
      <x:c r="AK28" s="26" t="str"/>
    </x:row>
    <x:row r="29" ht="24" customHeight="1">
      <x:c r="A29" s="8" t="s">
        <x:v>2</x:v>
      </x:c>
      <x:c r="B29" s="8" t="s">
        <x:v>2</x:v>
      </x:c>
      <x:c r="C29" s="9" t="str">
        <x:f>IF($A29="Emparejamiento Ampliado",VALIDACIONES!$I$1,IF($A29="Respuesta A/B/Ambas/Ninguna","I. "&amp;CHAR(10)&amp;"II. ",""))</x:f>
      </x:c>
      <x:c r="D29" s="8" t="str">
        <x:f>IF($A29="Verdadero o Falso Simple","Verdadero",IF($A29="Respuesta A/B/Ambas/Ninguna","A. Si la primera es verdadera",""))</x:f>
      </x:c>
      <x:c r="E29" s="8" t="str">
        <x:f>IF($A29="Verdadero o Falso Simple","Falso",IF($A29="Respuesta A/B/Ambas/Ninguna","B. Si la segunda es verdadera",""))</x:f>
      </x:c>
      <x:c r="F29" s="8" t="str">
        <x:f>IF($A29="Respuesta A/B/Ambas/Ninguna","C. Si ambas son verdaderas","")</x:f>
      </x:c>
      <x:c r="G29" s="8" t="str">
        <x:f>IF($A29="Respuesta A/B/Ambas/Ninguna","D. Si ninguna es verdadera","")</x:f>
      </x:c>
      <x:c r="H29" s="8" t="s">
        <x:v>2</x:v>
      </x:c>
      <x:c r="I29" s="8" t="str">
        <x:f>IF($A29="Verdadero o Falso Simple","A","")</x:f>
      </x:c>
      <x:c r="J29" s="8" t="s">
        <x:v>3</x:v>
      </x:c>
      <x:c r="K29" s="8" t="s">
        <x:v>4</x:v>
      </x:c>
      <x:c r="L29" s="10" t="str">
        <x:f>IF(TRIM($A29)="","",IF(COUNTIF($M29:$AG29,"?*")=0,"OK","Falta revisar: "&amp;$M29&amp;$N29&amp;$O29&amp;$P29&amp;$Q29&amp;$R29&amp;$S29&amp;$T29&amp;$U29&amp;$V29&amp;$W29&amp;$X29&amp;$Y29&amp;$Z29&amp;$AA29&amp;$AB29&amp;$AC29&amp;$AD29&amp;$AE29&amp;$AF29&amp;$AG29))</x:f>
        <x:v>OK</x:v>
      </x:c>
      <x:c r="M29" t="str">
        <x:f>IF(TRIM($C29)="","enunciado","")</x:f>
        <x:v>enunciado</x:v>
      </x:c>
      <x:c r="N29" t="str">
        <x:f>IF(TRIM($K29)="",IF(COUNTIF($M29:$M29,"?*")&gt;0,", ","")&amp;"parcial","")</x:f>
      </x:c>
      <x:c r="O29" t="str">
        <x:f>IF(AND(TRIM($K29)&lt;&gt;"",TRIM($K29)&lt;&gt;"EF"),IF(COUNTIF($M29:$N29,"?*")&gt;0,", ","")&amp;"parcial distinto a EF","")</x:f>
      </x:c>
      <x:c r="P29" t="str">
        <x:f>IF(AND(OR($A29="Ítems agrupados por caso clínico o problema",$A29="Subítem de caso o problema",$A29="Emparejamiento Ampliado",$A29="Opción de Emparejamiento Ampliado"),TRIM($B29)=""),IF(COUNTIF($M29:$O29,"?*")&gt;0,", ","")&amp;"grupo","")</x:f>
      </x:c>
      <x:c r="Q29" t="str">
        <x:f>IF(AND(OR($A29="Verdadero o Falso Simple",$A29="Respuesta A/B/Ambas/Ninguna",$A29="Verdadero o Falso Complejas",$A29="Selección de la mejor respuesta",$A29="Subítem de caso o problema",$A29="Opción de Emparejamiento Ampliado"),TRIM($I29)=""),IF(COUNTIF($M29:$P29,"?*")&gt;0,", ","")&amp;"respuesta_correcta","")</x:f>
      </x:c>
      <x:c r="R29" t="str">
        <x:f>IF(AND(OR($A29="Verdadero o Falso Simple",$A29="Respuesta A/B/Ambas/Ninguna",$A29="Verdadero o Falso Complejas",$A29="Selección de la mejor respuesta",$A29="Subítem de caso o problema",$A29="Opción de Emparejamiento Ampliado"),TRIM($J29)=""),IF(COUNTIF($M29:$Q29,"?*")&gt;0,", ","")&amp;"dificultad","")</x:f>
      </x:c>
      <x:c r="S29" t="str">
        <x:f>IF(AND(OR($A29="Ítems agrupados por caso clínico o problema",$A29="Emparejamiento Ampliado"),TRIM($I29)&lt;&gt;""),IF(COUNTIF($M29:$R29,"?*")&gt;0,", ","")&amp;"respuesta debe ir vacia","")</x:f>
      </x:c>
      <x:c r="T29" t="str">
        <x:f>IF(AND(OR($A29="Ítems agrupados por caso clínico o problema",$A29="Emparejamiento Ampliado"),TRIM($J29)&lt;&gt;""),IF(COUNTIF($M29:$S29,"?*")&gt;0,", ","")&amp;"dificultad debe ir vacia","")</x:f>
      </x:c>
      <x:c r="U29" t="str">
        <x:f>IF(AND($A29="Verdadero o Falso Simple",OR(COUNTIF($D29:$E29,"?*")&lt;2,COUNTIF($F29:$H29,"?*")&gt;0)),IF(COUNTIF($M29:$T29,"?*")&gt;0,", ","")&amp;"incisos A-B","")</x:f>
      </x:c>
      <x:c r="V29" t="str">
        <x:f>IF(AND($A29="Verdadero o Falso Simple",TRIM($I29)&lt;&gt;"",NOT(OR(LEFT(TRIM($I29),1)="A",LEFT(TRIM($I29),1)="B"))),IF(COUNTIF($M29:$U29,"?*")&gt;0,", ","")&amp;"respuesta A-B","")</x:f>
      </x:c>
      <x:c r="W29" t="str">
        <x:f>IF(AND($A29="Respuesta A/B/Ambas/Ninguna",COUNTIF($D29:$G29,"?*")&lt;4),IF(COUNTIF($M29:$V29,"?*")&gt;0,", ","")&amp;"opciones A-D","")</x:f>
      </x:c>
      <x:c r="X29" t="str">
        <x:f>IF(AND($A29="Respuesta A/B/Ambas/Ninguna",COUNTIF($H29:$H29,"?*")&gt;0),IF(COUNTIF($M29:$W29,"?*")&gt;0,", ","")&amp;"opcion E deshabilitada","")</x:f>
      </x:c>
      <x:c r="Y29" t="str">
        <x:f>IF(AND($A29="Respuesta A/B/Ambas/Ninguna",TRIM($I29)&lt;&gt;"",NOT(OR(LEFT(TRIM($I29),1)="A",LEFT(TRIM($I29),1)="B",LEFT(TRIM($I29),1)="C",LEFT(TRIM($I29),1)="D"))),IF(COUNTIF($M29:$X29,"?*")&gt;0,", ","")&amp;"respuesta A-D","")</x:f>
      </x:c>
      <x:c r="Z29" t="str">
        <x:f>IF(AND($A29="Verdadero o Falso Complejas",OR(LEN(TRIM(SUBSTITUTE($D29,"1.","")))=0,LEN(TRIM(SUBSTITUTE($E29,"2.","")))=0,LEN(TRIM(SUBSTITUTE($F29,"3.","")))=0,LEN(TRIM(SUBSTITUTE($G29,"4.","")))=0)),IF(COUNTIF($M29:$Y29,"?*")&gt;0,", ","")&amp;"incisos 1-4","")</x:f>
      </x:c>
      <x:c r="AA29" t="str">
        <x:f>IF(AND($A29="Verdadero o Falso Complejas",COUNTIF($H29:$H29,"?*")&gt;0),IF(COUNTIF($M29:$Z29,"?*")&gt;0,", ","")&amp;"opcion E deshabilitada","")</x:f>
      </x:c>
      <x:c r="AB29" t="str">
        <x:f>IF(AND($A29="Verdadero o Falso Complejas",TRIM($I29)&lt;&gt;"",NOT(OR(LEFT(TRIM($I29),1)="A",LEFT(TRIM($I29),1)="B",LEFT(TRIM($I29),1)="C",LEFT(TRIM($I29),1)="D",LEFT(TRIM($I29),1)="E"))),IF(COUNTIF($M29:$AA29,"?*")&gt;0,", ","")&amp;"respuesta A-E","")</x:f>
      </x:c>
      <x:c r="AC29" t="str">
        <x:f>IF(AND(OR($A29="Selección de la mejor respuesta",$A29="Subítem de caso o problema"),COUNTIF($D29:$H29,"?*")&lt;5),IF(COUNTIF($M29:$AB29,"?*")&gt;0,", ","")&amp;"incisos A-E","")</x:f>
      </x:c>
      <x:c r="AD29" t="str">
        <x:f>IF(AND(OR($A29="Selección de la mejor respuesta",$A29="Subítem de caso o problema"),TRIM($I29)&lt;&gt;"",NOT(OR(LEFT(TRIM($I29),1)="A",LEFT(TRIM($I29),1)="B",LEFT(TRIM($I29),1)="C",LEFT(TRIM($I29),1)="D",LEFT(TRIM($I29),1)="E"))),IF(COUNTIF($M29:$AC29,"?*")&gt;0,", ","")&amp;"respuesta A-E","")</x:f>
      </x:c>
      <x:c r="AE29" t="str">
        <x:f>IF(AND(OR($A29="Ítems agrupados por caso clínico o problema",$A29="Opción de Emparejamiento Ampliado"),COUNTIF($D29:$H29,"?*")&gt;0),IF(COUNTIF($M29:$AD29,"?*")&gt;0,", ","")&amp;"sin incisos","")</x:f>
      </x:c>
      <x:c r="AF29" t="str">
        <x:f>IF(AND($A29="Emparejamiento Ampliado",COUNTIF($D29:$H29,"?*")&lt;2),IF(COUNTIF($M29:$AE29,"?*")&gt;0,", ","")&amp;"minimo 2 claves","")</x:f>
      </x:c>
      <x:c r="AG29" t="str">
        <x:f>IF(AND($A29="Opción de Emparejamiento Ampliado",NOT(OR(LEFT(TRIM($I29),1)="A",LEFT(TRIM($I29),1)="B",LEFT(TRIM($I29),1)="C",LEFT(TRIM($I29),1)="D",LEFT(TRIM($I29),1)="E"))),IF(COUNTIF($M29:$AF29,"?*")&gt;0,", ","")&amp;"respuesta A-E","")</x:f>
      </x:c>
      <x:c r="AK29" s="26" t="str"/>
    </x:row>
    <x:row r="30" ht="24" customHeight="1">
      <x:c r="A30" s="8" t="s">
        <x:v>2</x:v>
      </x:c>
      <x:c r="B30" s="8" t="s">
        <x:v>2</x:v>
      </x:c>
      <x:c r="C30" s="9" t="str">
        <x:f>IF($A30="Emparejamiento Ampliado",VALIDACIONES!$I$1,IF($A30="Respuesta A/B/Ambas/Ninguna","I. "&amp;CHAR(10)&amp;"II. ",""))</x:f>
      </x:c>
      <x:c r="D30" s="8" t="str">
        <x:f>IF($A30="Verdadero o Falso Simple","Verdadero",IF($A30="Respuesta A/B/Ambas/Ninguna","A. Si la primera es verdadera",""))</x:f>
      </x:c>
      <x:c r="E30" s="8" t="str">
        <x:f>IF($A30="Verdadero o Falso Simple","Falso",IF($A30="Respuesta A/B/Ambas/Ninguna","B. Si la segunda es verdadera",""))</x:f>
      </x:c>
      <x:c r="F30" s="8" t="str">
        <x:f>IF($A30="Respuesta A/B/Ambas/Ninguna","C. Si ambas son verdaderas","")</x:f>
      </x:c>
      <x:c r="G30" s="8" t="str">
        <x:f>IF($A30="Respuesta A/B/Ambas/Ninguna","D. Si ninguna es verdadera","")</x:f>
      </x:c>
      <x:c r="H30" s="8" t="s">
        <x:v>2</x:v>
      </x:c>
      <x:c r="I30" s="8" t="str">
        <x:f>IF($A30="Verdadero o Falso Simple","A","")</x:f>
      </x:c>
      <x:c r="J30" s="8" t="s">
        <x:v>3</x:v>
      </x:c>
      <x:c r="K30" s="8" t="s">
        <x:v>4</x:v>
      </x:c>
      <x:c r="L30" s="10" t="str">
        <x:f>IF(TRIM($A30)="","",IF(COUNTIF($M30:$AG30,"?*")=0,"OK","Falta revisar: "&amp;$M30&amp;$N30&amp;$O30&amp;$P30&amp;$Q30&amp;$R30&amp;$S30&amp;$T30&amp;$U30&amp;$V30&amp;$W30&amp;$X30&amp;$Y30&amp;$Z30&amp;$AA30&amp;$AB30&amp;$AC30&amp;$AD30&amp;$AE30&amp;$AF30&amp;$AG30))</x:f>
        <x:v>OK</x:v>
      </x:c>
      <x:c r="M30" t="str">
        <x:f>IF(TRIM($C30)="","enunciado","")</x:f>
        <x:v>enunciado</x:v>
      </x:c>
      <x:c r="N30" t="str">
        <x:f>IF(TRIM($K30)="",IF(COUNTIF($M30:$M30,"?*")&gt;0,", ","")&amp;"parcial","")</x:f>
      </x:c>
      <x:c r="O30" t="str">
        <x:f>IF(AND(TRIM($K30)&lt;&gt;"",TRIM($K30)&lt;&gt;"EF"),IF(COUNTIF($M30:$N30,"?*")&gt;0,", ","")&amp;"parcial distinto a EF","")</x:f>
      </x:c>
      <x:c r="P30" t="str">
        <x:f>IF(AND(OR($A30="Ítems agrupados por caso clínico o problema",$A30="Subítem de caso o problema",$A30="Emparejamiento Ampliado",$A30="Opción de Emparejamiento Ampliado"),TRIM($B30)=""),IF(COUNTIF($M30:$O30,"?*")&gt;0,", ","")&amp;"grupo","")</x:f>
      </x:c>
      <x:c r="Q30" t="str">
        <x:f>IF(AND(OR($A30="Verdadero o Falso Simple",$A30="Respuesta A/B/Ambas/Ninguna",$A30="Verdadero o Falso Complejas",$A30="Selección de la mejor respuesta",$A30="Subítem de caso o problema",$A30="Opción de Emparejamiento Ampliado"),TRIM($I30)=""),IF(COUNTIF($M30:$P30,"?*")&gt;0,", ","")&amp;"respuesta_correcta","")</x:f>
      </x:c>
      <x:c r="R30" t="str">
        <x:f>IF(AND(OR($A30="Verdadero o Falso Simple",$A30="Respuesta A/B/Ambas/Ninguna",$A30="Verdadero o Falso Complejas",$A30="Selección de la mejor respuesta",$A30="Subítem de caso o problema",$A30="Opción de Emparejamiento Ampliado"),TRIM($J30)=""),IF(COUNTIF($M30:$Q30,"?*")&gt;0,", ","")&amp;"dificultad","")</x:f>
      </x:c>
      <x:c r="S30" t="str">
        <x:f>IF(AND(OR($A30="Ítems agrupados por caso clínico o problema",$A30="Emparejamiento Ampliado"),TRIM($I30)&lt;&gt;""),IF(COUNTIF($M30:$R30,"?*")&gt;0,", ","")&amp;"respuesta debe ir vacia","")</x:f>
      </x:c>
      <x:c r="T30" t="str">
        <x:f>IF(AND(OR($A30="Ítems agrupados por caso clínico o problema",$A30="Emparejamiento Ampliado"),TRIM($J30)&lt;&gt;""),IF(COUNTIF($M30:$S30,"?*")&gt;0,", ","")&amp;"dificultad debe ir vacia","")</x:f>
      </x:c>
      <x:c r="U30" t="str">
        <x:f>IF(AND($A30="Verdadero o Falso Simple",OR(COUNTIF($D30:$E30,"?*")&lt;2,COUNTIF($F30:$H30,"?*")&gt;0)),IF(COUNTIF($M30:$T30,"?*")&gt;0,", ","")&amp;"incisos A-B","")</x:f>
      </x:c>
      <x:c r="V30" t="str">
        <x:f>IF(AND($A30="Verdadero o Falso Simple",TRIM($I30)&lt;&gt;"",NOT(OR(LEFT(TRIM($I30),1)="A",LEFT(TRIM($I30),1)="B"))),IF(COUNTIF($M30:$U30,"?*")&gt;0,", ","")&amp;"respuesta A-B","")</x:f>
      </x:c>
      <x:c r="W30" t="str">
        <x:f>IF(AND($A30="Respuesta A/B/Ambas/Ninguna",COUNTIF($D30:$G30,"?*")&lt;4),IF(COUNTIF($M30:$V30,"?*")&gt;0,", ","")&amp;"opciones A-D","")</x:f>
      </x:c>
      <x:c r="X30" t="str">
        <x:f>IF(AND($A30="Respuesta A/B/Ambas/Ninguna",COUNTIF($H30:$H30,"?*")&gt;0),IF(COUNTIF($M30:$W30,"?*")&gt;0,", ","")&amp;"opcion E deshabilitada","")</x:f>
      </x:c>
      <x:c r="Y30" t="str">
        <x:f>IF(AND($A30="Respuesta A/B/Ambas/Ninguna",TRIM($I30)&lt;&gt;"",NOT(OR(LEFT(TRIM($I30),1)="A",LEFT(TRIM($I30),1)="B",LEFT(TRIM($I30),1)="C",LEFT(TRIM($I30),1)="D"))),IF(COUNTIF($M30:$X30,"?*")&gt;0,", ","")&amp;"respuesta A-D","")</x:f>
      </x:c>
      <x:c r="Z30" t="str">
        <x:f>IF(AND($A30="Verdadero o Falso Complejas",OR(LEN(TRIM(SUBSTITUTE($D30,"1.","")))=0,LEN(TRIM(SUBSTITUTE($E30,"2.","")))=0,LEN(TRIM(SUBSTITUTE($F30,"3.","")))=0,LEN(TRIM(SUBSTITUTE($G30,"4.","")))=0)),IF(COUNTIF($M30:$Y30,"?*")&gt;0,", ","")&amp;"incisos 1-4","")</x:f>
      </x:c>
      <x:c r="AA30" t="str">
        <x:f>IF(AND($A30="Verdadero o Falso Complejas",COUNTIF($H30:$H30,"?*")&gt;0),IF(COUNTIF($M30:$Z30,"?*")&gt;0,", ","")&amp;"opcion E deshabilitada","")</x:f>
      </x:c>
      <x:c r="AB30" t="str">
        <x:f>IF(AND($A30="Verdadero o Falso Complejas",TRIM($I30)&lt;&gt;"",NOT(OR(LEFT(TRIM($I30),1)="A",LEFT(TRIM($I30),1)="B",LEFT(TRIM($I30),1)="C",LEFT(TRIM($I30),1)="D",LEFT(TRIM($I30),1)="E"))),IF(COUNTIF($M30:$AA30,"?*")&gt;0,", ","")&amp;"respuesta A-E","")</x:f>
      </x:c>
      <x:c r="AC30" t="str">
        <x:f>IF(AND(OR($A30="Selección de la mejor respuesta",$A30="Subítem de caso o problema"),COUNTIF($D30:$H30,"?*")&lt;5),IF(COUNTIF($M30:$AB30,"?*")&gt;0,", ","")&amp;"incisos A-E","")</x:f>
      </x:c>
      <x:c r="AD30" t="str">
        <x:f>IF(AND(OR($A30="Selección de la mejor respuesta",$A30="Subítem de caso o problema"),TRIM($I30)&lt;&gt;"",NOT(OR(LEFT(TRIM($I30),1)="A",LEFT(TRIM($I30),1)="B",LEFT(TRIM($I30),1)="C",LEFT(TRIM($I30),1)="D",LEFT(TRIM($I30),1)="E"))),IF(COUNTIF($M30:$AC30,"?*")&gt;0,", ","")&amp;"respuesta A-E","")</x:f>
      </x:c>
      <x:c r="AE30" t="str">
        <x:f>IF(AND(OR($A30="Ítems agrupados por caso clínico o problema",$A30="Opción de Emparejamiento Ampliado"),COUNTIF($D30:$H30,"?*")&gt;0),IF(COUNTIF($M30:$AD30,"?*")&gt;0,", ","")&amp;"sin incisos","")</x:f>
      </x:c>
      <x:c r="AF30" t="str">
        <x:f>IF(AND($A30="Emparejamiento Ampliado",COUNTIF($D30:$H30,"?*")&lt;2),IF(COUNTIF($M30:$AE30,"?*")&gt;0,", ","")&amp;"minimo 2 claves","")</x:f>
      </x:c>
      <x:c r="AG30" t="str">
        <x:f>IF(AND($A30="Opción de Emparejamiento Ampliado",NOT(OR(LEFT(TRIM($I30),1)="A",LEFT(TRIM($I30),1)="B",LEFT(TRIM($I30),1)="C",LEFT(TRIM($I30),1)="D",LEFT(TRIM($I30),1)="E"))),IF(COUNTIF($M30:$AF30,"?*")&gt;0,", ","")&amp;"respuesta A-E","")</x:f>
      </x:c>
      <x:c r="AK30" s="26" t="str"/>
    </x:row>
    <x:row r="31" ht="24" customHeight="1">
      <x:c r="A31" s="8" t="s">
        <x:v>2</x:v>
      </x:c>
      <x:c r="B31" s="8" t="s">
        <x:v>2</x:v>
      </x:c>
      <x:c r="C31" s="9" t="str">
        <x:f>IF($A31="Emparejamiento Ampliado",VALIDACIONES!$I$1,IF($A31="Respuesta A/B/Ambas/Ninguna","I. "&amp;CHAR(10)&amp;"II. ",""))</x:f>
      </x:c>
      <x:c r="D31" s="8" t="str">
        <x:f>IF($A31="Verdadero o Falso Simple","Verdadero",IF($A31="Respuesta A/B/Ambas/Ninguna","A. Si la primera es verdadera",""))</x:f>
      </x:c>
      <x:c r="E31" s="8" t="str">
        <x:f>IF($A31="Verdadero o Falso Simple","Falso",IF($A31="Respuesta A/B/Ambas/Ninguna","B. Si la segunda es verdadera",""))</x:f>
      </x:c>
      <x:c r="F31" s="8" t="str">
        <x:f>IF($A31="Respuesta A/B/Ambas/Ninguna","C. Si ambas son verdaderas","")</x:f>
      </x:c>
      <x:c r="G31" s="8" t="str">
        <x:f>IF($A31="Respuesta A/B/Ambas/Ninguna","D. Si ninguna es verdadera","")</x:f>
      </x:c>
      <x:c r="H31" s="8" t="s">
        <x:v>2</x:v>
      </x:c>
      <x:c r="I31" s="8" t="str">
        <x:f>IF($A31="Verdadero o Falso Simple","A","")</x:f>
      </x:c>
      <x:c r="J31" s="8" t="s">
        <x:v>3</x:v>
      </x:c>
      <x:c r="K31" s="8" t="s">
        <x:v>4</x:v>
      </x:c>
      <x:c r="L31" s="10" t="str">
        <x:f>IF(TRIM($A31)="","",IF(COUNTIF($M31:$AG31,"?*")=0,"OK","Falta revisar: "&amp;$M31&amp;$N31&amp;$O31&amp;$P31&amp;$Q31&amp;$R31&amp;$S31&amp;$T31&amp;$U31&amp;$V31&amp;$W31&amp;$X31&amp;$Y31&amp;$Z31&amp;$AA31&amp;$AB31&amp;$AC31&amp;$AD31&amp;$AE31&amp;$AF31&amp;$AG31))</x:f>
        <x:v>OK</x:v>
      </x:c>
      <x:c r="M31" t="str">
        <x:f>IF(TRIM($C31)="","enunciado","")</x:f>
        <x:v>enunciado</x:v>
      </x:c>
      <x:c r="N31" t="str">
        <x:f>IF(TRIM($K31)="",IF(COUNTIF($M31:$M31,"?*")&gt;0,", ","")&amp;"parcial","")</x:f>
      </x:c>
      <x:c r="O31" t="str">
        <x:f>IF(AND(TRIM($K31)&lt;&gt;"",TRIM($K31)&lt;&gt;"EF"),IF(COUNTIF($M31:$N31,"?*")&gt;0,", ","")&amp;"parcial distinto a EF","")</x:f>
      </x:c>
      <x:c r="P31" t="str">
        <x:f>IF(AND(OR($A31="Ítems agrupados por caso clínico o problema",$A31="Subítem de caso o problema",$A31="Emparejamiento Ampliado",$A31="Opción de Emparejamiento Ampliado"),TRIM($B31)=""),IF(COUNTIF($M31:$O31,"?*")&gt;0,", ","")&amp;"grupo","")</x:f>
      </x:c>
      <x:c r="Q31" t="str">
        <x:f>IF(AND(OR($A31="Verdadero o Falso Simple",$A31="Respuesta A/B/Ambas/Ninguna",$A31="Verdadero o Falso Complejas",$A31="Selección de la mejor respuesta",$A31="Subítem de caso o problema",$A31="Opción de Emparejamiento Ampliado"),TRIM($I31)=""),IF(COUNTIF($M31:$P31,"?*")&gt;0,", ","")&amp;"respuesta_correcta","")</x:f>
      </x:c>
      <x:c r="R31" t="str">
        <x:f>IF(AND(OR($A31="Verdadero o Falso Simple",$A31="Respuesta A/B/Ambas/Ninguna",$A31="Verdadero o Falso Complejas",$A31="Selección de la mejor respuesta",$A31="Subítem de caso o problema",$A31="Opción de Emparejamiento Ampliado"),TRIM($J31)=""),IF(COUNTIF($M31:$Q31,"?*")&gt;0,", ","")&amp;"dificultad","")</x:f>
      </x:c>
      <x:c r="S31" t="str">
        <x:f>IF(AND(OR($A31="Ítems agrupados por caso clínico o problema",$A31="Emparejamiento Ampliado"),TRIM($I31)&lt;&gt;""),IF(COUNTIF($M31:$R31,"?*")&gt;0,", ","")&amp;"respuesta debe ir vacia","")</x:f>
      </x:c>
      <x:c r="T31" t="str">
        <x:f>IF(AND(OR($A31="Ítems agrupados por caso clínico o problema",$A31="Emparejamiento Ampliado"),TRIM($J31)&lt;&gt;""),IF(COUNTIF($M31:$S31,"?*")&gt;0,", ","")&amp;"dificultad debe ir vacia","")</x:f>
      </x:c>
      <x:c r="U31" t="str">
        <x:f>IF(AND($A31="Verdadero o Falso Simple",OR(COUNTIF($D31:$E31,"?*")&lt;2,COUNTIF($F31:$H31,"?*")&gt;0)),IF(COUNTIF($M31:$T31,"?*")&gt;0,", ","")&amp;"incisos A-B","")</x:f>
      </x:c>
      <x:c r="V31" t="str">
        <x:f>IF(AND($A31="Verdadero o Falso Simple",TRIM($I31)&lt;&gt;"",NOT(OR(LEFT(TRIM($I31),1)="A",LEFT(TRIM($I31),1)="B"))),IF(COUNTIF($M31:$U31,"?*")&gt;0,", ","")&amp;"respuesta A-B","")</x:f>
      </x:c>
      <x:c r="W31" t="str">
        <x:f>IF(AND($A31="Respuesta A/B/Ambas/Ninguna",COUNTIF($D31:$G31,"?*")&lt;4),IF(COUNTIF($M31:$V31,"?*")&gt;0,", ","")&amp;"opciones A-D","")</x:f>
      </x:c>
      <x:c r="X31" t="str">
        <x:f>IF(AND($A31="Respuesta A/B/Ambas/Ninguna",COUNTIF($H31:$H31,"?*")&gt;0),IF(COUNTIF($M31:$W31,"?*")&gt;0,", ","")&amp;"opcion E deshabilitada","")</x:f>
      </x:c>
      <x:c r="Y31" t="str">
        <x:f>IF(AND($A31="Respuesta A/B/Ambas/Ninguna",TRIM($I31)&lt;&gt;"",NOT(OR(LEFT(TRIM($I31),1)="A",LEFT(TRIM($I31),1)="B",LEFT(TRIM($I31),1)="C",LEFT(TRIM($I31),1)="D"))),IF(COUNTIF($M31:$X31,"?*")&gt;0,", ","")&amp;"respuesta A-D","")</x:f>
      </x:c>
      <x:c r="Z31" t="str">
        <x:f>IF(AND($A31="Verdadero o Falso Complejas",OR(LEN(TRIM(SUBSTITUTE($D31,"1.","")))=0,LEN(TRIM(SUBSTITUTE($E31,"2.","")))=0,LEN(TRIM(SUBSTITUTE($F31,"3.","")))=0,LEN(TRIM(SUBSTITUTE($G31,"4.","")))=0)),IF(COUNTIF($M31:$Y31,"?*")&gt;0,", ","")&amp;"incisos 1-4","")</x:f>
      </x:c>
      <x:c r="AA31" t="str">
        <x:f>IF(AND($A31="Verdadero o Falso Complejas",COUNTIF($H31:$H31,"?*")&gt;0),IF(COUNTIF($M31:$Z31,"?*")&gt;0,", ","")&amp;"opcion E deshabilitada","")</x:f>
      </x:c>
      <x:c r="AB31" t="str">
        <x:f>IF(AND($A31="Verdadero o Falso Complejas",TRIM($I31)&lt;&gt;"",NOT(OR(LEFT(TRIM($I31),1)="A",LEFT(TRIM($I31),1)="B",LEFT(TRIM($I31),1)="C",LEFT(TRIM($I31),1)="D",LEFT(TRIM($I31),1)="E"))),IF(COUNTIF($M31:$AA31,"?*")&gt;0,", ","")&amp;"respuesta A-E","")</x:f>
      </x:c>
      <x:c r="AC31" t="str">
        <x:f>IF(AND(OR($A31="Selección de la mejor respuesta",$A31="Subítem de caso o problema"),COUNTIF($D31:$H31,"?*")&lt;5),IF(COUNTIF($M31:$AB31,"?*")&gt;0,", ","")&amp;"incisos A-E","")</x:f>
      </x:c>
      <x:c r="AD31" t="str">
        <x:f>IF(AND(OR($A31="Selección de la mejor respuesta",$A31="Subítem de caso o problema"),TRIM($I31)&lt;&gt;"",NOT(OR(LEFT(TRIM($I31),1)="A",LEFT(TRIM($I31),1)="B",LEFT(TRIM($I31),1)="C",LEFT(TRIM($I31),1)="D",LEFT(TRIM($I31),1)="E"))),IF(COUNTIF($M31:$AC31,"?*")&gt;0,", ","")&amp;"respuesta A-E","")</x:f>
      </x:c>
      <x:c r="AE31" t="str">
        <x:f>IF(AND(OR($A31="Ítems agrupados por caso clínico o problema",$A31="Opción de Emparejamiento Ampliado"),COUNTIF($D31:$H31,"?*")&gt;0),IF(COUNTIF($M31:$AD31,"?*")&gt;0,", ","")&amp;"sin incisos","")</x:f>
      </x:c>
      <x:c r="AF31" t="str">
        <x:f>IF(AND($A31="Emparejamiento Ampliado",COUNTIF($D31:$H31,"?*")&lt;2),IF(COUNTIF($M31:$AE31,"?*")&gt;0,", ","")&amp;"minimo 2 claves","")</x:f>
      </x:c>
      <x:c r="AG31" t="str">
        <x:f>IF(AND($A31="Opción de Emparejamiento Ampliado",NOT(OR(LEFT(TRIM($I31),1)="A",LEFT(TRIM($I31),1)="B",LEFT(TRIM($I31),1)="C",LEFT(TRIM($I31),1)="D",LEFT(TRIM($I31),1)="E"))),IF(COUNTIF($M31:$AF31,"?*")&gt;0,", ","")&amp;"respuesta A-E","")</x:f>
      </x:c>
      <x:c r="AK31" s="26" t="str"/>
    </x:row>
    <x:row r="32" ht="24" customHeight="1">
      <x:c r="A32" s="11" t="s">
        <x:v>2</x:v>
      </x:c>
      <x:c r="B32" s="11" t="s">
        <x:v>2</x:v>
      </x:c>
      <x:c r="C32" s="12" t="str">
        <x:f>IF($A32="Emparejamiento Ampliado",VALIDACIONES!$I$1,IF($A32="Respuesta A/B/Ambas/Ninguna","I. "&amp;CHAR(10)&amp;"II. ",""))</x:f>
      </x:c>
      <x:c r="D32" s="11" t="str">
        <x:f>IF($A32="Verdadero o Falso Simple","Verdadero",IF($A32="Respuesta A/B/Ambas/Ninguna","A. Si la primera es verdadera",""))</x:f>
      </x:c>
      <x:c r="E32" s="11" t="str">
        <x:f>IF($A32="Verdadero o Falso Simple","Falso",IF($A32="Respuesta A/B/Ambas/Ninguna","B. Si la segunda es verdadera",""))</x:f>
      </x:c>
      <x:c r="F32" s="11" t="str">
        <x:f>IF($A32="Respuesta A/B/Ambas/Ninguna","C. Si ambas son verdaderas","")</x:f>
      </x:c>
      <x:c r="G32" s="11" t="str">
        <x:f>IF($A32="Respuesta A/B/Ambas/Ninguna","D. Si ninguna es verdadera","")</x:f>
      </x:c>
      <x:c r="H32" s="11" t="s">
        <x:v>2</x:v>
      </x:c>
      <x:c r="I32" s="11" t="str">
        <x:f>IF($A32="Verdadero o Falso Simple","A","")</x:f>
      </x:c>
      <x:c r="J32" s="11" t="s">
        <x:v>2</x:v>
      </x:c>
      <x:c r="K32" s="11" t="s">
        <x:v>4</x:v>
      </x:c>
      <x:c r="L32" s="13" t="str">
        <x:f>IF(TRIM($A32)="","",IF(COUNTIF($M32:$AG32,"?*")=0,"OK","Falta revisar: "&amp;$M32&amp;$N32&amp;$O32&amp;$P32&amp;$Q32&amp;$R32&amp;$S32&amp;$T32&amp;$U32&amp;$V32&amp;$W32&amp;$X32&amp;$Y32&amp;$Z32&amp;$AA32&amp;$AB32&amp;$AC32&amp;$AD32&amp;$AE32&amp;$AF32&amp;$AG32))</x:f>
        <x:v>OK</x:v>
      </x:c>
      <x:c r="M32" t="str">
        <x:f>IF(TRIM($C32)="","enunciado","")</x:f>
        <x:v>enunciado</x:v>
      </x:c>
      <x:c r="N32" t="str">
        <x:f>IF(TRIM($K32)="",IF(COUNTIF($M32:$M32,"?*")&gt;0,", ","")&amp;"parcial","")</x:f>
      </x:c>
      <x:c r="O32" t="str">
        <x:f>IF(AND(TRIM($K32)&lt;&gt;"",TRIM($K32)&lt;&gt;"EF"),IF(COUNTIF($M32:$N32,"?*")&gt;0,", ","")&amp;"parcial distinto a EF","")</x:f>
      </x:c>
      <x:c r="P32" t="str">
        <x:f>IF(AND(OR($A32="Ítems agrupados por caso clínico o problema",$A32="Subítem de caso o problema",$A32="Emparejamiento Ampliado",$A32="Opción de Emparejamiento Ampliado"),TRIM($B32)=""),IF(COUNTIF($M32:$O32,"?*")&gt;0,", ","")&amp;"grupo","")</x:f>
      </x:c>
      <x:c r="Q32" t="str">
        <x:f>IF(AND(OR($A32="Verdadero o Falso Simple",$A32="Respuesta A/B/Ambas/Ninguna",$A32="Verdadero o Falso Complejas",$A32="Selección de la mejor respuesta",$A32="Subítem de caso o problema",$A32="Opción de Emparejamiento Ampliado"),TRIM($I32)=""),IF(COUNTIF($M32:$P32,"?*")&gt;0,", ","")&amp;"respuesta_correcta","")</x:f>
      </x:c>
      <x:c r="R32" t="str">
        <x:f>IF(AND(OR($A32="Verdadero o Falso Simple",$A32="Respuesta A/B/Ambas/Ninguna",$A32="Verdadero o Falso Complejas",$A32="Selección de la mejor respuesta",$A32="Subítem de caso o problema",$A32="Opción de Emparejamiento Ampliado"),TRIM($J32)=""),IF(COUNTIF($M32:$Q32,"?*")&gt;0,", ","")&amp;"dificultad","")</x:f>
      </x:c>
      <x:c r="S32" t="str">
        <x:f>IF(AND(OR($A32="Ítems agrupados por caso clínico o problema",$A32="Emparejamiento Ampliado"),TRIM($I32)&lt;&gt;""),IF(COUNTIF($M32:$R32,"?*")&gt;0,", ","")&amp;"respuesta debe ir vacia","")</x:f>
      </x:c>
      <x:c r="T32" t="str">
        <x:f>IF(AND(OR($A32="Ítems agrupados por caso clínico o problema",$A32="Emparejamiento Ampliado"),TRIM($J32)&lt;&gt;""),IF(COUNTIF($M32:$S32,"?*")&gt;0,", ","")&amp;"dificultad debe ir vacia","")</x:f>
      </x:c>
      <x:c r="U32" t="str">
        <x:f>IF(AND($A32="Verdadero o Falso Simple",OR(COUNTIF($D32:$E32,"?*")&lt;2,COUNTIF($F32:$H32,"?*")&gt;0)),IF(COUNTIF($M32:$T32,"?*")&gt;0,", ","")&amp;"incisos A-B","")</x:f>
      </x:c>
      <x:c r="V32" t="str">
        <x:f>IF(AND($A32="Verdadero o Falso Simple",TRIM($I32)&lt;&gt;"",NOT(OR(LEFT(TRIM($I32),1)="A",LEFT(TRIM($I32),1)="B"))),IF(COUNTIF($M32:$U32,"?*")&gt;0,", ","")&amp;"respuesta A-B","")</x:f>
      </x:c>
      <x:c r="W32" t="str">
        <x:f>IF(AND($A32="Respuesta A/B/Ambas/Ninguna",COUNTIF($D32:$G32,"?*")&lt;4),IF(COUNTIF($M32:$V32,"?*")&gt;0,", ","")&amp;"opciones A-D","")</x:f>
      </x:c>
      <x:c r="X32" t="str">
        <x:f>IF(AND($A32="Respuesta A/B/Ambas/Ninguna",COUNTIF($H32:$H32,"?*")&gt;0),IF(COUNTIF($M32:$W32,"?*")&gt;0,", ","")&amp;"opcion E deshabilitada","")</x:f>
      </x:c>
      <x:c r="Y32" t="str">
        <x:f>IF(AND($A32="Respuesta A/B/Ambas/Ninguna",TRIM($I32)&lt;&gt;"",NOT(OR(LEFT(TRIM($I32),1)="A",LEFT(TRIM($I32),1)="B",LEFT(TRIM($I32),1)="C",LEFT(TRIM($I32),1)="D"))),IF(COUNTIF($M32:$X32,"?*")&gt;0,", ","")&amp;"respuesta A-D","")</x:f>
      </x:c>
      <x:c r="Z32" t="str">
        <x:f>IF(AND($A32="Verdadero o Falso Complejas",OR(LEN(TRIM(SUBSTITUTE($D32,"1.","")))=0,LEN(TRIM(SUBSTITUTE($E32,"2.","")))=0,LEN(TRIM(SUBSTITUTE($F32,"3.","")))=0,LEN(TRIM(SUBSTITUTE($G32,"4.","")))=0)),IF(COUNTIF($M32:$Y32,"?*")&gt;0,", ","")&amp;"incisos 1-4","")</x:f>
      </x:c>
      <x:c r="AA32" t="str">
        <x:f>IF(AND($A32="Verdadero o Falso Complejas",COUNTIF($H32:$H32,"?*")&gt;0),IF(COUNTIF($M32:$Z32,"?*")&gt;0,", ","")&amp;"opcion E deshabilitada","")</x:f>
      </x:c>
      <x:c r="AB32" t="str">
        <x:f>IF(AND($A32="Verdadero o Falso Complejas",TRIM($I32)&lt;&gt;"",NOT(OR(LEFT(TRIM($I32),1)="A",LEFT(TRIM($I32),1)="B",LEFT(TRIM($I32),1)="C",LEFT(TRIM($I32),1)="D",LEFT(TRIM($I32),1)="E"))),IF(COUNTIF($M32:$AA32,"?*")&gt;0,", ","")&amp;"respuesta A-E","")</x:f>
      </x:c>
      <x:c r="AC32" t="str">
        <x:f>IF(AND(OR($A32="Selección de la mejor respuesta",$A32="Subítem de caso o problema"),COUNTIF($D32:$H32,"?*")&lt;5),IF(COUNTIF($M32:$AB32,"?*")&gt;0,", ","")&amp;"incisos A-E","")</x:f>
      </x:c>
      <x:c r="AD32" t="str">
        <x:f>IF(AND(OR($A32="Selección de la mejor respuesta",$A32="Subítem de caso o problema"),TRIM($I32)&lt;&gt;"",NOT(OR(LEFT(TRIM($I32),1)="A",LEFT(TRIM($I32),1)="B",LEFT(TRIM($I32),1)="C",LEFT(TRIM($I32),1)="D",LEFT(TRIM($I32),1)="E"))),IF(COUNTIF($M32:$AC32,"?*")&gt;0,", ","")&amp;"respuesta A-E","")</x:f>
      </x:c>
      <x:c r="AE32" t="str">
        <x:f>IF(AND(OR($A32="Ítems agrupados por caso clínico o problema",$A32="Opción de Emparejamiento Ampliado"),COUNTIF($D32:$H32,"?*")&gt;0),IF(COUNTIF($M32:$AD32,"?*")&gt;0,", ","")&amp;"sin incisos","")</x:f>
      </x:c>
      <x:c r="AF32" t="str">
        <x:f>IF(AND($A32="Emparejamiento Ampliado",COUNTIF($D32:$H32,"?*")&lt;2),IF(COUNTIF($M32:$AE32,"?*")&gt;0,", ","")&amp;"minimo 2 claves","")</x:f>
      </x:c>
      <x:c r="AG32" t="str">
        <x:f>IF(AND($A32="Opción de Emparejamiento Ampliado",NOT(OR(LEFT(TRIM($I32),1)="A",LEFT(TRIM($I32),1)="B",LEFT(TRIM($I32),1)="C",LEFT(TRIM($I32),1)="D",LEFT(TRIM($I32),1)="E"))),IF(COUNTIF($M32:$AF32,"?*")&gt;0,", ","")&amp;"respuesta A-E","")</x:f>
      </x:c>
      <x:c r="AK32" s="29" t="str"/>
    </x:row>
    <x:row r="33" ht="24" customHeight="1">
      <x:c r="A33" s="11" t="s">
        <x:v>2</x:v>
      </x:c>
      <x:c r="B33" s="11" t="s">
        <x:v>2</x:v>
      </x:c>
      <x:c r="C33" s="12" t="str">
        <x:f>IF($A33="Emparejamiento Ampliado",VALIDACIONES!$I$1,IF($A33="Respuesta A/B/Ambas/Ninguna","I. "&amp;CHAR(10)&amp;"II. ",""))</x:f>
      </x:c>
      <x:c r="D33" s="11" t="str">
        <x:f>IF($A33="Verdadero o Falso Simple","Verdadero",IF($A33="Respuesta A/B/Ambas/Ninguna","A. Si la primera es verdadera",""))</x:f>
      </x:c>
      <x:c r="E33" s="11" t="str">
        <x:f>IF($A33="Verdadero o Falso Simple","Falso",IF($A33="Respuesta A/B/Ambas/Ninguna","B. Si la segunda es verdadera",""))</x:f>
      </x:c>
      <x:c r="F33" s="11" t="str">
        <x:f>IF($A33="Respuesta A/B/Ambas/Ninguna","C. Si ambas son verdaderas","")</x:f>
      </x:c>
      <x:c r="G33" s="11" t="str">
        <x:f>IF($A33="Respuesta A/B/Ambas/Ninguna","D. Si ninguna es verdadera","")</x:f>
      </x:c>
      <x:c r="H33" s="11" t="s">
        <x:v>2</x:v>
      </x:c>
      <x:c r="I33" s="11" t="str">
        <x:f>IF($A33="Verdadero o Falso Simple","A","")</x:f>
      </x:c>
      <x:c r="J33" s="11" t="s">
        <x:v>2</x:v>
      </x:c>
      <x:c r="K33" s="11" t="s">
        <x:v>4</x:v>
      </x:c>
      <x:c r="L33" s="13" t="str">
        <x:f>IF(TRIM($A33)="","",IF(COUNTIF($M33:$AG33,"?*")=0,"OK","Falta revisar: "&amp;$M33&amp;$N33&amp;$O33&amp;$P33&amp;$Q33&amp;$R33&amp;$S33&amp;$T33&amp;$U33&amp;$V33&amp;$W33&amp;$X33&amp;$Y33&amp;$Z33&amp;$AA33&amp;$AB33&amp;$AC33&amp;$AD33&amp;$AE33&amp;$AF33&amp;$AG33))</x:f>
        <x:v>OK</x:v>
      </x:c>
      <x:c r="M33" t="str">
        <x:f>IF(TRIM($C33)="","enunciado","")</x:f>
        <x:v>enunciado</x:v>
      </x:c>
      <x:c r="N33" t="str">
        <x:f>IF(TRIM($K33)="",IF(COUNTIF($M33:$M33,"?*")&gt;0,", ","")&amp;"parcial","")</x:f>
      </x:c>
      <x:c r="O33" t="str">
        <x:f>IF(AND(TRIM($K33)&lt;&gt;"",TRIM($K33)&lt;&gt;"EF"),IF(COUNTIF($M33:$N33,"?*")&gt;0,", ","")&amp;"parcial distinto a EF","")</x:f>
      </x:c>
      <x:c r="P33" t="str">
        <x:f>IF(AND(OR($A33="Ítems agrupados por caso clínico o problema",$A33="Subítem de caso o problema",$A33="Emparejamiento Ampliado",$A33="Opción de Emparejamiento Ampliado"),TRIM($B33)=""),IF(COUNTIF($M33:$O33,"?*")&gt;0,", ","")&amp;"grupo","")</x:f>
      </x:c>
      <x:c r="Q33" t="str">
        <x:f>IF(AND(OR($A33="Verdadero o Falso Simple",$A33="Respuesta A/B/Ambas/Ninguna",$A33="Verdadero o Falso Complejas",$A33="Selección de la mejor respuesta",$A33="Subítem de caso o problema",$A33="Opción de Emparejamiento Ampliado"),TRIM($I33)=""),IF(COUNTIF($M33:$P33,"?*")&gt;0,", ","")&amp;"respuesta_correcta","")</x:f>
      </x:c>
      <x:c r="R33" t="str">
        <x:f>IF(AND(OR($A33="Verdadero o Falso Simple",$A33="Respuesta A/B/Ambas/Ninguna",$A33="Verdadero o Falso Complejas",$A33="Selección de la mejor respuesta",$A33="Subítem de caso o problema",$A33="Opción de Emparejamiento Ampliado"),TRIM($J33)=""),IF(COUNTIF($M33:$Q33,"?*")&gt;0,", ","")&amp;"dificultad","")</x:f>
      </x:c>
      <x:c r="S33" t="str">
        <x:f>IF(AND(OR($A33="Ítems agrupados por caso clínico o problema",$A33="Emparejamiento Ampliado"),TRIM($I33)&lt;&gt;""),IF(COUNTIF($M33:$R33,"?*")&gt;0,", ","")&amp;"respuesta debe ir vacia","")</x:f>
      </x:c>
      <x:c r="T33" t="str">
        <x:f>IF(AND(OR($A33="Ítems agrupados por caso clínico o problema",$A33="Emparejamiento Ampliado"),TRIM($J33)&lt;&gt;""),IF(COUNTIF($M33:$S33,"?*")&gt;0,", ","")&amp;"dificultad debe ir vacia","")</x:f>
      </x:c>
      <x:c r="U33" t="str">
        <x:f>IF(AND($A33="Verdadero o Falso Simple",OR(COUNTIF($D33:$E33,"?*")&lt;2,COUNTIF($F33:$H33,"?*")&gt;0)),IF(COUNTIF($M33:$T33,"?*")&gt;0,", ","")&amp;"incisos A-B","")</x:f>
      </x:c>
      <x:c r="V33" t="str">
        <x:f>IF(AND($A33="Verdadero o Falso Simple",TRIM($I33)&lt;&gt;"",NOT(OR(LEFT(TRIM($I33),1)="A",LEFT(TRIM($I33),1)="B"))),IF(COUNTIF($M33:$U33,"?*")&gt;0,", ","")&amp;"respuesta A-B","")</x:f>
      </x:c>
      <x:c r="W33" t="str">
        <x:f>IF(AND($A33="Respuesta A/B/Ambas/Ninguna",COUNTIF($D33:$G33,"?*")&lt;4),IF(COUNTIF($M33:$V33,"?*")&gt;0,", ","")&amp;"opciones A-D","")</x:f>
      </x:c>
      <x:c r="X33" t="str">
        <x:f>IF(AND($A33="Respuesta A/B/Ambas/Ninguna",COUNTIF($H33:$H33,"?*")&gt;0),IF(COUNTIF($M33:$W33,"?*")&gt;0,", ","")&amp;"opcion E deshabilitada","")</x:f>
      </x:c>
      <x:c r="Y33" t="str">
        <x:f>IF(AND($A33="Respuesta A/B/Ambas/Ninguna",TRIM($I33)&lt;&gt;"",NOT(OR(LEFT(TRIM($I33),1)="A",LEFT(TRIM($I33),1)="B",LEFT(TRIM($I33),1)="C",LEFT(TRIM($I33),1)="D"))),IF(COUNTIF($M33:$X33,"?*")&gt;0,", ","")&amp;"respuesta A-D","")</x:f>
      </x:c>
      <x:c r="Z33" t="str">
        <x:f>IF(AND($A33="Verdadero o Falso Complejas",OR(LEN(TRIM(SUBSTITUTE($D33,"1.","")))=0,LEN(TRIM(SUBSTITUTE($E33,"2.","")))=0,LEN(TRIM(SUBSTITUTE($F33,"3.","")))=0,LEN(TRIM(SUBSTITUTE($G33,"4.","")))=0)),IF(COUNTIF($M33:$Y33,"?*")&gt;0,", ","")&amp;"incisos 1-4","")</x:f>
      </x:c>
      <x:c r="AA33" t="str">
        <x:f>IF(AND($A33="Verdadero o Falso Complejas",COUNTIF($H33:$H33,"?*")&gt;0),IF(COUNTIF($M33:$Z33,"?*")&gt;0,", ","")&amp;"opcion E deshabilitada","")</x:f>
      </x:c>
      <x:c r="AB33" t="str">
        <x:f>IF(AND($A33="Verdadero o Falso Complejas",TRIM($I33)&lt;&gt;"",NOT(OR(LEFT(TRIM($I33),1)="A",LEFT(TRIM($I33),1)="B",LEFT(TRIM($I33),1)="C",LEFT(TRIM($I33),1)="D",LEFT(TRIM($I33),1)="E"))),IF(COUNTIF($M33:$AA33,"?*")&gt;0,", ","")&amp;"respuesta A-E","")</x:f>
      </x:c>
      <x:c r="AC33" t="str">
        <x:f>IF(AND(OR($A33="Selección de la mejor respuesta",$A33="Subítem de caso o problema"),COUNTIF($D33:$H33,"?*")&lt;5),IF(COUNTIF($M33:$AB33,"?*")&gt;0,", ","")&amp;"incisos A-E","")</x:f>
      </x:c>
      <x:c r="AD33" t="str">
        <x:f>IF(AND(OR($A33="Selección de la mejor respuesta",$A33="Subítem de caso o problema"),TRIM($I33)&lt;&gt;"",NOT(OR(LEFT(TRIM($I33),1)="A",LEFT(TRIM($I33),1)="B",LEFT(TRIM($I33),1)="C",LEFT(TRIM($I33),1)="D",LEFT(TRIM($I33),1)="E"))),IF(COUNTIF($M33:$AC33,"?*")&gt;0,", ","")&amp;"respuesta A-E","")</x:f>
      </x:c>
      <x:c r="AE33" t="str">
        <x:f>IF(AND(OR($A33="Ítems agrupados por caso clínico o problema",$A33="Opción de Emparejamiento Ampliado"),COUNTIF($D33:$H33,"?*")&gt;0),IF(COUNTIF($M33:$AD33,"?*")&gt;0,", ","")&amp;"sin incisos","")</x:f>
      </x:c>
      <x:c r="AF33" t="str">
        <x:f>IF(AND($A33="Emparejamiento Ampliado",COUNTIF($D33:$H33,"?*")&lt;2),IF(COUNTIF($M33:$AE33,"?*")&gt;0,", ","")&amp;"minimo 2 claves","")</x:f>
      </x:c>
      <x:c r="AG33" t="str">
        <x:f>IF(AND($A33="Opción de Emparejamiento Ampliado",NOT(OR(LEFT(TRIM($I33),1)="A",LEFT(TRIM($I33),1)="B",LEFT(TRIM($I33),1)="C",LEFT(TRIM($I33),1)="D",LEFT(TRIM($I33),1)="E"))),IF(COUNTIF($M33:$AF33,"?*")&gt;0,", ","")&amp;"respuesta A-E","")</x:f>
      </x:c>
      <x:c r="AK33" s="29" t="str"/>
    </x:row>
    <x:row r="34" ht="24" customHeight="1">
      <x:c r="A34" s="11" t="s">
        <x:v>2</x:v>
      </x:c>
      <x:c r="B34" s="11" t="s">
        <x:v>2</x:v>
      </x:c>
      <x:c r="C34" s="12" t="str">
        <x:f>IF($A34="Emparejamiento Ampliado",VALIDACIONES!$I$1,IF($A34="Respuesta A/B/Ambas/Ninguna","I. "&amp;CHAR(10)&amp;"II. ",""))</x:f>
      </x:c>
      <x:c r="D34" s="11" t="str">
        <x:f>IF($A34="Verdadero o Falso Simple","Verdadero",IF($A34="Respuesta A/B/Ambas/Ninguna","A. Si la primera es verdadera",""))</x:f>
      </x:c>
      <x:c r="E34" s="11" t="str">
        <x:f>IF($A34="Verdadero o Falso Simple","Falso",IF($A34="Respuesta A/B/Ambas/Ninguna","B. Si la segunda es verdadera",""))</x:f>
      </x:c>
      <x:c r="F34" s="11" t="str">
        <x:f>IF($A34="Respuesta A/B/Ambas/Ninguna","C. Si ambas son verdaderas","")</x:f>
      </x:c>
      <x:c r="G34" s="11" t="str">
        <x:f>IF($A34="Respuesta A/B/Ambas/Ninguna","D. Si ninguna es verdadera","")</x:f>
      </x:c>
      <x:c r="H34" s="11" t="s">
        <x:v>2</x:v>
      </x:c>
      <x:c r="I34" s="11" t="str">
        <x:f>IF($A34="Verdadero o Falso Simple","A","")</x:f>
      </x:c>
      <x:c r="J34" s="11" t="s">
        <x:v>2</x:v>
      </x:c>
      <x:c r="K34" s="11" t="s">
        <x:v>4</x:v>
      </x:c>
      <x:c r="L34" s="13" t="str">
        <x:f>IF(TRIM($A34)="","",IF(COUNTIF($M34:$AG34,"?*")=0,"OK","Falta revisar: "&amp;$M34&amp;$N34&amp;$O34&amp;$P34&amp;$Q34&amp;$R34&amp;$S34&amp;$T34&amp;$U34&amp;$V34&amp;$W34&amp;$X34&amp;$Y34&amp;$Z34&amp;$AA34&amp;$AB34&amp;$AC34&amp;$AD34&amp;$AE34&amp;$AF34&amp;$AG34))</x:f>
        <x:v>OK</x:v>
      </x:c>
      <x:c r="M34" t="str">
        <x:f>IF(TRIM($C34)="","enunciado","")</x:f>
        <x:v>enunciado</x:v>
      </x:c>
      <x:c r="N34" t="str">
        <x:f>IF(TRIM($K34)="",IF(COUNTIF($M34:$M34,"?*")&gt;0,", ","")&amp;"parcial","")</x:f>
      </x:c>
      <x:c r="O34" t="str">
        <x:f>IF(AND(TRIM($K34)&lt;&gt;"",TRIM($K34)&lt;&gt;"EF"),IF(COUNTIF($M34:$N34,"?*")&gt;0,", ","")&amp;"parcial distinto a EF","")</x:f>
      </x:c>
      <x:c r="P34" t="str">
        <x:f>IF(AND(OR($A34="Ítems agrupados por caso clínico o problema",$A34="Subítem de caso o problema",$A34="Emparejamiento Ampliado",$A34="Opción de Emparejamiento Ampliado"),TRIM($B34)=""),IF(COUNTIF($M34:$O34,"?*")&gt;0,", ","")&amp;"grupo","")</x:f>
      </x:c>
      <x:c r="Q34" t="str">
        <x:f>IF(AND(OR($A34="Verdadero o Falso Simple",$A34="Respuesta A/B/Ambas/Ninguna",$A34="Verdadero o Falso Complejas",$A34="Selección de la mejor respuesta",$A34="Subítem de caso o problema",$A34="Opción de Emparejamiento Ampliado"),TRIM($I34)=""),IF(COUNTIF($M34:$P34,"?*")&gt;0,", ","")&amp;"respuesta_correcta","")</x:f>
      </x:c>
      <x:c r="R34" t="str">
        <x:f>IF(AND(OR($A34="Verdadero o Falso Simple",$A34="Respuesta A/B/Ambas/Ninguna",$A34="Verdadero o Falso Complejas",$A34="Selección de la mejor respuesta",$A34="Subítem de caso o problema",$A34="Opción de Emparejamiento Ampliado"),TRIM($J34)=""),IF(COUNTIF($M34:$Q34,"?*")&gt;0,", ","")&amp;"dificultad","")</x:f>
      </x:c>
      <x:c r="S34" t="str">
        <x:f>IF(AND(OR($A34="Ítems agrupados por caso clínico o problema",$A34="Emparejamiento Ampliado"),TRIM($I34)&lt;&gt;""),IF(COUNTIF($M34:$R34,"?*")&gt;0,", ","")&amp;"respuesta debe ir vacia","")</x:f>
      </x:c>
      <x:c r="T34" t="str">
        <x:f>IF(AND(OR($A34="Ítems agrupados por caso clínico o problema",$A34="Emparejamiento Ampliado"),TRIM($J34)&lt;&gt;""),IF(COUNTIF($M34:$S34,"?*")&gt;0,", ","")&amp;"dificultad debe ir vacia","")</x:f>
      </x:c>
      <x:c r="U34" t="str">
        <x:f>IF(AND($A34="Verdadero o Falso Simple",OR(COUNTIF($D34:$E34,"?*")&lt;2,COUNTIF($F34:$H34,"?*")&gt;0)),IF(COUNTIF($M34:$T34,"?*")&gt;0,", ","")&amp;"incisos A-B","")</x:f>
      </x:c>
      <x:c r="V34" t="str">
        <x:f>IF(AND($A34="Verdadero o Falso Simple",TRIM($I34)&lt;&gt;"",NOT(OR(LEFT(TRIM($I34),1)="A",LEFT(TRIM($I34),1)="B"))),IF(COUNTIF($M34:$U34,"?*")&gt;0,", ","")&amp;"respuesta A-B","")</x:f>
      </x:c>
      <x:c r="W34" t="str">
        <x:f>IF(AND($A34="Respuesta A/B/Ambas/Ninguna",COUNTIF($D34:$G34,"?*")&lt;4),IF(COUNTIF($M34:$V34,"?*")&gt;0,", ","")&amp;"opciones A-D","")</x:f>
      </x:c>
      <x:c r="X34" t="str">
        <x:f>IF(AND($A34="Respuesta A/B/Ambas/Ninguna",COUNTIF($H34:$H34,"?*")&gt;0),IF(COUNTIF($M34:$W34,"?*")&gt;0,", ","")&amp;"opcion E deshabilitada","")</x:f>
      </x:c>
      <x:c r="Y34" t="str">
        <x:f>IF(AND($A34="Respuesta A/B/Ambas/Ninguna",TRIM($I34)&lt;&gt;"",NOT(OR(LEFT(TRIM($I34),1)="A",LEFT(TRIM($I34),1)="B",LEFT(TRIM($I34),1)="C",LEFT(TRIM($I34),1)="D"))),IF(COUNTIF($M34:$X34,"?*")&gt;0,", ","")&amp;"respuesta A-D","")</x:f>
      </x:c>
      <x:c r="Z34" t="str">
        <x:f>IF(AND($A34="Verdadero o Falso Complejas",OR(LEN(TRIM(SUBSTITUTE($D34,"1.","")))=0,LEN(TRIM(SUBSTITUTE($E34,"2.","")))=0,LEN(TRIM(SUBSTITUTE($F34,"3.","")))=0,LEN(TRIM(SUBSTITUTE($G34,"4.","")))=0)),IF(COUNTIF($M34:$Y34,"?*")&gt;0,", ","")&amp;"incisos 1-4","")</x:f>
      </x:c>
      <x:c r="AA34" t="str">
        <x:f>IF(AND($A34="Verdadero o Falso Complejas",COUNTIF($H34:$H34,"?*")&gt;0),IF(COUNTIF($M34:$Z34,"?*")&gt;0,", ","")&amp;"opcion E deshabilitada","")</x:f>
      </x:c>
      <x:c r="AB34" t="str">
        <x:f>IF(AND($A34="Verdadero o Falso Complejas",TRIM($I34)&lt;&gt;"",NOT(OR(LEFT(TRIM($I34),1)="A",LEFT(TRIM($I34),1)="B",LEFT(TRIM($I34),1)="C",LEFT(TRIM($I34),1)="D",LEFT(TRIM($I34),1)="E"))),IF(COUNTIF($M34:$AA34,"?*")&gt;0,", ","")&amp;"respuesta A-E","")</x:f>
      </x:c>
      <x:c r="AC34" t="str">
        <x:f>IF(AND(OR($A34="Selección de la mejor respuesta",$A34="Subítem de caso o problema"),COUNTIF($D34:$H34,"?*")&lt;5),IF(COUNTIF($M34:$AB34,"?*")&gt;0,", ","")&amp;"incisos A-E","")</x:f>
      </x:c>
      <x:c r="AD34" t="str">
        <x:f>IF(AND(OR($A34="Selección de la mejor respuesta",$A34="Subítem de caso o problema"),TRIM($I34)&lt;&gt;"",NOT(OR(LEFT(TRIM($I34),1)="A",LEFT(TRIM($I34),1)="B",LEFT(TRIM($I34),1)="C",LEFT(TRIM($I34),1)="D",LEFT(TRIM($I34),1)="E"))),IF(COUNTIF($M34:$AC34,"?*")&gt;0,", ","")&amp;"respuesta A-E","")</x:f>
      </x:c>
      <x:c r="AE34" t="str">
        <x:f>IF(AND(OR($A34="Ítems agrupados por caso clínico o problema",$A34="Opción de Emparejamiento Ampliado"),COUNTIF($D34:$H34,"?*")&gt;0),IF(COUNTIF($M34:$AD34,"?*")&gt;0,", ","")&amp;"sin incisos","")</x:f>
      </x:c>
      <x:c r="AF34" t="str">
        <x:f>IF(AND($A34="Emparejamiento Ampliado",COUNTIF($D34:$H34,"?*")&lt;2),IF(COUNTIF($M34:$AE34,"?*")&gt;0,", ","")&amp;"minimo 2 claves","")</x:f>
      </x:c>
      <x:c r="AG34" t="str">
        <x:f>IF(AND($A34="Opción de Emparejamiento Ampliado",NOT(OR(LEFT(TRIM($I34),1)="A",LEFT(TRIM($I34),1)="B",LEFT(TRIM($I34),1)="C",LEFT(TRIM($I34),1)="D",LEFT(TRIM($I34),1)="E"))),IF(COUNTIF($M34:$AF34,"?*")&gt;0,", ","")&amp;"respuesta A-E","")</x:f>
      </x:c>
      <x:c r="AK34" s="29" t="str"/>
    </x:row>
    <x:row r="35" ht="24" customHeight="1">
      <x:c r="A35" s="11" t="s">
        <x:v>2</x:v>
      </x:c>
      <x:c r="B35" s="11" t="s">
        <x:v>2</x:v>
      </x:c>
      <x:c r="C35" s="12" t="str">
        <x:f>IF($A35="Emparejamiento Ampliado",VALIDACIONES!$I$1,IF($A35="Respuesta A/B/Ambas/Ninguna","I. "&amp;CHAR(10)&amp;"II. ",""))</x:f>
      </x:c>
      <x:c r="D35" s="11" t="str">
        <x:f>IF($A35="Verdadero o Falso Simple","Verdadero",IF($A35="Respuesta A/B/Ambas/Ninguna","A. Si la primera es verdadera",""))</x:f>
      </x:c>
      <x:c r="E35" s="11" t="str">
        <x:f>IF($A35="Verdadero o Falso Simple","Falso",IF($A35="Respuesta A/B/Ambas/Ninguna","B. Si la segunda es verdadera",""))</x:f>
      </x:c>
      <x:c r="F35" s="11" t="str">
        <x:f>IF($A35="Respuesta A/B/Ambas/Ninguna","C. Si ambas son verdaderas","")</x:f>
      </x:c>
      <x:c r="G35" s="11" t="str">
        <x:f>IF($A35="Respuesta A/B/Ambas/Ninguna","D. Si ninguna es verdadera","")</x:f>
      </x:c>
      <x:c r="H35" s="11" t="s">
        <x:v>2</x:v>
      </x:c>
      <x:c r="I35" s="11" t="str">
        <x:f>IF($A35="Verdadero o Falso Simple","A","")</x:f>
      </x:c>
      <x:c r="J35" s="11" t="s">
        <x:v>2</x:v>
      </x:c>
      <x:c r="K35" s="11" t="s">
        <x:v>4</x:v>
      </x:c>
      <x:c r="L35" s="13" t="str">
        <x:f>IF(TRIM($A35)="","",IF(COUNTIF($M35:$AG35,"?*")=0,"OK","Falta revisar: "&amp;$M35&amp;$N35&amp;$O35&amp;$P35&amp;$Q35&amp;$R35&amp;$S35&amp;$T35&amp;$U35&amp;$V35&amp;$W35&amp;$X35&amp;$Y35&amp;$Z35&amp;$AA35&amp;$AB35&amp;$AC35&amp;$AD35&amp;$AE35&amp;$AF35&amp;$AG35))</x:f>
        <x:v>OK</x:v>
      </x:c>
      <x:c r="M35" t="str">
        <x:f>IF(TRIM($C35)="","enunciado","")</x:f>
        <x:v>enunciado</x:v>
      </x:c>
      <x:c r="N35" t="str">
        <x:f>IF(TRIM($K35)="",IF(COUNTIF($M35:$M35,"?*")&gt;0,", ","")&amp;"parcial","")</x:f>
      </x:c>
      <x:c r="O35" t="str">
        <x:f>IF(AND(TRIM($K35)&lt;&gt;"",TRIM($K35)&lt;&gt;"EF"),IF(COUNTIF($M35:$N35,"?*")&gt;0,", ","")&amp;"parcial distinto a EF","")</x:f>
      </x:c>
      <x:c r="P35" t="str">
        <x:f>IF(AND(OR($A35="Ítems agrupados por caso clínico o problema",$A35="Subítem de caso o problema",$A35="Emparejamiento Ampliado",$A35="Opción de Emparejamiento Ampliado"),TRIM($B35)=""),IF(COUNTIF($M35:$O35,"?*")&gt;0,", ","")&amp;"grupo","")</x:f>
      </x:c>
      <x:c r="Q35" t="str">
        <x:f>IF(AND(OR($A35="Verdadero o Falso Simple",$A35="Respuesta A/B/Ambas/Ninguna",$A35="Verdadero o Falso Complejas",$A35="Selección de la mejor respuesta",$A35="Subítem de caso o problema",$A35="Opción de Emparejamiento Ampliado"),TRIM($I35)=""),IF(COUNTIF($M35:$P35,"?*")&gt;0,", ","")&amp;"respuesta_correcta","")</x:f>
      </x:c>
      <x:c r="R35" t="str">
        <x:f>IF(AND(OR($A35="Verdadero o Falso Simple",$A35="Respuesta A/B/Ambas/Ninguna",$A35="Verdadero o Falso Complejas",$A35="Selección de la mejor respuesta",$A35="Subítem de caso o problema",$A35="Opción de Emparejamiento Ampliado"),TRIM($J35)=""),IF(COUNTIF($M35:$Q35,"?*")&gt;0,", ","")&amp;"dificultad","")</x:f>
      </x:c>
      <x:c r="S35" t="str">
        <x:f>IF(AND(OR($A35="Ítems agrupados por caso clínico o problema",$A35="Emparejamiento Ampliado"),TRIM($I35)&lt;&gt;""),IF(COUNTIF($M35:$R35,"?*")&gt;0,", ","")&amp;"respuesta debe ir vacia","")</x:f>
      </x:c>
      <x:c r="T35" t="str">
        <x:f>IF(AND(OR($A35="Ítems agrupados por caso clínico o problema",$A35="Emparejamiento Ampliado"),TRIM($J35)&lt;&gt;""),IF(COUNTIF($M35:$S35,"?*")&gt;0,", ","")&amp;"dificultad debe ir vacia","")</x:f>
      </x:c>
      <x:c r="U35" t="str">
        <x:f>IF(AND($A35="Verdadero o Falso Simple",OR(COUNTIF($D35:$E35,"?*")&lt;2,COUNTIF($F35:$H35,"?*")&gt;0)),IF(COUNTIF($M35:$T35,"?*")&gt;0,", ","")&amp;"incisos A-B","")</x:f>
      </x:c>
      <x:c r="V35" t="str">
        <x:f>IF(AND($A35="Verdadero o Falso Simple",TRIM($I35)&lt;&gt;"",NOT(OR(LEFT(TRIM($I35),1)="A",LEFT(TRIM($I35),1)="B"))),IF(COUNTIF($M35:$U35,"?*")&gt;0,", ","")&amp;"respuesta A-B","")</x:f>
      </x:c>
      <x:c r="W35" t="str">
        <x:f>IF(AND($A35="Respuesta A/B/Ambas/Ninguna",COUNTIF($D35:$G35,"?*")&lt;4),IF(COUNTIF($M35:$V35,"?*")&gt;0,", ","")&amp;"opciones A-D","")</x:f>
      </x:c>
      <x:c r="X35" t="str">
        <x:f>IF(AND($A35="Respuesta A/B/Ambas/Ninguna",COUNTIF($H35:$H35,"?*")&gt;0),IF(COUNTIF($M35:$W35,"?*")&gt;0,", ","")&amp;"opcion E deshabilitada","")</x:f>
      </x:c>
      <x:c r="Y35" t="str">
        <x:f>IF(AND($A35="Respuesta A/B/Ambas/Ninguna",TRIM($I35)&lt;&gt;"",NOT(OR(LEFT(TRIM($I35),1)="A",LEFT(TRIM($I35),1)="B",LEFT(TRIM($I35),1)="C",LEFT(TRIM($I35),1)="D"))),IF(COUNTIF($M35:$X35,"?*")&gt;0,", ","")&amp;"respuesta A-D","")</x:f>
      </x:c>
      <x:c r="Z35" t="str">
        <x:f>IF(AND($A35="Verdadero o Falso Complejas",OR(LEN(TRIM(SUBSTITUTE($D35,"1.","")))=0,LEN(TRIM(SUBSTITUTE($E35,"2.","")))=0,LEN(TRIM(SUBSTITUTE($F35,"3.","")))=0,LEN(TRIM(SUBSTITUTE($G35,"4.","")))=0)),IF(COUNTIF($M35:$Y35,"?*")&gt;0,", ","")&amp;"incisos 1-4","")</x:f>
      </x:c>
      <x:c r="AA35" t="str">
        <x:f>IF(AND($A35="Verdadero o Falso Complejas",COUNTIF($H35:$H35,"?*")&gt;0),IF(COUNTIF($M35:$Z35,"?*")&gt;0,", ","")&amp;"opcion E deshabilitada","")</x:f>
      </x:c>
      <x:c r="AB35" t="str">
        <x:f>IF(AND($A35="Verdadero o Falso Complejas",TRIM($I35)&lt;&gt;"",NOT(OR(LEFT(TRIM($I35),1)="A",LEFT(TRIM($I35),1)="B",LEFT(TRIM($I35),1)="C",LEFT(TRIM($I35),1)="D",LEFT(TRIM($I35),1)="E"))),IF(COUNTIF($M35:$AA35,"?*")&gt;0,", ","")&amp;"respuesta A-E","")</x:f>
      </x:c>
      <x:c r="AC35" t="str">
        <x:f>IF(AND(OR($A35="Selección de la mejor respuesta",$A35="Subítem de caso o problema"),COUNTIF($D35:$H35,"?*")&lt;5),IF(COUNTIF($M35:$AB35,"?*")&gt;0,", ","")&amp;"incisos A-E","")</x:f>
      </x:c>
      <x:c r="AD35" t="str">
        <x:f>IF(AND(OR($A35="Selección de la mejor respuesta",$A35="Subítem de caso o problema"),TRIM($I35)&lt;&gt;"",NOT(OR(LEFT(TRIM($I35),1)="A",LEFT(TRIM($I35),1)="B",LEFT(TRIM($I35),1)="C",LEFT(TRIM($I35),1)="D",LEFT(TRIM($I35),1)="E"))),IF(COUNTIF($M35:$AC35,"?*")&gt;0,", ","")&amp;"respuesta A-E","")</x:f>
      </x:c>
      <x:c r="AE35" t="str">
        <x:f>IF(AND(OR($A35="Ítems agrupados por caso clínico o problema",$A35="Opción de Emparejamiento Ampliado"),COUNTIF($D35:$H35,"?*")&gt;0),IF(COUNTIF($M35:$AD35,"?*")&gt;0,", ","")&amp;"sin incisos","")</x:f>
      </x:c>
      <x:c r="AF35" t="str">
        <x:f>IF(AND($A35="Emparejamiento Ampliado",COUNTIF($D35:$H35,"?*")&lt;2),IF(COUNTIF($M35:$AE35,"?*")&gt;0,", ","")&amp;"minimo 2 claves","")</x:f>
      </x:c>
      <x:c r="AG35" t="str">
        <x:f>IF(AND($A35="Opción de Emparejamiento Ampliado",NOT(OR(LEFT(TRIM($I35),1)="A",LEFT(TRIM($I35),1)="B",LEFT(TRIM($I35),1)="C",LEFT(TRIM($I35),1)="D",LEFT(TRIM($I35),1)="E"))),IF(COUNTIF($M35:$AF35,"?*")&gt;0,", ","")&amp;"respuesta A-E","")</x:f>
      </x:c>
      <x:c r="AK35" s="29" t="str"/>
    </x:row>
    <x:row r="36" ht="24" customHeight="1">
      <x:c r="A36" s="11" t="s">
        <x:v>2</x:v>
      </x:c>
      <x:c r="B36" s="11" t="s">
        <x:v>2</x:v>
      </x:c>
      <x:c r="C36" s="12" t="str">
        <x:f>IF($A36="Emparejamiento Ampliado",VALIDACIONES!$I$1,IF($A36="Respuesta A/B/Ambas/Ninguna","I. "&amp;CHAR(10)&amp;"II. ",""))</x:f>
      </x:c>
      <x:c r="D36" s="11" t="str">
        <x:f>IF($A36="Verdadero o Falso Simple","Verdadero",IF($A36="Respuesta A/B/Ambas/Ninguna","A. Si la primera es verdadera",""))</x:f>
      </x:c>
      <x:c r="E36" s="11" t="str">
        <x:f>IF($A36="Verdadero o Falso Simple","Falso",IF($A36="Respuesta A/B/Ambas/Ninguna","B. Si la segunda es verdadera",""))</x:f>
      </x:c>
      <x:c r="F36" s="11" t="str">
        <x:f>IF($A36="Respuesta A/B/Ambas/Ninguna","C. Si ambas son verdaderas","")</x:f>
      </x:c>
      <x:c r="G36" s="11" t="str">
        <x:f>IF($A36="Respuesta A/B/Ambas/Ninguna","D. Si ninguna es verdadera","")</x:f>
      </x:c>
      <x:c r="H36" s="11" t="s">
        <x:v>2</x:v>
      </x:c>
      <x:c r="I36" s="11" t="str">
        <x:f>IF($A36="Verdadero o Falso Simple","A","")</x:f>
      </x:c>
      <x:c r="J36" s="11" t="s">
        <x:v>2</x:v>
      </x:c>
      <x:c r="K36" s="11" t="s">
        <x:v>4</x:v>
      </x:c>
      <x:c r="L36" s="13" t="str">
        <x:f>IF(TRIM($A36)="","",IF(COUNTIF($M36:$AG36,"?*")=0,"OK","Falta revisar: "&amp;$M36&amp;$N36&amp;$O36&amp;$P36&amp;$Q36&amp;$R36&amp;$S36&amp;$T36&amp;$U36&amp;$V36&amp;$W36&amp;$X36&amp;$Y36&amp;$Z36&amp;$AA36&amp;$AB36&amp;$AC36&amp;$AD36&amp;$AE36&amp;$AF36&amp;$AG36))</x:f>
        <x:v>OK</x:v>
      </x:c>
      <x:c r="M36" t="str">
        <x:f>IF(TRIM($C36)="","enunciado","")</x:f>
        <x:v>enunciado</x:v>
      </x:c>
      <x:c r="N36" t="str">
        <x:f>IF(TRIM($K36)="",IF(COUNTIF($M36:$M36,"?*")&gt;0,", ","")&amp;"parcial","")</x:f>
      </x:c>
      <x:c r="O36" t="str">
        <x:f>IF(AND(TRIM($K36)&lt;&gt;"",TRIM($K36)&lt;&gt;"EF"),IF(COUNTIF($M36:$N36,"?*")&gt;0,", ","")&amp;"parcial distinto a EF","")</x:f>
      </x:c>
      <x:c r="P36" t="str">
        <x:f>IF(AND(OR($A36="Ítems agrupados por caso clínico o problema",$A36="Subítem de caso o problema",$A36="Emparejamiento Ampliado",$A36="Opción de Emparejamiento Ampliado"),TRIM($B36)=""),IF(COUNTIF($M36:$O36,"?*")&gt;0,", ","")&amp;"grupo","")</x:f>
      </x:c>
      <x:c r="Q36" t="str">
        <x:f>IF(AND(OR($A36="Verdadero o Falso Simple",$A36="Respuesta A/B/Ambas/Ninguna",$A36="Verdadero o Falso Complejas",$A36="Selección de la mejor respuesta",$A36="Subítem de caso o problema",$A36="Opción de Emparejamiento Ampliado"),TRIM($I36)=""),IF(COUNTIF($M36:$P36,"?*")&gt;0,", ","")&amp;"respuesta_correcta","")</x:f>
      </x:c>
      <x:c r="R36" t="str">
        <x:f>IF(AND(OR($A36="Verdadero o Falso Simple",$A36="Respuesta A/B/Ambas/Ninguna",$A36="Verdadero o Falso Complejas",$A36="Selección de la mejor respuesta",$A36="Subítem de caso o problema",$A36="Opción de Emparejamiento Ampliado"),TRIM($J36)=""),IF(COUNTIF($M36:$Q36,"?*")&gt;0,", ","")&amp;"dificultad","")</x:f>
      </x:c>
      <x:c r="S36" t="str">
        <x:f>IF(AND(OR($A36="Ítems agrupados por caso clínico o problema",$A36="Emparejamiento Ampliado"),TRIM($I36)&lt;&gt;""),IF(COUNTIF($M36:$R36,"?*")&gt;0,", ","")&amp;"respuesta debe ir vacia","")</x:f>
      </x:c>
      <x:c r="T36" t="str">
        <x:f>IF(AND(OR($A36="Ítems agrupados por caso clínico o problema",$A36="Emparejamiento Ampliado"),TRIM($J36)&lt;&gt;""),IF(COUNTIF($M36:$S36,"?*")&gt;0,", ","")&amp;"dificultad debe ir vacia","")</x:f>
      </x:c>
      <x:c r="U36" t="str">
        <x:f>IF(AND($A36="Verdadero o Falso Simple",OR(COUNTIF($D36:$E36,"?*")&lt;2,COUNTIF($F36:$H36,"?*")&gt;0)),IF(COUNTIF($M36:$T36,"?*")&gt;0,", ","")&amp;"incisos A-B","")</x:f>
      </x:c>
      <x:c r="V36" t="str">
        <x:f>IF(AND($A36="Verdadero o Falso Simple",TRIM($I36)&lt;&gt;"",NOT(OR(LEFT(TRIM($I36),1)="A",LEFT(TRIM($I36),1)="B"))),IF(COUNTIF($M36:$U36,"?*")&gt;0,", ","")&amp;"respuesta A-B","")</x:f>
      </x:c>
      <x:c r="W36" t="str">
        <x:f>IF(AND($A36="Respuesta A/B/Ambas/Ninguna",COUNTIF($D36:$G36,"?*")&lt;4),IF(COUNTIF($M36:$V36,"?*")&gt;0,", ","")&amp;"opciones A-D","")</x:f>
      </x:c>
      <x:c r="X36" t="str">
        <x:f>IF(AND($A36="Respuesta A/B/Ambas/Ninguna",COUNTIF($H36:$H36,"?*")&gt;0),IF(COUNTIF($M36:$W36,"?*")&gt;0,", ","")&amp;"opcion E deshabilitada","")</x:f>
      </x:c>
      <x:c r="Y36" t="str">
        <x:f>IF(AND($A36="Respuesta A/B/Ambas/Ninguna",TRIM($I36)&lt;&gt;"",NOT(OR(LEFT(TRIM($I36),1)="A",LEFT(TRIM($I36),1)="B",LEFT(TRIM($I36),1)="C",LEFT(TRIM($I36),1)="D"))),IF(COUNTIF($M36:$X36,"?*")&gt;0,", ","")&amp;"respuesta A-D","")</x:f>
      </x:c>
      <x:c r="Z36" t="str">
        <x:f>IF(AND($A36="Verdadero o Falso Complejas",OR(LEN(TRIM(SUBSTITUTE($D36,"1.","")))=0,LEN(TRIM(SUBSTITUTE($E36,"2.","")))=0,LEN(TRIM(SUBSTITUTE($F36,"3.","")))=0,LEN(TRIM(SUBSTITUTE($G36,"4.","")))=0)),IF(COUNTIF($M36:$Y36,"?*")&gt;0,", ","")&amp;"incisos 1-4","")</x:f>
      </x:c>
      <x:c r="AA36" t="str">
        <x:f>IF(AND($A36="Verdadero o Falso Complejas",COUNTIF($H36:$H36,"?*")&gt;0),IF(COUNTIF($M36:$Z36,"?*")&gt;0,", ","")&amp;"opcion E deshabilitada","")</x:f>
      </x:c>
      <x:c r="AB36" t="str">
        <x:f>IF(AND($A36="Verdadero o Falso Complejas",TRIM($I36)&lt;&gt;"",NOT(OR(LEFT(TRIM($I36),1)="A",LEFT(TRIM($I36),1)="B",LEFT(TRIM($I36),1)="C",LEFT(TRIM($I36),1)="D",LEFT(TRIM($I36),1)="E"))),IF(COUNTIF($M36:$AA36,"?*")&gt;0,", ","")&amp;"respuesta A-E","")</x:f>
      </x:c>
      <x:c r="AC36" t="str">
        <x:f>IF(AND(OR($A36="Selección de la mejor respuesta",$A36="Subítem de caso o problema"),COUNTIF($D36:$H36,"?*")&lt;5),IF(COUNTIF($M36:$AB36,"?*")&gt;0,", ","")&amp;"incisos A-E","")</x:f>
      </x:c>
      <x:c r="AD36" t="str">
        <x:f>IF(AND(OR($A36="Selección de la mejor respuesta",$A36="Subítem de caso o problema"),TRIM($I36)&lt;&gt;"",NOT(OR(LEFT(TRIM($I36),1)="A",LEFT(TRIM($I36),1)="B",LEFT(TRIM($I36),1)="C",LEFT(TRIM($I36),1)="D",LEFT(TRIM($I36),1)="E"))),IF(COUNTIF($M36:$AC36,"?*")&gt;0,", ","")&amp;"respuesta A-E","")</x:f>
      </x:c>
      <x:c r="AE36" t="str">
        <x:f>IF(AND(OR($A36="Ítems agrupados por caso clínico o problema",$A36="Opción de Emparejamiento Ampliado"),COUNTIF($D36:$H36,"?*")&gt;0),IF(COUNTIF($M36:$AD36,"?*")&gt;0,", ","")&amp;"sin incisos","")</x:f>
      </x:c>
      <x:c r="AF36" t="str">
        <x:f>IF(AND($A36="Emparejamiento Ampliado",COUNTIF($D36:$H36,"?*")&lt;2),IF(COUNTIF($M36:$AE36,"?*")&gt;0,", ","")&amp;"minimo 2 claves","")</x:f>
      </x:c>
      <x:c r="AG36" t="str">
        <x:f>IF(AND($A36="Opción de Emparejamiento Ampliado",NOT(OR(LEFT(TRIM($I36),1)="A",LEFT(TRIM($I36),1)="B",LEFT(TRIM($I36),1)="C",LEFT(TRIM($I36),1)="D",LEFT(TRIM($I36),1)="E"))),IF(COUNTIF($M36:$AF36,"?*")&gt;0,", ","")&amp;"respuesta A-E","")</x:f>
      </x:c>
      <x:c r="AK36" s="29" t="str"/>
    </x:row>
    <x:row r="37" ht="24" customHeight="1">
      <x:c r="A37" s="11" t="s">
        <x:v>2</x:v>
      </x:c>
      <x:c r="B37" s="11" t="s">
        <x:v>2</x:v>
      </x:c>
      <x:c r="C37" s="12" t="str">
        <x:f>IF($A37="Emparejamiento Ampliado",VALIDACIONES!$I$1,IF($A37="Respuesta A/B/Ambas/Ninguna","I. "&amp;CHAR(10)&amp;"II. ",""))</x:f>
      </x:c>
      <x:c r="D37" s="11" t="str">
        <x:f>IF($A37="Verdadero o Falso Simple","Verdadero",IF($A37="Respuesta A/B/Ambas/Ninguna","A. Si la primera es verdadera",""))</x:f>
      </x:c>
      <x:c r="E37" s="11" t="str">
        <x:f>IF($A37="Verdadero o Falso Simple","Falso",IF($A37="Respuesta A/B/Ambas/Ninguna","B. Si la segunda es verdadera",""))</x:f>
      </x:c>
      <x:c r="F37" s="11" t="str">
        <x:f>IF($A37="Respuesta A/B/Ambas/Ninguna","C. Si ambas son verdaderas","")</x:f>
      </x:c>
      <x:c r="G37" s="11" t="str">
        <x:f>IF($A37="Respuesta A/B/Ambas/Ninguna","D. Si ninguna es verdadera","")</x:f>
      </x:c>
      <x:c r="H37" s="11" t="s">
        <x:v>2</x:v>
      </x:c>
      <x:c r="I37" s="11" t="str">
        <x:f>IF($A37="Verdadero o Falso Simple","A","")</x:f>
      </x:c>
      <x:c r="J37" s="11" t="s">
        <x:v>2</x:v>
      </x:c>
      <x:c r="K37" s="11" t="s">
        <x:v>4</x:v>
      </x:c>
      <x:c r="L37" s="13" t="str">
        <x:f>IF(TRIM($A37)="","",IF(COUNTIF($M37:$AG37,"?*")=0,"OK","Falta revisar: "&amp;$M37&amp;$N37&amp;$O37&amp;$P37&amp;$Q37&amp;$R37&amp;$S37&amp;$T37&amp;$U37&amp;$V37&amp;$W37&amp;$X37&amp;$Y37&amp;$Z37&amp;$AA37&amp;$AB37&amp;$AC37&amp;$AD37&amp;$AE37&amp;$AF37&amp;$AG37))</x:f>
        <x:v>OK</x:v>
      </x:c>
      <x:c r="M37" t="str">
        <x:f>IF(TRIM($C37)="","enunciado","")</x:f>
        <x:v>enunciado</x:v>
      </x:c>
      <x:c r="N37" t="str">
        <x:f>IF(TRIM($K37)="",IF(COUNTIF($M37:$M37,"?*")&gt;0,", ","")&amp;"parcial","")</x:f>
      </x:c>
      <x:c r="O37" t="str">
        <x:f>IF(AND(TRIM($K37)&lt;&gt;"",TRIM($K37)&lt;&gt;"EF"),IF(COUNTIF($M37:$N37,"?*")&gt;0,", ","")&amp;"parcial distinto a EF","")</x:f>
      </x:c>
      <x:c r="P37" t="str">
        <x:f>IF(AND(OR($A37="Ítems agrupados por caso clínico o problema",$A37="Subítem de caso o problema",$A37="Emparejamiento Ampliado",$A37="Opción de Emparejamiento Ampliado"),TRIM($B37)=""),IF(COUNTIF($M37:$O37,"?*")&gt;0,", ","")&amp;"grupo","")</x:f>
      </x:c>
      <x:c r="Q37" t="str">
        <x:f>IF(AND(OR($A37="Verdadero o Falso Simple",$A37="Respuesta A/B/Ambas/Ninguna",$A37="Verdadero o Falso Complejas",$A37="Selección de la mejor respuesta",$A37="Subítem de caso o problema",$A37="Opción de Emparejamiento Ampliado"),TRIM($I37)=""),IF(COUNTIF($M37:$P37,"?*")&gt;0,", ","")&amp;"respuesta_correcta","")</x:f>
      </x:c>
      <x:c r="R37" t="str">
        <x:f>IF(AND(OR($A37="Verdadero o Falso Simple",$A37="Respuesta A/B/Ambas/Ninguna",$A37="Verdadero o Falso Complejas",$A37="Selección de la mejor respuesta",$A37="Subítem de caso o problema",$A37="Opción de Emparejamiento Ampliado"),TRIM($J37)=""),IF(COUNTIF($M37:$Q37,"?*")&gt;0,", ","")&amp;"dificultad","")</x:f>
      </x:c>
      <x:c r="S37" t="str">
        <x:f>IF(AND(OR($A37="Ítems agrupados por caso clínico o problema",$A37="Emparejamiento Ampliado"),TRIM($I37)&lt;&gt;""),IF(COUNTIF($M37:$R37,"?*")&gt;0,", ","")&amp;"respuesta debe ir vacia","")</x:f>
      </x:c>
      <x:c r="T37" t="str">
        <x:f>IF(AND(OR($A37="Ítems agrupados por caso clínico o problema",$A37="Emparejamiento Ampliado"),TRIM($J37)&lt;&gt;""),IF(COUNTIF($M37:$S37,"?*")&gt;0,", ","")&amp;"dificultad debe ir vacia","")</x:f>
      </x:c>
      <x:c r="U37" t="str">
        <x:f>IF(AND($A37="Verdadero o Falso Simple",OR(COUNTIF($D37:$E37,"?*")&lt;2,COUNTIF($F37:$H37,"?*")&gt;0)),IF(COUNTIF($M37:$T37,"?*")&gt;0,", ","")&amp;"incisos A-B","")</x:f>
      </x:c>
      <x:c r="V37" t="str">
        <x:f>IF(AND($A37="Verdadero o Falso Simple",TRIM($I37)&lt;&gt;"",NOT(OR(LEFT(TRIM($I37),1)="A",LEFT(TRIM($I37),1)="B"))),IF(COUNTIF($M37:$U37,"?*")&gt;0,", ","")&amp;"respuesta A-B","")</x:f>
      </x:c>
      <x:c r="W37" t="str">
        <x:f>IF(AND($A37="Respuesta A/B/Ambas/Ninguna",COUNTIF($D37:$G37,"?*")&lt;4),IF(COUNTIF($M37:$V37,"?*")&gt;0,", ","")&amp;"opciones A-D","")</x:f>
      </x:c>
      <x:c r="X37" t="str">
        <x:f>IF(AND($A37="Respuesta A/B/Ambas/Ninguna",COUNTIF($H37:$H37,"?*")&gt;0),IF(COUNTIF($M37:$W37,"?*")&gt;0,", ","")&amp;"opcion E deshabilitada","")</x:f>
      </x:c>
      <x:c r="Y37" t="str">
        <x:f>IF(AND($A37="Respuesta A/B/Ambas/Ninguna",TRIM($I37)&lt;&gt;"",NOT(OR(LEFT(TRIM($I37),1)="A",LEFT(TRIM($I37),1)="B",LEFT(TRIM($I37),1)="C",LEFT(TRIM($I37),1)="D"))),IF(COUNTIF($M37:$X37,"?*")&gt;0,", ","")&amp;"respuesta A-D","")</x:f>
      </x:c>
      <x:c r="Z37" t="str">
        <x:f>IF(AND($A37="Verdadero o Falso Complejas",OR(LEN(TRIM(SUBSTITUTE($D37,"1.","")))=0,LEN(TRIM(SUBSTITUTE($E37,"2.","")))=0,LEN(TRIM(SUBSTITUTE($F37,"3.","")))=0,LEN(TRIM(SUBSTITUTE($G37,"4.","")))=0)),IF(COUNTIF($M37:$Y37,"?*")&gt;0,", ","")&amp;"incisos 1-4","")</x:f>
      </x:c>
      <x:c r="AA37" t="str">
        <x:f>IF(AND($A37="Verdadero o Falso Complejas",COUNTIF($H37:$H37,"?*")&gt;0),IF(COUNTIF($M37:$Z37,"?*")&gt;0,", ","")&amp;"opcion E deshabilitada","")</x:f>
      </x:c>
      <x:c r="AB37" t="str">
        <x:f>IF(AND($A37="Verdadero o Falso Complejas",TRIM($I37)&lt;&gt;"",NOT(OR(LEFT(TRIM($I37),1)="A",LEFT(TRIM($I37),1)="B",LEFT(TRIM($I37),1)="C",LEFT(TRIM($I37),1)="D",LEFT(TRIM($I37),1)="E"))),IF(COUNTIF($M37:$AA37,"?*")&gt;0,", ","")&amp;"respuesta A-E","")</x:f>
      </x:c>
      <x:c r="AC37" t="str">
        <x:f>IF(AND(OR($A37="Selección de la mejor respuesta",$A37="Subítem de caso o problema"),COUNTIF($D37:$H37,"?*")&lt;5),IF(COUNTIF($M37:$AB37,"?*")&gt;0,", ","")&amp;"incisos A-E","")</x:f>
      </x:c>
      <x:c r="AD37" t="str">
        <x:f>IF(AND(OR($A37="Selección de la mejor respuesta",$A37="Subítem de caso o problema"),TRIM($I37)&lt;&gt;"",NOT(OR(LEFT(TRIM($I37),1)="A",LEFT(TRIM($I37),1)="B",LEFT(TRIM($I37),1)="C",LEFT(TRIM($I37),1)="D",LEFT(TRIM($I37),1)="E"))),IF(COUNTIF($M37:$AC37,"?*")&gt;0,", ","")&amp;"respuesta A-E","")</x:f>
      </x:c>
      <x:c r="AE37" t="str">
        <x:f>IF(AND(OR($A37="Ítems agrupados por caso clínico o problema",$A37="Opción de Emparejamiento Ampliado"),COUNTIF($D37:$H37,"?*")&gt;0),IF(COUNTIF($M37:$AD37,"?*")&gt;0,", ","")&amp;"sin incisos","")</x:f>
      </x:c>
      <x:c r="AF37" t="str">
        <x:f>IF(AND($A37="Emparejamiento Ampliado",COUNTIF($D37:$H37,"?*")&lt;2),IF(COUNTIF($M37:$AE37,"?*")&gt;0,", ","")&amp;"minimo 2 claves","")</x:f>
      </x:c>
      <x:c r="AG37" t="str">
        <x:f>IF(AND($A37="Opción de Emparejamiento Ampliado",NOT(OR(LEFT(TRIM($I37),1)="A",LEFT(TRIM($I37),1)="B",LEFT(TRIM($I37),1)="C",LEFT(TRIM($I37),1)="D",LEFT(TRIM($I37),1)="E"))),IF(COUNTIF($M37:$AF37,"?*")&gt;0,", ","")&amp;"respuesta A-E","")</x:f>
      </x:c>
      <x:c r="AK37" s="29" t="str"/>
    </x:row>
    <x:row r="38" ht="24" customHeight="1">
      <x:c r="A38" s="11" t="s">
        <x:v>2</x:v>
      </x:c>
      <x:c r="B38" s="11" t="s">
        <x:v>2</x:v>
      </x:c>
      <x:c r="C38" s="12" t="str">
        <x:f>IF($A38="Emparejamiento Ampliado",VALIDACIONES!$I$1,IF($A38="Respuesta A/B/Ambas/Ninguna","I. "&amp;CHAR(10)&amp;"II. ",""))</x:f>
      </x:c>
      <x:c r="D38" s="11" t="str">
        <x:f>IF($A38="Verdadero o Falso Simple","Verdadero",IF($A38="Respuesta A/B/Ambas/Ninguna","A. Si la primera es verdadera",""))</x:f>
      </x:c>
      <x:c r="E38" s="11" t="str">
        <x:f>IF($A38="Verdadero o Falso Simple","Falso",IF($A38="Respuesta A/B/Ambas/Ninguna","B. Si la segunda es verdadera",""))</x:f>
      </x:c>
      <x:c r="F38" s="11" t="str">
        <x:f>IF($A38="Respuesta A/B/Ambas/Ninguna","C. Si ambas son verdaderas","")</x:f>
      </x:c>
      <x:c r="G38" s="11" t="str">
        <x:f>IF($A38="Respuesta A/B/Ambas/Ninguna","D. Si ninguna es verdadera","")</x:f>
      </x:c>
      <x:c r="H38" s="11" t="s">
        <x:v>2</x:v>
      </x:c>
      <x:c r="I38" s="11" t="str">
        <x:f>IF($A38="Verdadero o Falso Simple","A","")</x:f>
      </x:c>
      <x:c r="J38" s="11" t="s">
        <x:v>2</x:v>
      </x:c>
      <x:c r="K38" s="11" t="s">
        <x:v>4</x:v>
      </x:c>
      <x:c r="L38" s="13" t="str">
        <x:f>IF(TRIM($A38)="","",IF(COUNTIF($M38:$AG38,"?*")=0,"OK","Falta revisar: "&amp;$M38&amp;$N38&amp;$O38&amp;$P38&amp;$Q38&amp;$R38&amp;$S38&amp;$T38&amp;$U38&amp;$V38&amp;$W38&amp;$X38&amp;$Y38&amp;$Z38&amp;$AA38&amp;$AB38&amp;$AC38&amp;$AD38&amp;$AE38&amp;$AF38&amp;$AG38))</x:f>
        <x:v>OK</x:v>
      </x:c>
      <x:c r="M38" t="str">
        <x:f>IF(TRIM($C38)="","enunciado","")</x:f>
        <x:v>enunciado</x:v>
      </x:c>
      <x:c r="N38" t="str">
        <x:f>IF(TRIM($K38)="",IF(COUNTIF($M38:$M38,"?*")&gt;0,", ","")&amp;"parcial","")</x:f>
      </x:c>
      <x:c r="O38" t="str">
        <x:f>IF(AND(TRIM($K38)&lt;&gt;"",TRIM($K38)&lt;&gt;"EF"),IF(COUNTIF($M38:$N38,"?*")&gt;0,", ","")&amp;"parcial distinto a EF","")</x:f>
      </x:c>
      <x:c r="P38" t="str">
        <x:f>IF(AND(OR($A38="Ítems agrupados por caso clínico o problema",$A38="Subítem de caso o problema",$A38="Emparejamiento Ampliado",$A38="Opción de Emparejamiento Ampliado"),TRIM($B38)=""),IF(COUNTIF($M38:$O38,"?*")&gt;0,", ","")&amp;"grupo","")</x:f>
      </x:c>
      <x:c r="Q38" t="str">
        <x:f>IF(AND(OR($A38="Verdadero o Falso Simple",$A38="Respuesta A/B/Ambas/Ninguna",$A38="Verdadero o Falso Complejas",$A38="Selección de la mejor respuesta",$A38="Subítem de caso o problema",$A38="Opción de Emparejamiento Ampliado"),TRIM($I38)=""),IF(COUNTIF($M38:$P38,"?*")&gt;0,", ","")&amp;"respuesta_correcta","")</x:f>
      </x:c>
      <x:c r="R38" t="str">
        <x:f>IF(AND(OR($A38="Verdadero o Falso Simple",$A38="Respuesta A/B/Ambas/Ninguna",$A38="Verdadero o Falso Complejas",$A38="Selección de la mejor respuesta",$A38="Subítem de caso o problema",$A38="Opción de Emparejamiento Ampliado"),TRIM($J38)=""),IF(COUNTIF($M38:$Q38,"?*")&gt;0,", ","")&amp;"dificultad","")</x:f>
      </x:c>
      <x:c r="S38" t="str">
        <x:f>IF(AND(OR($A38="Ítems agrupados por caso clínico o problema",$A38="Emparejamiento Ampliado"),TRIM($I38)&lt;&gt;""),IF(COUNTIF($M38:$R38,"?*")&gt;0,", ","")&amp;"respuesta debe ir vacia","")</x:f>
      </x:c>
      <x:c r="T38" t="str">
        <x:f>IF(AND(OR($A38="Ítems agrupados por caso clínico o problema",$A38="Emparejamiento Ampliado"),TRIM($J38)&lt;&gt;""),IF(COUNTIF($M38:$S38,"?*")&gt;0,", ","")&amp;"dificultad debe ir vacia","")</x:f>
      </x:c>
      <x:c r="U38" t="str">
        <x:f>IF(AND($A38="Verdadero o Falso Simple",OR(COUNTIF($D38:$E38,"?*")&lt;2,COUNTIF($F38:$H38,"?*")&gt;0)),IF(COUNTIF($M38:$T38,"?*")&gt;0,", ","")&amp;"incisos A-B","")</x:f>
      </x:c>
      <x:c r="V38" t="str">
        <x:f>IF(AND($A38="Verdadero o Falso Simple",TRIM($I38)&lt;&gt;"",NOT(OR(LEFT(TRIM($I38),1)="A",LEFT(TRIM($I38),1)="B"))),IF(COUNTIF($M38:$U38,"?*")&gt;0,", ","")&amp;"respuesta A-B","")</x:f>
      </x:c>
      <x:c r="W38" t="str">
        <x:f>IF(AND($A38="Respuesta A/B/Ambas/Ninguna",COUNTIF($D38:$G38,"?*")&lt;4),IF(COUNTIF($M38:$V38,"?*")&gt;0,", ","")&amp;"opciones A-D","")</x:f>
      </x:c>
      <x:c r="X38" t="str">
        <x:f>IF(AND($A38="Respuesta A/B/Ambas/Ninguna",COUNTIF($H38:$H38,"?*")&gt;0),IF(COUNTIF($M38:$W38,"?*")&gt;0,", ","")&amp;"opcion E deshabilitada","")</x:f>
      </x:c>
      <x:c r="Y38" t="str">
        <x:f>IF(AND($A38="Respuesta A/B/Ambas/Ninguna",TRIM($I38)&lt;&gt;"",NOT(OR(LEFT(TRIM($I38),1)="A",LEFT(TRIM($I38),1)="B",LEFT(TRIM($I38),1)="C",LEFT(TRIM($I38),1)="D"))),IF(COUNTIF($M38:$X38,"?*")&gt;0,", ","")&amp;"respuesta A-D","")</x:f>
      </x:c>
      <x:c r="Z38" t="str">
        <x:f>IF(AND($A38="Verdadero o Falso Complejas",OR(LEN(TRIM(SUBSTITUTE($D38,"1.","")))=0,LEN(TRIM(SUBSTITUTE($E38,"2.","")))=0,LEN(TRIM(SUBSTITUTE($F38,"3.","")))=0,LEN(TRIM(SUBSTITUTE($G38,"4.","")))=0)),IF(COUNTIF($M38:$Y38,"?*")&gt;0,", ","")&amp;"incisos 1-4","")</x:f>
      </x:c>
      <x:c r="AA38" t="str">
        <x:f>IF(AND($A38="Verdadero o Falso Complejas",COUNTIF($H38:$H38,"?*")&gt;0),IF(COUNTIF($M38:$Z38,"?*")&gt;0,", ","")&amp;"opcion E deshabilitada","")</x:f>
      </x:c>
      <x:c r="AB38" t="str">
        <x:f>IF(AND($A38="Verdadero o Falso Complejas",TRIM($I38)&lt;&gt;"",NOT(OR(LEFT(TRIM($I38),1)="A",LEFT(TRIM($I38),1)="B",LEFT(TRIM($I38),1)="C",LEFT(TRIM($I38),1)="D",LEFT(TRIM($I38),1)="E"))),IF(COUNTIF($M38:$AA38,"?*")&gt;0,", ","")&amp;"respuesta A-E","")</x:f>
      </x:c>
      <x:c r="AC38" t="str">
        <x:f>IF(AND(OR($A38="Selección de la mejor respuesta",$A38="Subítem de caso o problema"),COUNTIF($D38:$H38,"?*")&lt;5),IF(COUNTIF($M38:$AB38,"?*")&gt;0,", ","")&amp;"incisos A-E","")</x:f>
      </x:c>
      <x:c r="AD38" t="str">
        <x:f>IF(AND(OR($A38="Selección de la mejor respuesta",$A38="Subítem de caso o problema"),TRIM($I38)&lt;&gt;"",NOT(OR(LEFT(TRIM($I38),1)="A",LEFT(TRIM($I38),1)="B",LEFT(TRIM($I38),1)="C",LEFT(TRIM($I38),1)="D",LEFT(TRIM($I38),1)="E"))),IF(COUNTIF($M38:$AC38,"?*")&gt;0,", ","")&amp;"respuesta A-E","")</x:f>
      </x:c>
      <x:c r="AE38" t="str">
        <x:f>IF(AND(OR($A38="Ítems agrupados por caso clínico o problema",$A38="Opción de Emparejamiento Ampliado"),COUNTIF($D38:$H38,"?*")&gt;0),IF(COUNTIF($M38:$AD38,"?*")&gt;0,", ","")&amp;"sin incisos","")</x:f>
      </x:c>
      <x:c r="AF38" t="str">
        <x:f>IF(AND($A38="Emparejamiento Ampliado",COUNTIF($D38:$H38,"?*")&lt;2),IF(COUNTIF($M38:$AE38,"?*")&gt;0,", ","")&amp;"minimo 2 claves","")</x:f>
      </x:c>
      <x:c r="AG38" t="str">
        <x:f>IF(AND($A38="Opción de Emparejamiento Ampliado",NOT(OR(LEFT(TRIM($I38),1)="A",LEFT(TRIM($I38),1)="B",LEFT(TRIM($I38),1)="C",LEFT(TRIM($I38),1)="D",LEFT(TRIM($I38),1)="E"))),IF(COUNTIF($M38:$AF38,"?*")&gt;0,", ","")&amp;"respuesta A-E","")</x:f>
      </x:c>
      <x:c r="AK38" s="29" t="str"/>
    </x:row>
    <x:row r="39" ht="24" customHeight="1">
      <x:c r="A39" s="11" t="s">
        <x:v>2</x:v>
      </x:c>
      <x:c r="B39" s="11" t="s">
        <x:v>2</x:v>
      </x:c>
      <x:c r="C39" s="12" t="str">
        <x:f>IF($A39="Emparejamiento Ampliado",VALIDACIONES!$I$1,IF($A39="Respuesta A/B/Ambas/Ninguna","I. "&amp;CHAR(10)&amp;"II. ",""))</x:f>
      </x:c>
      <x:c r="D39" s="11" t="str">
        <x:f>IF($A39="Verdadero o Falso Simple","Verdadero",IF($A39="Respuesta A/B/Ambas/Ninguna","A. Si la primera es verdadera",""))</x:f>
      </x:c>
      <x:c r="E39" s="11" t="str">
        <x:f>IF($A39="Verdadero o Falso Simple","Falso",IF($A39="Respuesta A/B/Ambas/Ninguna","B. Si la segunda es verdadera",""))</x:f>
      </x:c>
      <x:c r="F39" s="11" t="str">
        <x:f>IF($A39="Respuesta A/B/Ambas/Ninguna","C. Si ambas son verdaderas","")</x:f>
      </x:c>
      <x:c r="G39" s="11" t="str">
        <x:f>IF($A39="Respuesta A/B/Ambas/Ninguna","D. Si ninguna es verdadera","")</x:f>
      </x:c>
      <x:c r="H39" s="11" t="s">
        <x:v>2</x:v>
      </x:c>
      <x:c r="I39" s="11" t="str">
        <x:f>IF($A39="Verdadero o Falso Simple","A","")</x:f>
      </x:c>
      <x:c r="J39" s="11" t="s">
        <x:v>2</x:v>
      </x:c>
      <x:c r="K39" s="11" t="s">
        <x:v>4</x:v>
      </x:c>
      <x:c r="L39" s="13" t="str">
        <x:f>IF(TRIM($A39)="","",IF(COUNTIF($M39:$AG39,"?*")=0,"OK","Falta revisar: "&amp;$M39&amp;$N39&amp;$O39&amp;$P39&amp;$Q39&amp;$R39&amp;$S39&amp;$T39&amp;$U39&amp;$V39&amp;$W39&amp;$X39&amp;$Y39&amp;$Z39&amp;$AA39&amp;$AB39&amp;$AC39&amp;$AD39&amp;$AE39&amp;$AF39&amp;$AG39))</x:f>
        <x:v>OK</x:v>
      </x:c>
      <x:c r="M39" t="str">
        <x:f>IF(TRIM($C39)="","enunciado","")</x:f>
        <x:v>enunciado</x:v>
      </x:c>
      <x:c r="N39" t="str">
        <x:f>IF(TRIM($K39)="",IF(COUNTIF($M39:$M39,"?*")&gt;0,", ","")&amp;"parcial","")</x:f>
      </x:c>
      <x:c r="O39" t="str">
        <x:f>IF(AND(TRIM($K39)&lt;&gt;"",TRIM($K39)&lt;&gt;"EF"),IF(COUNTIF($M39:$N39,"?*")&gt;0,", ","")&amp;"parcial distinto a EF","")</x:f>
      </x:c>
      <x:c r="P39" t="str">
        <x:f>IF(AND(OR($A39="Ítems agrupados por caso clínico o problema",$A39="Subítem de caso o problema",$A39="Emparejamiento Ampliado",$A39="Opción de Emparejamiento Ampliado"),TRIM($B39)=""),IF(COUNTIF($M39:$O39,"?*")&gt;0,", ","")&amp;"grupo","")</x:f>
      </x:c>
      <x:c r="Q39" t="str">
        <x:f>IF(AND(OR($A39="Verdadero o Falso Simple",$A39="Respuesta A/B/Ambas/Ninguna",$A39="Verdadero o Falso Complejas",$A39="Selección de la mejor respuesta",$A39="Subítem de caso o problema",$A39="Opción de Emparejamiento Ampliado"),TRIM($I39)=""),IF(COUNTIF($M39:$P39,"?*")&gt;0,", ","")&amp;"respuesta_correcta","")</x:f>
      </x:c>
      <x:c r="R39" t="str">
        <x:f>IF(AND(OR($A39="Verdadero o Falso Simple",$A39="Respuesta A/B/Ambas/Ninguna",$A39="Verdadero o Falso Complejas",$A39="Selección de la mejor respuesta",$A39="Subítem de caso o problema",$A39="Opción de Emparejamiento Ampliado"),TRIM($J39)=""),IF(COUNTIF($M39:$Q39,"?*")&gt;0,", ","")&amp;"dificultad","")</x:f>
      </x:c>
      <x:c r="S39" t="str">
        <x:f>IF(AND(OR($A39="Ítems agrupados por caso clínico o problema",$A39="Emparejamiento Ampliado"),TRIM($I39)&lt;&gt;""),IF(COUNTIF($M39:$R39,"?*")&gt;0,", ","")&amp;"respuesta debe ir vacia","")</x:f>
      </x:c>
      <x:c r="T39" t="str">
        <x:f>IF(AND(OR($A39="Ítems agrupados por caso clínico o problema",$A39="Emparejamiento Ampliado"),TRIM($J39)&lt;&gt;""),IF(COUNTIF($M39:$S39,"?*")&gt;0,", ","")&amp;"dificultad debe ir vacia","")</x:f>
      </x:c>
      <x:c r="U39" t="str">
        <x:f>IF(AND($A39="Verdadero o Falso Simple",OR(COUNTIF($D39:$E39,"?*")&lt;2,COUNTIF($F39:$H39,"?*")&gt;0)),IF(COUNTIF($M39:$T39,"?*")&gt;0,", ","")&amp;"incisos A-B","")</x:f>
      </x:c>
      <x:c r="V39" t="str">
        <x:f>IF(AND($A39="Verdadero o Falso Simple",TRIM($I39)&lt;&gt;"",NOT(OR(LEFT(TRIM($I39),1)="A",LEFT(TRIM($I39),1)="B"))),IF(COUNTIF($M39:$U39,"?*")&gt;0,", ","")&amp;"respuesta A-B","")</x:f>
      </x:c>
      <x:c r="W39" t="str">
        <x:f>IF(AND($A39="Respuesta A/B/Ambas/Ninguna",COUNTIF($D39:$G39,"?*")&lt;4),IF(COUNTIF($M39:$V39,"?*")&gt;0,", ","")&amp;"opciones A-D","")</x:f>
      </x:c>
      <x:c r="X39" t="str">
        <x:f>IF(AND($A39="Respuesta A/B/Ambas/Ninguna",COUNTIF($H39:$H39,"?*")&gt;0),IF(COUNTIF($M39:$W39,"?*")&gt;0,", ","")&amp;"opcion E deshabilitada","")</x:f>
      </x:c>
      <x:c r="Y39" t="str">
        <x:f>IF(AND($A39="Respuesta A/B/Ambas/Ninguna",TRIM($I39)&lt;&gt;"",NOT(OR(LEFT(TRIM($I39),1)="A",LEFT(TRIM($I39),1)="B",LEFT(TRIM($I39),1)="C",LEFT(TRIM($I39),1)="D"))),IF(COUNTIF($M39:$X39,"?*")&gt;0,", ","")&amp;"respuesta A-D","")</x:f>
      </x:c>
      <x:c r="Z39" t="str">
        <x:f>IF(AND($A39="Verdadero o Falso Complejas",OR(LEN(TRIM(SUBSTITUTE($D39,"1.","")))=0,LEN(TRIM(SUBSTITUTE($E39,"2.","")))=0,LEN(TRIM(SUBSTITUTE($F39,"3.","")))=0,LEN(TRIM(SUBSTITUTE($G39,"4.","")))=0)),IF(COUNTIF($M39:$Y39,"?*")&gt;0,", ","")&amp;"incisos 1-4","")</x:f>
      </x:c>
      <x:c r="AA39" t="str">
        <x:f>IF(AND($A39="Verdadero o Falso Complejas",COUNTIF($H39:$H39,"?*")&gt;0),IF(COUNTIF($M39:$Z39,"?*")&gt;0,", ","")&amp;"opcion E deshabilitada","")</x:f>
      </x:c>
      <x:c r="AB39" t="str">
        <x:f>IF(AND($A39="Verdadero o Falso Complejas",TRIM($I39)&lt;&gt;"",NOT(OR(LEFT(TRIM($I39),1)="A",LEFT(TRIM($I39),1)="B",LEFT(TRIM($I39),1)="C",LEFT(TRIM($I39),1)="D",LEFT(TRIM($I39),1)="E"))),IF(COUNTIF($M39:$AA39,"?*")&gt;0,", ","")&amp;"respuesta A-E","")</x:f>
      </x:c>
      <x:c r="AC39" t="str">
        <x:f>IF(AND(OR($A39="Selección de la mejor respuesta",$A39="Subítem de caso o problema"),COUNTIF($D39:$H39,"?*")&lt;5),IF(COUNTIF($M39:$AB39,"?*")&gt;0,", ","")&amp;"incisos A-E","")</x:f>
      </x:c>
      <x:c r="AD39" t="str">
        <x:f>IF(AND(OR($A39="Selección de la mejor respuesta",$A39="Subítem de caso o problema"),TRIM($I39)&lt;&gt;"",NOT(OR(LEFT(TRIM($I39),1)="A",LEFT(TRIM($I39),1)="B",LEFT(TRIM($I39),1)="C",LEFT(TRIM($I39),1)="D",LEFT(TRIM($I39),1)="E"))),IF(COUNTIF($M39:$AC39,"?*")&gt;0,", ","")&amp;"respuesta A-E","")</x:f>
      </x:c>
      <x:c r="AE39" t="str">
        <x:f>IF(AND(OR($A39="Ítems agrupados por caso clínico o problema",$A39="Opción de Emparejamiento Ampliado"),COUNTIF($D39:$H39,"?*")&gt;0),IF(COUNTIF($M39:$AD39,"?*")&gt;0,", ","")&amp;"sin incisos","")</x:f>
      </x:c>
      <x:c r="AF39" t="str">
        <x:f>IF(AND($A39="Emparejamiento Ampliado",COUNTIF($D39:$H39,"?*")&lt;2),IF(COUNTIF($M39:$AE39,"?*")&gt;0,", ","")&amp;"minimo 2 claves","")</x:f>
      </x:c>
      <x:c r="AG39" t="str">
        <x:f>IF(AND($A39="Opción de Emparejamiento Ampliado",NOT(OR(LEFT(TRIM($I39),1)="A",LEFT(TRIM($I39),1)="B",LEFT(TRIM($I39),1)="C",LEFT(TRIM($I39),1)="D",LEFT(TRIM($I39),1)="E"))),IF(COUNTIF($M39:$AF39,"?*")&gt;0,", ","")&amp;"respuesta A-E","")</x:f>
      </x:c>
      <x:c r="AK39" s="29" t="str"/>
    </x:row>
    <x:row r="40" ht="24" customHeight="1">
      <x:c r="A40" s="11" t="s">
        <x:v>2</x:v>
      </x:c>
      <x:c r="B40" s="11" t="s">
        <x:v>2</x:v>
      </x:c>
      <x:c r="C40" s="12" t="str">
        <x:f>IF($A40="Emparejamiento Ampliado",VALIDACIONES!$I$1,IF($A40="Respuesta A/B/Ambas/Ninguna","I. "&amp;CHAR(10)&amp;"II. ",""))</x:f>
      </x:c>
      <x:c r="D40" s="11" t="str">
        <x:f>IF($A40="Verdadero o Falso Simple","Verdadero",IF($A40="Respuesta A/B/Ambas/Ninguna","A. Si la primera es verdadera",""))</x:f>
      </x:c>
      <x:c r="E40" s="11" t="str">
        <x:f>IF($A40="Verdadero o Falso Simple","Falso",IF($A40="Respuesta A/B/Ambas/Ninguna","B. Si la segunda es verdadera",""))</x:f>
      </x:c>
      <x:c r="F40" s="11" t="str">
        <x:f>IF($A40="Respuesta A/B/Ambas/Ninguna","C. Si ambas son verdaderas","")</x:f>
      </x:c>
      <x:c r="G40" s="11" t="str">
        <x:f>IF($A40="Respuesta A/B/Ambas/Ninguna","D. Si ninguna es verdadera","")</x:f>
      </x:c>
      <x:c r="H40" s="11" t="s">
        <x:v>2</x:v>
      </x:c>
      <x:c r="I40" s="11" t="str">
        <x:f>IF($A40="Verdadero o Falso Simple","A","")</x:f>
      </x:c>
      <x:c r="J40" s="11" t="s">
        <x:v>2</x:v>
      </x:c>
      <x:c r="K40" s="11" t="s">
        <x:v>4</x:v>
      </x:c>
      <x:c r="L40" s="13" t="str">
        <x:f>IF(TRIM($A40)="","",IF(COUNTIF($M40:$AG40,"?*")=0,"OK","Falta revisar: "&amp;$M40&amp;$N40&amp;$O40&amp;$P40&amp;$Q40&amp;$R40&amp;$S40&amp;$T40&amp;$U40&amp;$V40&amp;$W40&amp;$X40&amp;$Y40&amp;$Z40&amp;$AA40&amp;$AB40&amp;$AC40&amp;$AD40&amp;$AE40&amp;$AF40&amp;$AG40))</x:f>
        <x:v>OK</x:v>
      </x:c>
      <x:c r="M40" t="str">
        <x:f>IF(TRIM($C40)="","enunciado","")</x:f>
        <x:v>enunciado</x:v>
      </x:c>
      <x:c r="N40" t="str">
        <x:f>IF(TRIM($K40)="",IF(COUNTIF($M40:$M40,"?*")&gt;0,", ","")&amp;"parcial","")</x:f>
      </x:c>
      <x:c r="O40" t="str">
        <x:f>IF(AND(TRIM($K40)&lt;&gt;"",TRIM($K40)&lt;&gt;"EF"),IF(COUNTIF($M40:$N40,"?*")&gt;0,", ","")&amp;"parcial distinto a EF","")</x:f>
      </x:c>
      <x:c r="P40" t="str">
        <x:f>IF(AND(OR($A40="Ítems agrupados por caso clínico o problema",$A40="Subítem de caso o problema",$A40="Emparejamiento Ampliado",$A40="Opción de Emparejamiento Ampliado"),TRIM($B40)=""),IF(COUNTIF($M40:$O40,"?*")&gt;0,", ","")&amp;"grupo","")</x:f>
      </x:c>
      <x:c r="Q40" t="str">
        <x:f>IF(AND(OR($A40="Verdadero o Falso Simple",$A40="Respuesta A/B/Ambas/Ninguna",$A40="Verdadero o Falso Complejas",$A40="Selección de la mejor respuesta",$A40="Subítem de caso o problema",$A40="Opción de Emparejamiento Ampliado"),TRIM($I40)=""),IF(COUNTIF($M40:$P40,"?*")&gt;0,", ","")&amp;"respuesta_correcta","")</x:f>
      </x:c>
      <x:c r="R40" t="str">
        <x:f>IF(AND(OR($A40="Verdadero o Falso Simple",$A40="Respuesta A/B/Ambas/Ninguna",$A40="Verdadero o Falso Complejas",$A40="Selección de la mejor respuesta",$A40="Subítem de caso o problema",$A40="Opción de Emparejamiento Ampliado"),TRIM($J40)=""),IF(COUNTIF($M40:$Q40,"?*")&gt;0,", ","")&amp;"dificultad","")</x:f>
      </x:c>
      <x:c r="S40" t="str">
        <x:f>IF(AND(OR($A40="Ítems agrupados por caso clínico o problema",$A40="Emparejamiento Ampliado"),TRIM($I40)&lt;&gt;""),IF(COUNTIF($M40:$R40,"?*")&gt;0,", ","")&amp;"respuesta debe ir vacia","")</x:f>
      </x:c>
      <x:c r="T40" t="str">
        <x:f>IF(AND(OR($A40="Ítems agrupados por caso clínico o problema",$A40="Emparejamiento Ampliado"),TRIM($J40)&lt;&gt;""),IF(COUNTIF($M40:$S40,"?*")&gt;0,", ","")&amp;"dificultad debe ir vacia","")</x:f>
      </x:c>
      <x:c r="U40" t="str">
        <x:f>IF(AND($A40="Verdadero o Falso Simple",OR(COUNTIF($D40:$E40,"?*")&lt;2,COUNTIF($F40:$H40,"?*")&gt;0)),IF(COUNTIF($M40:$T40,"?*")&gt;0,", ","")&amp;"incisos A-B","")</x:f>
      </x:c>
      <x:c r="V40" t="str">
        <x:f>IF(AND($A40="Verdadero o Falso Simple",TRIM($I40)&lt;&gt;"",NOT(OR(LEFT(TRIM($I40),1)="A",LEFT(TRIM($I40),1)="B"))),IF(COUNTIF($M40:$U40,"?*")&gt;0,", ","")&amp;"respuesta A-B","")</x:f>
      </x:c>
      <x:c r="W40" t="str">
        <x:f>IF(AND($A40="Respuesta A/B/Ambas/Ninguna",COUNTIF($D40:$G40,"?*")&lt;4),IF(COUNTIF($M40:$V40,"?*")&gt;0,", ","")&amp;"opciones A-D","")</x:f>
      </x:c>
      <x:c r="X40" t="str">
        <x:f>IF(AND($A40="Respuesta A/B/Ambas/Ninguna",COUNTIF($H40:$H40,"?*")&gt;0),IF(COUNTIF($M40:$W40,"?*")&gt;0,", ","")&amp;"opcion E deshabilitada","")</x:f>
      </x:c>
      <x:c r="Y40" t="str">
        <x:f>IF(AND($A40="Respuesta A/B/Ambas/Ninguna",TRIM($I40)&lt;&gt;"",NOT(OR(LEFT(TRIM($I40),1)="A",LEFT(TRIM($I40),1)="B",LEFT(TRIM($I40),1)="C",LEFT(TRIM($I40),1)="D"))),IF(COUNTIF($M40:$X40,"?*")&gt;0,", ","")&amp;"respuesta A-D","")</x:f>
      </x:c>
      <x:c r="Z40" t="str">
        <x:f>IF(AND($A40="Verdadero o Falso Complejas",OR(LEN(TRIM(SUBSTITUTE($D40,"1.","")))=0,LEN(TRIM(SUBSTITUTE($E40,"2.","")))=0,LEN(TRIM(SUBSTITUTE($F40,"3.","")))=0,LEN(TRIM(SUBSTITUTE($G40,"4.","")))=0)),IF(COUNTIF($M40:$Y40,"?*")&gt;0,", ","")&amp;"incisos 1-4","")</x:f>
      </x:c>
      <x:c r="AA40" t="str">
        <x:f>IF(AND($A40="Verdadero o Falso Complejas",COUNTIF($H40:$H40,"?*")&gt;0),IF(COUNTIF($M40:$Z40,"?*")&gt;0,", ","")&amp;"opcion E deshabilitada","")</x:f>
      </x:c>
      <x:c r="AB40" t="str">
        <x:f>IF(AND($A40="Verdadero o Falso Complejas",TRIM($I40)&lt;&gt;"",NOT(OR(LEFT(TRIM($I40),1)="A",LEFT(TRIM($I40),1)="B",LEFT(TRIM($I40),1)="C",LEFT(TRIM($I40),1)="D",LEFT(TRIM($I40),1)="E"))),IF(COUNTIF($M40:$AA40,"?*")&gt;0,", ","")&amp;"respuesta A-E","")</x:f>
      </x:c>
      <x:c r="AC40" t="str">
        <x:f>IF(AND(OR($A40="Selección de la mejor respuesta",$A40="Subítem de caso o problema"),COUNTIF($D40:$H40,"?*")&lt;5),IF(COUNTIF($M40:$AB40,"?*")&gt;0,", ","")&amp;"incisos A-E","")</x:f>
      </x:c>
      <x:c r="AD40" t="str">
        <x:f>IF(AND(OR($A40="Selección de la mejor respuesta",$A40="Subítem de caso o problema"),TRIM($I40)&lt;&gt;"",NOT(OR(LEFT(TRIM($I40),1)="A",LEFT(TRIM($I40),1)="B",LEFT(TRIM($I40),1)="C",LEFT(TRIM($I40),1)="D",LEFT(TRIM($I40),1)="E"))),IF(COUNTIF($M40:$AC40,"?*")&gt;0,", ","")&amp;"respuesta A-E","")</x:f>
      </x:c>
      <x:c r="AE40" t="str">
        <x:f>IF(AND(OR($A40="Ítems agrupados por caso clínico o problema",$A40="Opción de Emparejamiento Ampliado"),COUNTIF($D40:$H40,"?*")&gt;0),IF(COUNTIF($M40:$AD40,"?*")&gt;0,", ","")&amp;"sin incisos","")</x:f>
      </x:c>
      <x:c r="AF40" t="str">
        <x:f>IF(AND($A40="Emparejamiento Ampliado",COUNTIF($D40:$H40,"?*")&lt;2),IF(COUNTIF($M40:$AE40,"?*")&gt;0,", ","")&amp;"minimo 2 claves","")</x:f>
      </x:c>
      <x:c r="AG40" t="str">
        <x:f>IF(AND($A40="Opción de Emparejamiento Ampliado",NOT(OR(LEFT(TRIM($I40),1)="A",LEFT(TRIM($I40),1)="B",LEFT(TRIM($I40),1)="C",LEFT(TRIM($I40),1)="D",LEFT(TRIM($I40),1)="E"))),IF(COUNTIF($M40:$AF40,"?*")&gt;0,", ","")&amp;"respuesta A-E","")</x:f>
      </x:c>
      <x:c r="AK40" s="29" t="str"/>
    </x:row>
    <x:row r="41" ht="24" customHeight="1">
      <x:c r="A41" s="11" t="s">
        <x:v>2</x:v>
      </x:c>
      <x:c r="B41" s="11" t="s">
        <x:v>2</x:v>
      </x:c>
      <x:c r="C41" s="12" t="str">
        <x:f>IF($A41="Emparejamiento Ampliado",VALIDACIONES!$I$1,IF($A41="Respuesta A/B/Ambas/Ninguna","I. "&amp;CHAR(10)&amp;"II. ",""))</x:f>
      </x:c>
      <x:c r="D41" s="11" t="str">
        <x:f>IF($A41="Verdadero o Falso Simple","Verdadero",IF($A41="Respuesta A/B/Ambas/Ninguna","A. Si la primera es verdadera",""))</x:f>
      </x:c>
      <x:c r="E41" s="11" t="str">
        <x:f>IF($A41="Verdadero o Falso Simple","Falso",IF($A41="Respuesta A/B/Ambas/Ninguna","B. Si la segunda es verdadera",""))</x:f>
      </x:c>
      <x:c r="F41" s="11" t="str">
        <x:f>IF($A41="Respuesta A/B/Ambas/Ninguna","C. Si ambas son verdaderas","")</x:f>
      </x:c>
      <x:c r="G41" s="11" t="str">
        <x:f>IF($A41="Respuesta A/B/Ambas/Ninguna","D. Si ninguna es verdadera","")</x:f>
      </x:c>
      <x:c r="H41" s="11" t="s">
        <x:v>2</x:v>
      </x:c>
      <x:c r="I41" s="11" t="str">
        <x:f>IF($A41="Verdadero o Falso Simple","A","")</x:f>
      </x:c>
      <x:c r="J41" s="11" t="s">
        <x:v>2</x:v>
      </x:c>
      <x:c r="K41" s="11" t="s">
        <x:v>4</x:v>
      </x:c>
      <x:c r="L41" s="13" t="str">
        <x:f>IF(TRIM($A41)="","",IF(COUNTIF($M41:$AG41,"?*")=0,"OK","Falta revisar: "&amp;$M41&amp;$N41&amp;$O41&amp;$P41&amp;$Q41&amp;$R41&amp;$S41&amp;$T41&amp;$U41&amp;$V41&amp;$W41&amp;$X41&amp;$Y41&amp;$Z41&amp;$AA41&amp;$AB41&amp;$AC41&amp;$AD41&amp;$AE41&amp;$AF41&amp;$AG41))</x:f>
        <x:v>OK</x:v>
      </x:c>
      <x:c r="M41" t="str">
        <x:f>IF(TRIM($C41)="","enunciado","")</x:f>
        <x:v>enunciado</x:v>
      </x:c>
      <x:c r="N41" t="str">
        <x:f>IF(TRIM($K41)="",IF(COUNTIF($M41:$M41,"?*")&gt;0,", ","")&amp;"parcial","")</x:f>
      </x:c>
      <x:c r="O41" t="str">
        <x:f>IF(AND(TRIM($K41)&lt;&gt;"",TRIM($K41)&lt;&gt;"EF"),IF(COUNTIF($M41:$N41,"?*")&gt;0,", ","")&amp;"parcial distinto a EF","")</x:f>
      </x:c>
      <x:c r="P41" t="str">
        <x:f>IF(AND(OR($A41="Ítems agrupados por caso clínico o problema",$A41="Subítem de caso o problema",$A41="Emparejamiento Ampliado",$A41="Opción de Emparejamiento Ampliado"),TRIM($B41)=""),IF(COUNTIF($M41:$O41,"?*")&gt;0,", ","")&amp;"grupo","")</x:f>
      </x:c>
      <x:c r="Q41" t="str">
        <x:f>IF(AND(OR($A41="Verdadero o Falso Simple",$A41="Respuesta A/B/Ambas/Ninguna",$A41="Verdadero o Falso Complejas",$A41="Selección de la mejor respuesta",$A41="Subítem de caso o problema",$A41="Opción de Emparejamiento Ampliado"),TRIM($I41)=""),IF(COUNTIF($M41:$P41,"?*")&gt;0,", ","")&amp;"respuesta_correcta","")</x:f>
      </x:c>
      <x:c r="R41" t="str">
        <x:f>IF(AND(OR($A41="Verdadero o Falso Simple",$A41="Respuesta A/B/Ambas/Ninguna",$A41="Verdadero o Falso Complejas",$A41="Selección de la mejor respuesta",$A41="Subítem de caso o problema",$A41="Opción de Emparejamiento Ampliado"),TRIM($J41)=""),IF(COUNTIF($M41:$Q41,"?*")&gt;0,", ","")&amp;"dificultad","")</x:f>
      </x:c>
      <x:c r="S41" t="str">
        <x:f>IF(AND(OR($A41="Ítems agrupados por caso clínico o problema",$A41="Emparejamiento Ampliado"),TRIM($I41)&lt;&gt;""),IF(COUNTIF($M41:$R41,"?*")&gt;0,", ","")&amp;"respuesta debe ir vacia","")</x:f>
      </x:c>
      <x:c r="T41" t="str">
        <x:f>IF(AND(OR($A41="Ítems agrupados por caso clínico o problema",$A41="Emparejamiento Ampliado"),TRIM($J41)&lt;&gt;""),IF(COUNTIF($M41:$S41,"?*")&gt;0,", ","")&amp;"dificultad debe ir vacia","")</x:f>
      </x:c>
      <x:c r="U41" t="str">
        <x:f>IF(AND($A41="Verdadero o Falso Simple",OR(COUNTIF($D41:$E41,"?*")&lt;2,COUNTIF($F41:$H41,"?*")&gt;0)),IF(COUNTIF($M41:$T41,"?*")&gt;0,", ","")&amp;"incisos A-B","")</x:f>
      </x:c>
      <x:c r="V41" t="str">
        <x:f>IF(AND($A41="Verdadero o Falso Simple",TRIM($I41)&lt;&gt;"",NOT(OR(LEFT(TRIM($I41),1)="A",LEFT(TRIM($I41),1)="B"))),IF(COUNTIF($M41:$U41,"?*")&gt;0,", ","")&amp;"respuesta A-B","")</x:f>
      </x:c>
      <x:c r="W41" t="str">
        <x:f>IF(AND($A41="Respuesta A/B/Ambas/Ninguna",COUNTIF($D41:$G41,"?*")&lt;4),IF(COUNTIF($M41:$V41,"?*")&gt;0,", ","")&amp;"opciones A-D","")</x:f>
      </x:c>
      <x:c r="X41" t="str">
        <x:f>IF(AND($A41="Respuesta A/B/Ambas/Ninguna",COUNTIF($H41:$H41,"?*")&gt;0),IF(COUNTIF($M41:$W41,"?*")&gt;0,", ","")&amp;"opcion E deshabilitada","")</x:f>
      </x:c>
      <x:c r="Y41" t="str">
        <x:f>IF(AND($A41="Respuesta A/B/Ambas/Ninguna",TRIM($I41)&lt;&gt;"",NOT(OR(LEFT(TRIM($I41),1)="A",LEFT(TRIM($I41),1)="B",LEFT(TRIM($I41),1)="C",LEFT(TRIM($I41),1)="D"))),IF(COUNTIF($M41:$X41,"?*")&gt;0,", ","")&amp;"respuesta A-D","")</x:f>
      </x:c>
      <x:c r="Z41" t="str">
        <x:f>IF(AND($A41="Verdadero o Falso Complejas",OR(LEN(TRIM(SUBSTITUTE($D41,"1.","")))=0,LEN(TRIM(SUBSTITUTE($E41,"2.","")))=0,LEN(TRIM(SUBSTITUTE($F41,"3.","")))=0,LEN(TRIM(SUBSTITUTE($G41,"4.","")))=0)),IF(COUNTIF($M41:$Y41,"?*")&gt;0,", ","")&amp;"incisos 1-4","")</x:f>
      </x:c>
      <x:c r="AA41" t="str">
        <x:f>IF(AND($A41="Verdadero o Falso Complejas",COUNTIF($H41:$H41,"?*")&gt;0),IF(COUNTIF($M41:$Z41,"?*")&gt;0,", ","")&amp;"opcion E deshabilitada","")</x:f>
      </x:c>
      <x:c r="AB41" t="str">
        <x:f>IF(AND($A41="Verdadero o Falso Complejas",TRIM($I41)&lt;&gt;"",NOT(OR(LEFT(TRIM($I41),1)="A",LEFT(TRIM($I41),1)="B",LEFT(TRIM($I41),1)="C",LEFT(TRIM($I41),1)="D",LEFT(TRIM($I41),1)="E"))),IF(COUNTIF($M41:$AA41,"?*")&gt;0,", ","")&amp;"respuesta A-E","")</x:f>
      </x:c>
      <x:c r="AC41" t="str">
        <x:f>IF(AND(OR($A41="Selección de la mejor respuesta",$A41="Subítem de caso o problema"),COUNTIF($D41:$H41,"?*")&lt;5),IF(COUNTIF($M41:$AB41,"?*")&gt;0,", ","")&amp;"incisos A-E","")</x:f>
      </x:c>
      <x:c r="AD41" t="str">
        <x:f>IF(AND(OR($A41="Selección de la mejor respuesta",$A41="Subítem de caso o problema"),TRIM($I41)&lt;&gt;"",NOT(OR(LEFT(TRIM($I41),1)="A",LEFT(TRIM($I41),1)="B",LEFT(TRIM($I41),1)="C",LEFT(TRIM($I41),1)="D",LEFT(TRIM($I41),1)="E"))),IF(COUNTIF($M41:$AC41,"?*")&gt;0,", ","")&amp;"respuesta A-E","")</x:f>
      </x:c>
      <x:c r="AE41" t="str">
        <x:f>IF(AND(OR($A41="Ítems agrupados por caso clínico o problema",$A41="Opción de Emparejamiento Ampliado"),COUNTIF($D41:$H41,"?*")&gt;0),IF(COUNTIF($M41:$AD41,"?*")&gt;0,", ","")&amp;"sin incisos","")</x:f>
      </x:c>
      <x:c r="AF41" t="str">
        <x:f>IF(AND($A41="Emparejamiento Ampliado",COUNTIF($D41:$H41,"?*")&lt;2),IF(COUNTIF($M41:$AE41,"?*")&gt;0,", ","")&amp;"minimo 2 claves","")</x:f>
      </x:c>
      <x:c r="AG41" t="str">
        <x:f>IF(AND($A41="Opción de Emparejamiento Ampliado",NOT(OR(LEFT(TRIM($I41),1)="A",LEFT(TRIM($I41),1)="B",LEFT(TRIM($I41),1)="C",LEFT(TRIM($I41),1)="D",LEFT(TRIM($I41),1)="E"))),IF(COUNTIF($M41:$AF41,"?*")&gt;0,", ","")&amp;"respuesta A-E","")</x:f>
      </x:c>
      <x:c r="AK41" s="29" t="str"/>
    </x:row>
    <x:row r="42" ht="24" customHeight="1">
      <x:c r="A42" s="11" t="s">
        <x:v>2</x:v>
      </x:c>
      <x:c r="B42" s="11" t="s">
        <x:v>2</x:v>
      </x:c>
      <x:c r="C42" s="12" t="str">
        <x:f>IF($A42="Emparejamiento Ampliado",VALIDACIONES!$I$1,IF($A42="Respuesta A/B/Ambas/Ninguna","I. "&amp;CHAR(10)&amp;"II. ",""))</x:f>
      </x:c>
      <x:c r="D42" s="11" t="str">
        <x:f>IF($A42="Verdadero o Falso Simple","Verdadero",IF($A42="Respuesta A/B/Ambas/Ninguna","A. Si la primera es verdadera",""))</x:f>
      </x:c>
      <x:c r="E42" s="11" t="str">
        <x:f>IF($A42="Verdadero o Falso Simple","Falso",IF($A42="Respuesta A/B/Ambas/Ninguna","B. Si la segunda es verdadera",""))</x:f>
      </x:c>
      <x:c r="F42" s="11" t="str">
        <x:f>IF($A42="Respuesta A/B/Ambas/Ninguna","C. Si ambas son verdaderas","")</x:f>
      </x:c>
      <x:c r="G42" s="11" t="str">
        <x:f>IF($A42="Respuesta A/B/Ambas/Ninguna","D. Si ninguna es verdadera","")</x:f>
      </x:c>
      <x:c r="H42" s="11" t="s">
        <x:v>2</x:v>
      </x:c>
      <x:c r="I42" s="11" t="str">
        <x:f>IF($A42="Verdadero o Falso Simple","A","")</x:f>
      </x:c>
      <x:c r="J42" s="11" t="s">
        <x:v>2</x:v>
      </x:c>
      <x:c r="K42" s="11" t="s">
        <x:v>4</x:v>
      </x:c>
      <x:c r="L42" s="13" t="str">
        <x:f>IF(TRIM($A42)="","",IF(COUNTIF($M42:$AG42,"?*")=0,"OK","Falta revisar: "&amp;$M42&amp;$N42&amp;$O42&amp;$P42&amp;$Q42&amp;$R42&amp;$S42&amp;$T42&amp;$U42&amp;$V42&amp;$W42&amp;$X42&amp;$Y42&amp;$Z42&amp;$AA42&amp;$AB42&amp;$AC42&amp;$AD42&amp;$AE42&amp;$AF42&amp;$AG42))</x:f>
        <x:v>OK</x:v>
      </x:c>
      <x:c r="M42" t="str">
        <x:f>IF(TRIM($C42)="","enunciado","")</x:f>
        <x:v>enunciado</x:v>
      </x:c>
      <x:c r="N42" t="str">
        <x:f>IF(TRIM($K42)="",IF(COUNTIF($M42:$M42,"?*")&gt;0,", ","")&amp;"parcial","")</x:f>
      </x:c>
      <x:c r="O42" t="str">
        <x:f>IF(AND(TRIM($K42)&lt;&gt;"",TRIM($K42)&lt;&gt;"EF"),IF(COUNTIF($M42:$N42,"?*")&gt;0,", ","")&amp;"parcial distinto a EF","")</x:f>
      </x:c>
      <x:c r="P42" t="str">
        <x:f>IF(AND(OR($A42="Ítems agrupados por caso clínico o problema",$A42="Subítem de caso o problema",$A42="Emparejamiento Ampliado",$A42="Opción de Emparejamiento Ampliado"),TRIM($B42)=""),IF(COUNTIF($M42:$O42,"?*")&gt;0,", ","")&amp;"grupo","")</x:f>
      </x:c>
      <x:c r="Q42" t="str">
        <x:f>IF(AND(OR($A42="Verdadero o Falso Simple",$A42="Respuesta A/B/Ambas/Ninguna",$A42="Verdadero o Falso Complejas",$A42="Selección de la mejor respuesta",$A42="Subítem de caso o problema",$A42="Opción de Emparejamiento Ampliado"),TRIM($I42)=""),IF(COUNTIF($M42:$P42,"?*")&gt;0,", ","")&amp;"respuesta_correcta","")</x:f>
      </x:c>
      <x:c r="R42" t="str">
        <x:f>IF(AND(OR($A42="Verdadero o Falso Simple",$A42="Respuesta A/B/Ambas/Ninguna",$A42="Verdadero o Falso Complejas",$A42="Selección de la mejor respuesta",$A42="Subítem de caso o problema",$A42="Opción de Emparejamiento Ampliado"),TRIM($J42)=""),IF(COUNTIF($M42:$Q42,"?*")&gt;0,", ","")&amp;"dificultad","")</x:f>
      </x:c>
      <x:c r="S42" t="str">
        <x:f>IF(AND(OR($A42="Ítems agrupados por caso clínico o problema",$A42="Emparejamiento Ampliado"),TRIM($I42)&lt;&gt;""),IF(COUNTIF($M42:$R42,"?*")&gt;0,", ","")&amp;"respuesta debe ir vacia","")</x:f>
      </x:c>
      <x:c r="T42" t="str">
        <x:f>IF(AND(OR($A42="Ítems agrupados por caso clínico o problema",$A42="Emparejamiento Ampliado"),TRIM($J42)&lt;&gt;""),IF(COUNTIF($M42:$S42,"?*")&gt;0,", ","")&amp;"dificultad debe ir vacia","")</x:f>
      </x:c>
      <x:c r="U42" t="str">
        <x:f>IF(AND($A42="Verdadero o Falso Simple",OR(COUNTIF($D42:$E42,"?*")&lt;2,COUNTIF($F42:$H42,"?*")&gt;0)),IF(COUNTIF($M42:$T42,"?*")&gt;0,", ","")&amp;"incisos A-B","")</x:f>
      </x:c>
      <x:c r="V42" t="str">
        <x:f>IF(AND($A42="Verdadero o Falso Simple",TRIM($I42)&lt;&gt;"",NOT(OR(LEFT(TRIM($I42),1)="A",LEFT(TRIM($I42),1)="B"))),IF(COUNTIF($M42:$U42,"?*")&gt;0,", ","")&amp;"respuesta A-B","")</x:f>
      </x:c>
      <x:c r="W42" t="str">
        <x:f>IF(AND($A42="Respuesta A/B/Ambas/Ninguna",COUNTIF($D42:$G42,"?*")&lt;4),IF(COUNTIF($M42:$V42,"?*")&gt;0,", ","")&amp;"opciones A-D","")</x:f>
      </x:c>
      <x:c r="X42" t="str">
        <x:f>IF(AND($A42="Respuesta A/B/Ambas/Ninguna",COUNTIF($H42:$H42,"?*")&gt;0),IF(COUNTIF($M42:$W42,"?*")&gt;0,", ","")&amp;"opcion E deshabilitada","")</x:f>
      </x:c>
      <x:c r="Y42" t="str">
        <x:f>IF(AND($A42="Respuesta A/B/Ambas/Ninguna",TRIM($I42)&lt;&gt;"",NOT(OR(LEFT(TRIM($I42),1)="A",LEFT(TRIM($I42),1)="B",LEFT(TRIM($I42),1)="C",LEFT(TRIM($I42),1)="D"))),IF(COUNTIF($M42:$X42,"?*")&gt;0,", ","")&amp;"respuesta A-D","")</x:f>
      </x:c>
      <x:c r="Z42" t="str">
        <x:f>IF(AND($A42="Verdadero o Falso Complejas",OR(LEN(TRIM(SUBSTITUTE($D42,"1.","")))=0,LEN(TRIM(SUBSTITUTE($E42,"2.","")))=0,LEN(TRIM(SUBSTITUTE($F42,"3.","")))=0,LEN(TRIM(SUBSTITUTE($G42,"4.","")))=0)),IF(COUNTIF($M42:$Y42,"?*")&gt;0,", ","")&amp;"incisos 1-4","")</x:f>
      </x:c>
      <x:c r="AA42" t="str">
        <x:f>IF(AND($A42="Verdadero o Falso Complejas",COUNTIF($H42:$H42,"?*")&gt;0),IF(COUNTIF($M42:$Z42,"?*")&gt;0,", ","")&amp;"opcion E deshabilitada","")</x:f>
      </x:c>
      <x:c r="AB42" t="str">
        <x:f>IF(AND($A42="Verdadero o Falso Complejas",TRIM($I42)&lt;&gt;"",NOT(OR(LEFT(TRIM($I42),1)="A",LEFT(TRIM($I42),1)="B",LEFT(TRIM($I42),1)="C",LEFT(TRIM($I42),1)="D",LEFT(TRIM($I42),1)="E"))),IF(COUNTIF($M42:$AA42,"?*")&gt;0,", ","")&amp;"respuesta A-E","")</x:f>
      </x:c>
      <x:c r="AC42" t="str">
        <x:f>IF(AND(OR($A42="Selección de la mejor respuesta",$A42="Subítem de caso o problema"),COUNTIF($D42:$H42,"?*")&lt;5),IF(COUNTIF($M42:$AB42,"?*")&gt;0,", ","")&amp;"incisos A-E","")</x:f>
      </x:c>
      <x:c r="AD42" t="str">
        <x:f>IF(AND(OR($A42="Selección de la mejor respuesta",$A42="Subítem de caso o problema"),TRIM($I42)&lt;&gt;"",NOT(OR(LEFT(TRIM($I42),1)="A",LEFT(TRIM($I42),1)="B",LEFT(TRIM($I42),1)="C",LEFT(TRIM($I42),1)="D",LEFT(TRIM($I42),1)="E"))),IF(COUNTIF($M42:$AC42,"?*")&gt;0,", ","")&amp;"respuesta A-E","")</x:f>
      </x:c>
      <x:c r="AE42" t="str">
        <x:f>IF(AND(OR($A42="Ítems agrupados por caso clínico o problema",$A42="Opción de Emparejamiento Ampliado"),COUNTIF($D42:$H42,"?*")&gt;0),IF(COUNTIF($M42:$AD42,"?*")&gt;0,", ","")&amp;"sin incisos","")</x:f>
      </x:c>
      <x:c r="AF42" t="str">
        <x:f>IF(AND($A42="Emparejamiento Ampliado",COUNTIF($D42:$H42,"?*")&lt;2),IF(COUNTIF($M42:$AE42,"?*")&gt;0,", ","")&amp;"minimo 2 claves","")</x:f>
      </x:c>
      <x:c r="AG42" t="str">
        <x:f>IF(AND($A42="Opción de Emparejamiento Ampliado",NOT(OR(LEFT(TRIM($I42),1)="A",LEFT(TRIM($I42),1)="B",LEFT(TRIM($I42),1)="C",LEFT(TRIM($I42),1)="D",LEFT(TRIM($I42),1)="E"))),IF(COUNTIF($M42:$AF42,"?*")&gt;0,", ","")&amp;"respuesta A-E","")</x:f>
      </x:c>
      <x:c r="AK42" s="29" t="str"/>
    </x:row>
    <x:row r="43" ht="24" customHeight="1">
      <x:c r="A43" s="11" t="s">
        <x:v>2</x:v>
      </x:c>
      <x:c r="B43" s="11" t="s">
        <x:v>2</x:v>
      </x:c>
      <x:c r="C43" s="12" t="str">
        <x:f>IF($A43="Emparejamiento Ampliado",VALIDACIONES!$I$1,IF($A43="Respuesta A/B/Ambas/Ninguna","I. "&amp;CHAR(10)&amp;"II. ",""))</x:f>
      </x:c>
      <x:c r="D43" s="11" t="str">
        <x:f>IF($A43="Verdadero o Falso Simple","Verdadero",IF($A43="Respuesta A/B/Ambas/Ninguna","A. Si la primera es verdadera",""))</x:f>
      </x:c>
      <x:c r="E43" s="11" t="str">
        <x:f>IF($A43="Verdadero o Falso Simple","Falso",IF($A43="Respuesta A/B/Ambas/Ninguna","B. Si la segunda es verdadera",""))</x:f>
      </x:c>
      <x:c r="F43" s="11" t="str">
        <x:f>IF($A43="Respuesta A/B/Ambas/Ninguna","C. Si ambas son verdaderas","")</x:f>
      </x:c>
      <x:c r="G43" s="11" t="str">
        <x:f>IF($A43="Respuesta A/B/Ambas/Ninguna","D. Si ninguna es verdadera","")</x:f>
      </x:c>
      <x:c r="H43" s="11" t="s">
        <x:v>2</x:v>
      </x:c>
      <x:c r="I43" s="11" t="str">
        <x:f>IF($A43="Verdadero o Falso Simple","A","")</x:f>
      </x:c>
      <x:c r="J43" s="11" t="s">
        <x:v>2</x:v>
      </x:c>
      <x:c r="K43" s="11" t="s">
        <x:v>4</x:v>
      </x:c>
      <x:c r="L43" s="13" t="str">
        <x:f>IF(TRIM($A43)="","",IF(COUNTIF($M43:$AG43,"?*")=0,"OK","Falta revisar: "&amp;$M43&amp;$N43&amp;$O43&amp;$P43&amp;$Q43&amp;$R43&amp;$S43&amp;$T43&amp;$U43&amp;$V43&amp;$W43&amp;$X43&amp;$Y43&amp;$Z43&amp;$AA43&amp;$AB43&amp;$AC43&amp;$AD43&amp;$AE43&amp;$AF43&amp;$AG43))</x:f>
        <x:v>OK</x:v>
      </x:c>
      <x:c r="M43" t="str">
        <x:f>IF(TRIM($C43)="","enunciado","")</x:f>
        <x:v>enunciado</x:v>
      </x:c>
      <x:c r="N43" t="str">
        <x:f>IF(TRIM($K43)="",IF(COUNTIF($M43:$M43,"?*")&gt;0,", ","")&amp;"parcial","")</x:f>
      </x:c>
      <x:c r="O43" t="str">
        <x:f>IF(AND(TRIM($K43)&lt;&gt;"",TRIM($K43)&lt;&gt;"EF"),IF(COUNTIF($M43:$N43,"?*")&gt;0,", ","")&amp;"parcial distinto a EF","")</x:f>
      </x:c>
      <x:c r="P43" t="str">
        <x:f>IF(AND(OR($A43="Ítems agrupados por caso clínico o problema",$A43="Subítem de caso o problema",$A43="Emparejamiento Ampliado",$A43="Opción de Emparejamiento Ampliado"),TRIM($B43)=""),IF(COUNTIF($M43:$O43,"?*")&gt;0,", ","")&amp;"grupo","")</x:f>
      </x:c>
      <x:c r="Q43" t="str">
        <x:f>IF(AND(OR($A43="Verdadero o Falso Simple",$A43="Respuesta A/B/Ambas/Ninguna",$A43="Verdadero o Falso Complejas",$A43="Selección de la mejor respuesta",$A43="Subítem de caso o problema",$A43="Opción de Emparejamiento Ampliado"),TRIM($I43)=""),IF(COUNTIF($M43:$P43,"?*")&gt;0,", ","")&amp;"respuesta_correcta","")</x:f>
      </x:c>
      <x:c r="R43" t="str">
        <x:f>IF(AND(OR($A43="Verdadero o Falso Simple",$A43="Respuesta A/B/Ambas/Ninguna",$A43="Verdadero o Falso Complejas",$A43="Selección de la mejor respuesta",$A43="Subítem de caso o problema",$A43="Opción de Emparejamiento Ampliado"),TRIM($J43)=""),IF(COUNTIF($M43:$Q43,"?*")&gt;0,", ","")&amp;"dificultad","")</x:f>
      </x:c>
      <x:c r="S43" t="str">
        <x:f>IF(AND(OR($A43="Ítems agrupados por caso clínico o problema",$A43="Emparejamiento Ampliado"),TRIM($I43)&lt;&gt;""),IF(COUNTIF($M43:$R43,"?*")&gt;0,", ","")&amp;"respuesta debe ir vacia","")</x:f>
      </x:c>
      <x:c r="T43" t="str">
        <x:f>IF(AND(OR($A43="Ítems agrupados por caso clínico o problema",$A43="Emparejamiento Ampliado"),TRIM($J43)&lt;&gt;""),IF(COUNTIF($M43:$S43,"?*")&gt;0,", ","")&amp;"dificultad debe ir vacia","")</x:f>
      </x:c>
      <x:c r="U43" t="str">
        <x:f>IF(AND($A43="Verdadero o Falso Simple",OR(COUNTIF($D43:$E43,"?*")&lt;2,COUNTIF($F43:$H43,"?*")&gt;0)),IF(COUNTIF($M43:$T43,"?*")&gt;0,", ","")&amp;"incisos A-B","")</x:f>
      </x:c>
      <x:c r="V43" t="str">
        <x:f>IF(AND($A43="Verdadero o Falso Simple",TRIM($I43)&lt;&gt;"",NOT(OR(LEFT(TRIM($I43),1)="A",LEFT(TRIM($I43),1)="B"))),IF(COUNTIF($M43:$U43,"?*")&gt;0,", ","")&amp;"respuesta A-B","")</x:f>
      </x:c>
      <x:c r="W43" t="str">
        <x:f>IF(AND($A43="Respuesta A/B/Ambas/Ninguna",COUNTIF($D43:$G43,"?*")&lt;4),IF(COUNTIF($M43:$V43,"?*")&gt;0,", ","")&amp;"opciones A-D","")</x:f>
      </x:c>
      <x:c r="X43" t="str">
        <x:f>IF(AND($A43="Respuesta A/B/Ambas/Ninguna",COUNTIF($H43:$H43,"?*")&gt;0),IF(COUNTIF($M43:$W43,"?*")&gt;0,", ","")&amp;"opcion E deshabilitada","")</x:f>
      </x:c>
      <x:c r="Y43" t="str">
        <x:f>IF(AND($A43="Respuesta A/B/Ambas/Ninguna",TRIM($I43)&lt;&gt;"",NOT(OR(LEFT(TRIM($I43),1)="A",LEFT(TRIM($I43),1)="B",LEFT(TRIM($I43),1)="C",LEFT(TRIM($I43),1)="D"))),IF(COUNTIF($M43:$X43,"?*")&gt;0,", ","")&amp;"respuesta A-D","")</x:f>
      </x:c>
      <x:c r="Z43" t="str">
        <x:f>IF(AND($A43="Verdadero o Falso Complejas",OR(LEN(TRIM(SUBSTITUTE($D43,"1.","")))=0,LEN(TRIM(SUBSTITUTE($E43,"2.","")))=0,LEN(TRIM(SUBSTITUTE($F43,"3.","")))=0,LEN(TRIM(SUBSTITUTE($G43,"4.","")))=0)),IF(COUNTIF($M43:$Y43,"?*")&gt;0,", ","")&amp;"incisos 1-4","")</x:f>
      </x:c>
      <x:c r="AA43" t="str">
        <x:f>IF(AND($A43="Verdadero o Falso Complejas",COUNTIF($H43:$H43,"?*")&gt;0),IF(COUNTIF($M43:$Z43,"?*")&gt;0,", ","")&amp;"opcion E deshabilitada","")</x:f>
      </x:c>
      <x:c r="AB43" t="str">
        <x:f>IF(AND($A43="Verdadero o Falso Complejas",TRIM($I43)&lt;&gt;"",NOT(OR(LEFT(TRIM($I43),1)="A",LEFT(TRIM($I43),1)="B",LEFT(TRIM($I43),1)="C",LEFT(TRIM($I43),1)="D",LEFT(TRIM($I43),1)="E"))),IF(COUNTIF($M43:$AA43,"?*")&gt;0,", ","")&amp;"respuesta A-E","")</x:f>
      </x:c>
      <x:c r="AC43" t="str">
        <x:f>IF(AND(OR($A43="Selección de la mejor respuesta",$A43="Subítem de caso o problema"),COUNTIF($D43:$H43,"?*")&lt;5),IF(COUNTIF($M43:$AB43,"?*")&gt;0,", ","")&amp;"incisos A-E","")</x:f>
      </x:c>
      <x:c r="AD43" t="str">
        <x:f>IF(AND(OR($A43="Selección de la mejor respuesta",$A43="Subítem de caso o problema"),TRIM($I43)&lt;&gt;"",NOT(OR(LEFT(TRIM($I43),1)="A",LEFT(TRIM($I43),1)="B",LEFT(TRIM($I43),1)="C",LEFT(TRIM($I43),1)="D",LEFT(TRIM($I43),1)="E"))),IF(COUNTIF($M43:$AC43,"?*")&gt;0,", ","")&amp;"respuesta A-E","")</x:f>
      </x:c>
      <x:c r="AE43" t="str">
        <x:f>IF(AND(OR($A43="Ítems agrupados por caso clínico o problema",$A43="Opción de Emparejamiento Ampliado"),COUNTIF($D43:$H43,"?*")&gt;0),IF(COUNTIF($M43:$AD43,"?*")&gt;0,", ","")&amp;"sin incisos","")</x:f>
      </x:c>
      <x:c r="AF43" t="str">
        <x:f>IF(AND($A43="Emparejamiento Ampliado",COUNTIF($D43:$H43,"?*")&lt;2),IF(COUNTIF($M43:$AE43,"?*")&gt;0,", ","")&amp;"minimo 2 claves","")</x:f>
      </x:c>
      <x:c r="AG43" t="str">
        <x:f>IF(AND($A43="Opción de Emparejamiento Ampliado",NOT(OR(LEFT(TRIM($I43),1)="A",LEFT(TRIM($I43),1)="B",LEFT(TRIM($I43),1)="C",LEFT(TRIM($I43),1)="D",LEFT(TRIM($I43),1)="E"))),IF(COUNTIF($M43:$AF43,"?*")&gt;0,", ","")&amp;"respuesta A-E","")</x:f>
      </x:c>
      <x:c r="AK43" s="29" t="str"/>
    </x:row>
    <x:row r="44" ht="24" customHeight="1">
      <x:c r="A44" s="11" t="s">
        <x:v>2</x:v>
      </x:c>
      <x:c r="B44" s="11" t="s">
        <x:v>2</x:v>
      </x:c>
      <x:c r="C44" s="12" t="str">
        <x:f>IF($A44="Emparejamiento Ampliado",VALIDACIONES!$I$1,IF($A44="Respuesta A/B/Ambas/Ninguna","I. "&amp;CHAR(10)&amp;"II. ",""))</x:f>
      </x:c>
      <x:c r="D44" s="11" t="str">
        <x:f>IF($A44="Verdadero o Falso Simple","Verdadero",IF($A44="Respuesta A/B/Ambas/Ninguna","A. Si la primera es verdadera",""))</x:f>
      </x:c>
      <x:c r="E44" s="11" t="str">
        <x:f>IF($A44="Verdadero o Falso Simple","Falso",IF($A44="Respuesta A/B/Ambas/Ninguna","B. Si la segunda es verdadera",""))</x:f>
      </x:c>
      <x:c r="F44" s="11" t="str">
        <x:f>IF($A44="Respuesta A/B/Ambas/Ninguna","C. Si ambas son verdaderas","")</x:f>
      </x:c>
      <x:c r="G44" s="11" t="str">
        <x:f>IF($A44="Respuesta A/B/Ambas/Ninguna","D. Si ninguna es verdadera","")</x:f>
      </x:c>
      <x:c r="H44" s="11" t="s">
        <x:v>2</x:v>
      </x:c>
      <x:c r="I44" s="11" t="str">
        <x:f>IF($A44="Verdadero o Falso Simple","A","")</x:f>
      </x:c>
      <x:c r="J44" s="11" t="s">
        <x:v>2</x:v>
      </x:c>
      <x:c r="K44" s="11" t="s">
        <x:v>4</x:v>
      </x:c>
      <x:c r="L44" s="13" t="str">
        <x:f>IF(TRIM($A44)="","",IF(COUNTIF($M44:$AG44,"?*")=0,"OK","Falta revisar: "&amp;$M44&amp;$N44&amp;$O44&amp;$P44&amp;$Q44&amp;$R44&amp;$S44&amp;$T44&amp;$U44&amp;$V44&amp;$W44&amp;$X44&amp;$Y44&amp;$Z44&amp;$AA44&amp;$AB44&amp;$AC44&amp;$AD44&amp;$AE44&amp;$AF44&amp;$AG44))</x:f>
        <x:v>OK</x:v>
      </x:c>
      <x:c r="M44" t="str">
        <x:f>IF(TRIM($C44)="","enunciado","")</x:f>
        <x:v>enunciado</x:v>
      </x:c>
      <x:c r="N44" t="str">
        <x:f>IF(TRIM($K44)="",IF(COUNTIF($M44:$M44,"?*")&gt;0,", ","")&amp;"parcial","")</x:f>
      </x:c>
      <x:c r="O44" t="str">
        <x:f>IF(AND(TRIM($K44)&lt;&gt;"",TRIM($K44)&lt;&gt;"EF"),IF(COUNTIF($M44:$N44,"?*")&gt;0,", ","")&amp;"parcial distinto a EF","")</x:f>
      </x:c>
      <x:c r="P44" t="str">
        <x:f>IF(AND(OR($A44="Ítems agrupados por caso clínico o problema",$A44="Subítem de caso o problema",$A44="Emparejamiento Ampliado",$A44="Opción de Emparejamiento Ampliado"),TRIM($B44)=""),IF(COUNTIF($M44:$O44,"?*")&gt;0,", ","")&amp;"grupo","")</x:f>
      </x:c>
      <x:c r="Q44" t="str">
        <x:f>IF(AND(OR($A44="Verdadero o Falso Simple",$A44="Respuesta A/B/Ambas/Ninguna",$A44="Verdadero o Falso Complejas",$A44="Selección de la mejor respuesta",$A44="Subítem de caso o problema",$A44="Opción de Emparejamiento Ampliado"),TRIM($I44)=""),IF(COUNTIF($M44:$P44,"?*")&gt;0,", ","")&amp;"respuesta_correcta","")</x:f>
      </x:c>
      <x:c r="R44" t="str">
        <x:f>IF(AND(OR($A44="Verdadero o Falso Simple",$A44="Respuesta A/B/Ambas/Ninguna",$A44="Verdadero o Falso Complejas",$A44="Selección de la mejor respuesta",$A44="Subítem de caso o problema",$A44="Opción de Emparejamiento Ampliado"),TRIM($J44)=""),IF(COUNTIF($M44:$Q44,"?*")&gt;0,", ","")&amp;"dificultad","")</x:f>
      </x:c>
      <x:c r="S44" t="str">
        <x:f>IF(AND(OR($A44="Ítems agrupados por caso clínico o problema",$A44="Emparejamiento Ampliado"),TRIM($I44)&lt;&gt;""),IF(COUNTIF($M44:$R44,"?*")&gt;0,", ","")&amp;"respuesta debe ir vacia","")</x:f>
      </x:c>
      <x:c r="T44" t="str">
        <x:f>IF(AND(OR($A44="Ítems agrupados por caso clínico o problema",$A44="Emparejamiento Ampliado"),TRIM($J44)&lt;&gt;""),IF(COUNTIF($M44:$S44,"?*")&gt;0,", ","")&amp;"dificultad debe ir vacia","")</x:f>
      </x:c>
      <x:c r="U44" t="str">
        <x:f>IF(AND($A44="Verdadero o Falso Simple",OR(COUNTIF($D44:$E44,"?*")&lt;2,COUNTIF($F44:$H44,"?*")&gt;0)),IF(COUNTIF($M44:$T44,"?*")&gt;0,", ","")&amp;"incisos A-B","")</x:f>
      </x:c>
      <x:c r="V44" t="str">
        <x:f>IF(AND($A44="Verdadero o Falso Simple",TRIM($I44)&lt;&gt;"",NOT(OR(LEFT(TRIM($I44),1)="A",LEFT(TRIM($I44),1)="B"))),IF(COUNTIF($M44:$U44,"?*")&gt;0,", ","")&amp;"respuesta A-B","")</x:f>
      </x:c>
      <x:c r="W44" t="str">
        <x:f>IF(AND($A44="Respuesta A/B/Ambas/Ninguna",COUNTIF($D44:$G44,"?*")&lt;4),IF(COUNTIF($M44:$V44,"?*")&gt;0,", ","")&amp;"opciones A-D","")</x:f>
      </x:c>
      <x:c r="X44" t="str">
        <x:f>IF(AND($A44="Respuesta A/B/Ambas/Ninguna",COUNTIF($H44:$H44,"?*")&gt;0),IF(COUNTIF($M44:$W44,"?*")&gt;0,", ","")&amp;"opcion E deshabilitada","")</x:f>
      </x:c>
      <x:c r="Y44" t="str">
        <x:f>IF(AND($A44="Respuesta A/B/Ambas/Ninguna",TRIM($I44)&lt;&gt;"",NOT(OR(LEFT(TRIM($I44),1)="A",LEFT(TRIM($I44),1)="B",LEFT(TRIM($I44),1)="C",LEFT(TRIM($I44),1)="D"))),IF(COUNTIF($M44:$X44,"?*")&gt;0,", ","")&amp;"respuesta A-D","")</x:f>
      </x:c>
      <x:c r="Z44" t="str">
        <x:f>IF(AND($A44="Verdadero o Falso Complejas",OR(LEN(TRIM(SUBSTITUTE($D44,"1.","")))=0,LEN(TRIM(SUBSTITUTE($E44,"2.","")))=0,LEN(TRIM(SUBSTITUTE($F44,"3.","")))=0,LEN(TRIM(SUBSTITUTE($G44,"4.","")))=0)),IF(COUNTIF($M44:$Y44,"?*")&gt;0,", ","")&amp;"incisos 1-4","")</x:f>
      </x:c>
      <x:c r="AA44" t="str">
        <x:f>IF(AND($A44="Verdadero o Falso Complejas",COUNTIF($H44:$H44,"?*")&gt;0),IF(COUNTIF($M44:$Z44,"?*")&gt;0,", ","")&amp;"opcion E deshabilitada","")</x:f>
      </x:c>
      <x:c r="AB44" t="str">
        <x:f>IF(AND($A44="Verdadero o Falso Complejas",TRIM($I44)&lt;&gt;"",NOT(OR(LEFT(TRIM($I44),1)="A",LEFT(TRIM($I44),1)="B",LEFT(TRIM($I44),1)="C",LEFT(TRIM($I44),1)="D",LEFT(TRIM($I44),1)="E"))),IF(COUNTIF($M44:$AA44,"?*")&gt;0,", ","")&amp;"respuesta A-E","")</x:f>
      </x:c>
      <x:c r="AC44" t="str">
        <x:f>IF(AND(OR($A44="Selección de la mejor respuesta",$A44="Subítem de caso o problema"),COUNTIF($D44:$H44,"?*")&lt;5),IF(COUNTIF($M44:$AB44,"?*")&gt;0,", ","")&amp;"incisos A-E","")</x:f>
      </x:c>
      <x:c r="AD44" t="str">
        <x:f>IF(AND(OR($A44="Selección de la mejor respuesta",$A44="Subítem de caso o problema"),TRIM($I44)&lt;&gt;"",NOT(OR(LEFT(TRIM($I44),1)="A",LEFT(TRIM($I44),1)="B",LEFT(TRIM($I44),1)="C",LEFT(TRIM($I44),1)="D",LEFT(TRIM($I44),1)="E"))),IF(COUNTIF($M44:$AC44,"?*")&gt;0,", ","")&amp;"respuesta A-E","")</x:f>
      </x:c>
      <x:c r="AE44" t="str">
        <x:f>IF(AND(OR($A44="Ítems agrupados por caso clínico o problema",$A44="Opción de Emparejamiento Ampliado"),COUNTIF($D44:$H44,"?*")&gt;0),IF(COUNTIF($M44:$AD44,"?*")&gt;0,", ","")&amp;"sin incisos","")</x:f>
      </x:c>
      <x:c r="AF44" t="str">
        <x:f>IF(AND($A44="Emparejamiento Ampliado",COUNTIF($D44:$H44,"?*")&lt;2),IF(COUNTIF($M44:$AE44,"?*")&gt;0,", ","")&amp;"minimo 2 claves","")</x:f>
      </x:c>
      <x:c r="AG44" t="str">
        <x:f>IF(AND($A44="Opción de Emparejamiento Ampliado",NOT(OR(LEFT(TRIM($I44),1)="A",LEFT(TRIM($I44),1)="B",LEFT(TRIM($I44),1)="C",LEFT(TRIM($I44),1)="D",LEFT(TRIM($I44),1)="E"))),IF(COUNTIF($M44:$AF44,"?*")&gt;0,", ","")&amp;"respuesta A-E","")</x:f>
      </x:c>
      <x:c r="AK44" s="29" t="str"/>
    </x:row>
    <x:row r="45" ht="24" customHeight="1">
      <x:c r="A45" s="11" t="s">
        <x:v>2</x:v>
      </x:c>
      <x:c r="B45" s="11" t="s">
        <x:v>2</x:v>
      </x:c>
      <x:c r="C45" s="12" t="str">
        <x:f>IF($A45="Emparejamiento Ampliado",VALIDACIONES!$I$1,IF($A45="Respuesta A/B/Ambas/Ninguna","I. "&amp;CHAR(10)&amp;"II. ",""))</x:f>
      </x:c>
      <x:c r="D45" s="11" t="str">
        <x:f>IF($A45="Verdadero o Falso Simple","Verdadero",IF($A45="Respuesta A/B/Ambas/Ninguna","A. Si la primera es verdadera",""))</x:f>
      </x:c>
      <x:c r="E45" s="11" t="str">
        <x:f>IF($A45="Verdadero o Falso Simple","Falso",IF($A45="Respuesta A/B/Ambas/Ninguna","B. Si la segunda es verdadera",""))</x:f>
      </x:c>
      <x:c r="F45" s="11" t="str">
        <x:f>IF($A45="Respuesta A/B/Ambas/Ninguna","C. Si ambas son verdaderas","")</x:f>
      </x:c>
      <x:c r="G45" s="11" t="str">
        <x:f>IF($A45="Respuesta A/B/Ambas/Ninguna","D. Si ninguna es verdadera","")</x:f>
      </x:c>
      <x:c r="H45" s="11" t="s">
        <x:v>2</x:v>
      </x:c>
      <x:c r="I45" s="11" t="str">
        <x:f>IF($A45="Verdadero o Falso Simple","A","")</x:f>
      </x:c>
      <x:c r="J45" s="11" t="s">
        <x:v>2</x:v>
      </x:c>
      <x:c r="K45" s="11" t="s">
        <x:v>4</x:v>
      </x:c>
      <x:c r="L45" s="13" t="str">
        <x:f>IF(TRIM($A45)="","",IF(COUNTIF($M45:$AG45,"?*")=0,"OK","Falta revisar: "&amp;$M45&amp;$N45&amp;$O45&amp;$P45&amp;$Q45&amp;$R45&amp;$S45&amp;$T45&amp;$U45&amp;$V45&amp;$W45&amp;$X45&amp;$Y45&amp;$Z45&amp;$AA45&amp;$AB45&amp;$AC45&amp;$AD45&amp;$AE45&amp;$AF45&amp;$AG45))</x:f>
        <x:v>OK</x:v>
      </x:c>
      <x:c r="M45" t="str">
        <x:f>IF(TRIM($C45)="","enunciado","")</x:f>
        <x:v>enunciado</x:v>
      </x:c>
      <x:c r="N45" t="str">
        <x:f>IF(TRIM($K45)="",IF(COUNTIF($M45:$M45,"?*")&gt;0,", ","")&amp;"parcial","")</x:f>
      </x:c>
      <x:c r="O45" t="str">
        <x:f>IF(AND(TRIM($K45)&lt;&gt;"",TRIM($K45)&lt;&gt;"EF"),IF(COUNTIF($M45:$N45,"?*")&gt;0,", ","")&amp;"parcial distinto a EF","")</x:f>
      </x:c>
      <x:c r="P45" t="str">
        <x:f>IF(AND(OR($A45="Ítems agrupados por caso clínico o problema",$A45="Subítem de caso o problema",$A45="Emparejamiento Ampliado",$A45="Opción de Emparejamiento Ampliado"),TRIM($B45)=""),IF(COUNTIF($M45:$O45,"?*")&gt;0,", ","")&amp;"grupo","")</x:f>
      </x:c>
      <x:c r="Q45" t="str">
        <x:f>IF(AND(OR($A45="Verdadero o Falso Simple",$A45="Respuesta A/B/Ambas/Ninguna",$A45="Verdadero o Falso Complejas",$A45="Selección de la mejor respuesta",$A45="Subítem de caso o problema",$A45="Opción de Emparejamiento Ampliado"),TRIM($I45)=""),IF(COUNTIF($M45:$P45,"?*")&gt;0,", ","")&amp;"respuesta_correcta","")</x:f>
      </x:c>
      <x:c r="R45" t="str">
        <x:f>IF(AND(OR($A45="Verdadero o Falso Simple",$A45="Respuesta A/B/Ambas/Ninguna",$A45="Verdadero o Falso Complejas",$A45="Selección de la mejor respuesta",$A45="Subítem de caso o problema",$A45="Opción de Emparejamiento Ampliado"),TRIM($J45)=""),IF(COUNTIF($M45:$Q45,"?*")&gt;0,", ","")&amp;"dificultad","")</x:f>
      </x:c>
      <x:c r="S45" t="str">
        <x:f>IF(AND(OR($A45="Ítems agrupados por caso clínico o problema",$A45="Emparejamiento Ampliado"),TRIM($I45)&lt;&gt;""),IF(COUNTIF($M45:$R45,"?*")&gt;0,", ","")&amp;"respuesta debe ir vacia","")</x:f>
      </x:c>
      <x:c r="T45" t="str">
        <x:f>IF(AND(OR($A45="Ítems agrupados por caso clínico o problema",$A45="Emparejamiento Ampliado"),TRIM($J45)&lt;&gt;""),IF(COUNTIF($M45:$S45,"?*")&gt;0,", ","")&amp;"dificultad debe ir vacia","")</x:f>
      </x:c>
      <x:c r="U45" t="str">
        <x:f>IF(AND($A45="Verdadero o Falso Simple",OR(COUNTIF($D45:$E45,"?*")&lt;2,COUNTIF($F45:$H45,"?*")&gt;0)),IF(COUNTIF($M45:$T45,"?*")&gt;0,", ","")&amp;"incisos A-B","")</x:f>
      </x:c>
      <x:c r="V45" t="str">
        <x:f>IF(AND($A45="Verdadero o Falso Simple",TRIM($I45)&lt;&gt;"",NOT(OR(LEFT(TRIM($I45),1)="A",LEFT(TRIM($I45),1)="B"))),IF(COUNTIF($M45:$U45,"?*")&gt;0,", ","")&amp;"respuesta A-B","")</x:f>
      </x:c>
      <x:c r="W45" t="str">
        <x:f>IF(AND($A45="Respuesta A/B/Ambas/Ninguna",COUNTIF($D45:$G45,"?*")&lt;4),IF(COUNTIF($M45:$V45,"?*")&gt;0,", ","")&amp;"opciones A-D","")</x:f>
      </x:c>
      <x:c r="X45" t="str">
        <x:f>IF(AND($A45="Respuesta A/B/Ambas/Ninguna",COUNTIF($H45:$H45,"?*")&gt;0),IF(COUNTIF($M45:$W45,"?*")&gt;0,", ","")&amp;"opcion E deshabilitada","")</x:f>
      </x:c>
      <x:c r="Y45" t="str">
        <x:f>IF(AND($A45="Respuesta A/B/Ambas/Ninguna",TRIM($I45)&lt;&gt;"",NOT(OR(LEFT(TRIM($I45),1)="A",LEFT(TRIM($I45),1)="B",LEFT(TRIM($I45),1)="C",LEFT(TRIM($I45),1)="D"))),IF(COUNTIF($M45:$X45,"?*")&gt;0,", ","")&amp;"respuesta A-D","")</x:f>
      </x:c>
      <x:c r="Z45" t="str">
        <x:f>IF(AND($A45="Verdadero o Falso Complejas",OR(LEN(TRIM(SUBSTITUTE($D45,"1.","")))=0,LEN(TRIM(SUBSTITUTE($E45,"2.","")))=0,LEN(TRIM(SUBSTITUTE($F45,"3.","")))=0,LEN(TRIM(SUBSTITUTE($G45,"4.","")))=0)),IF(COUNTIF($M45:$Y45,"?*")&gt;0,", ","")&amp;"incisos 1-4","")</x:f>
      </x:c>
      <x:c r="AA45" t="str">
        <x:f>IF(AND($A45="Verdadero o Falso Complejas",COUNTIF($H45:$H45,"?*")&gt;0),IF(COUNTIF($M45:$Z45,"?*")&gt;0,", ","")&amp;"opcion E deshabilitada","")</x:f>
      </x:c>
      <x:c r="AB45" t="str">
        <x:f>IF(AND($A45="Verdadero o Falso Complejas",TRIM($I45)&lt;&gt;"",NOT(OR(LEFT(TRIM($I45),1)="A",LEFT(TRIM($I45),1)="B",LEFT(TRIM($I45),1)="C",LEFT(TRIM($I45),1)="D",LEFT(TRIM($I45),1)="E"))),IF(COUNTIF($M45:$AA45,"?*")&gt;0,", ","")&amp;"respuesta A-E","")</x:f>
      </x:c>
      <x:c r="AC45" t="str">
        <x:f>IF(AND(OR($A45="Selección de la mejor respuesta",$A45="Subítem de caso o problema"),COUNTIF($D45:$H45,"?*")&lt;5),IF(COUNTIF($M45:$AB45,"?*")&gt;0,", ","")&amp;"incisos A-E","")</x:f>
      </x:c>
      <x:c r="AD45" t="str">
        <x:f>IF(AND(OR($A45="Selección de la mejor respuesta",$A45="Subítem de caso o problema"),TRIM($I45)&lt;&gt;"",NOT(OR(LEFT(TRIM($I45),1)="A",LEFT(TRIM($I45),1)="B",LEFT(TRIM($I45),1)="C",LEFT(TRIM($I45),1)="D",LEFT(TRIM($I45),1)="E"))),IF(COUNTIF($M45:$AC45,"?*")&gt;0,", ","")&amp;"respuesta A-E","")</x:f>
      </x:c>
      <x:c r="AE45" t="str">
        <x:f>IF(AND(OR($A45="Ítems agrupados por caso clínico o problema",$A45="Opción de Emparejamiento Ampliado"),COUNTIF($D45:$H45,"?*")&gt;0),IF(COUNTIF($M45:$AD45,"?*")&gt;0,", ","")&amp;"sin incisos","")</x:f>
      </x:c>
      <x:c r="AF45" t="str">
        <x:f>IF(AND($A45="Emparejamiento Ampliado",COUNTIF($D45:$H45,"?*")&lt;2),IF(COUNTIF($M45:$AE45,"?*")&gt;0,", ","")&amp;"minimo 2 claves","")</x:f>
      </x:c>
      <x:c r="AG45" t="str">
        <x:f>IF(AND($A45="Opción de Emparejamiento Ampliado",NOT(OR(LEFT(TRIM($I45),1)="A",LEFT(TRIM($I45),1)="B",LEFT(TRIM($I45),1)="C",LEFT(TRIM($I45),1)="D",LEFT(TRIM($I45),1)="E"))),IF(COUNTIF($M45:$AF45,"?*")&gt;0,", ","")&amp;"respuesta A-E","")</x:f>
      </x:c>
      <x:c r="AK45" s="29" t="str"/>
    </x:row>
    <x:row r="46" ht="24" customHeight="1">
      <x:c r="A46" s="11" t="s">
        <x:v>2</x:v>
      </x:c>
      <x:c r="B46" s="11" t="s">
        <x:v>2</x:v>
      </x:c>
      <x:c r="C46" s="12" t="str">
        <x:f>IF($A46="Emparejamiento Ampliado",VALIDACIONES!$I$1,IF($A46="Respuesta A/B/Ambas/Ninguna","I. "&amp;CHAR(10)&amp;"II. ",""))</x:f>
      </x:c>
      <x:c r="D46" s="11" t="str">
        <x:f>IF($A46="Verdadero o Falso Simple","Verdadero",IF($A46="Respuesta A/B/Ambas/Ninguna","A. Si la primera es verdadera",""))</x:f>
      </x:c>
      <x:c r="E46" s="11" t="str">
        <x:f>IF($A46="Verdadero o Falso Simple","Falso",IF($A46="Respuesta A/B/Ambas/Ninguna","B. Si la segunda es verdadera",""))</x:f>
      </x:c>
      <x:c r="F46" s="11" t="str">
        <x:f>IF($A46="Respuesta A/B/Ambas/Ninguna","C. Si ambas son verdaderas","")</x:f>
      </x:c>
      <x:c r="G46" s="11" t="str">
        <x:f>IF($A46="Respuesta A/B/Ambas/Ninguna","D. Si ninguna es verdadera","")</x:f>
      </x:c>
      <x:c r="H46" s="11" t="s">
        <x:v>2</x:v>
      </x:c>
      <x:c r="I46" s="11" t="str">
        <x:f>IF($A46="Verdadero o Falso Simple","A","")</x:f>
      </x:c>
      <x:c r="J46" s="11" t="s">
        <x:v>2</x:v>
      </x:c>
      <x:c r="K46" s="11" t="s">
        <x:v>4</x:v>
      </x:c>
      <x:c r="L46" s="13" t="str">
        <x:f>IF(TRIM($A46)="","",IF(COUNTIF($M46:$AG46,"?*")=0,"OK","Falta revisar: "&amp;$M46&amp;$N46&amp;$O46&amp;$P46&amp;$Q46&amp;$R46&amp;$S46&amp;$T46&amp;$U46&amp;$V46&amp;$W46&amp;$X46&amp;$Y46&amp;$Z46&amp;$AA46&amp;$AB46&amp;$AC46&amp;$AD46&amp;$AE46&amp;$AF46&amp;$AG46))</x:f>
        <x:v>OK</x:v>
      </x:c>
      <x:c r="M46" t="str">
        <x:f>IF(TRIM($C46)="","enunciado","")</x:f>
        <x:v>enunciado</x:v>
      </x:c>
      <x:c r="N46" t="str">
        <x:f>IF(TRIM($K46)="",IF(COUNTIF($M46:$M46,"?*")&gt;0,", ","")&amp;"parcial","")</x:f>
      </x:c>
      <x:c r="O46" t="str">
        <x:f>IF(AND(TRIM($K46)&lt;&gt;"",TRIM($K46)&lt;&gt;"EF"),IF(COUNTIF($M46:$N46,"?*")&gt;0,", ","")&amp;"parcial distinto a EF","")</x:f>
      </x:c>
      <x:c r="P46" t="str">
        <x:f>IF(AND(OR($A46="Ítems agrupados por caso clínico o problema",$A46="Subítem de caso o problema",$A46="Emparejamiento Ampliado",$A46="Opción de Emparejamiento Ampliado"),TRIM($B46)=""),IF(COUNTIF($M46:$O46,"?*")&gt;0,", ","")&amp;"grupo","")</x:f>
      </x:c>
      <x:c r="Q46" t="str">
        <x:f>IF(AND(OR($A46="Verdadero o Falso Simple",$A46="Respuesta A/B/Ambas/Ninguna",$A46="Verdadero o Falso Complejas",$A46="Selección de la mejor respuesta",$A46="Subítem de caso o problema",$A46="Opción de Emparejamiento Ampliado"),TRIM($I46)=""),IF(COUNTIF($M46:$P46,"?*")&gt;0,", ","")&amp;"respuesta_correcta","")</x:f>
      </x:c>
      <x:c r="R46" t="str">
        <x:f>IF(AND(OR($A46="Verdadero o Falso Simple",$A46="Respuesta A/B/Ambas/Ninguna",$A46="Verdadero o Falso Complejas",$A46="Selección de la mejor respuesta",$A46="Subítem de caso o problema",$A46="Opción de Emparejamiento Ampliado"),TRIM($J46)=""),IF(COUNTIF($M46:$Q46,"?*")&gt;0,", ","")&amp;"dificultad","")</x:f>
      </x:c>
      <x:c r="S46" t="str">
        <x:f>IF(AND(OR($A46="Ítems agrupados por caso clínico o problema",$A46="Emparejamiento Ampliado"),TRIM($I46)&lt;&gt;""),IF(COUNTIF($M46:$R46,"?*")&gt;0,", ","")&amp;"respuesta debe ir vacia","")</x:f>
      </x:c>
      <x:c r="T46" t="str">
        <x:f>IF(AND(OR($A46="Ítems agrupados por caso clínico o problema",$A46="Emparejamiento Ampliado"),TRIM($J46)&lt;&gt;""),IF(COUNTIF($M46:$S46,"?*")&gt;0,", ","")&amp;"dificultad debe ir vacia","")</x:f>
      </x:c>
      <x:c r="U46" t="str">
        <x:f>IF(AND($A46="Verdadero o Falso Simple",OR(COUNTIF($D46:$E46,"?*")&lt;2,COUNTIF($F46:$H46,"?*")&gt;0)),IF(COUNTIF($M46:$T46,"?*")&gt;0,", ","")&amp;"incisos A-B","")</x:f>
      </x:c>
      <x:c r="V46" t="str">
        <x:f>IF(AND($A46="Verdadero o Falso Simple",TRIM($I46)&lt;&gt;"",NOT(OR(LEFT(TRIM($I46),1)="A",LEFT(TRIM($I46),1)="B"))),IF(COUNTIF($M46:$U46,"?*")&gt;0,", ","")&amp;"respuesta A-B","")</x:f>
      </x:c>
      <x:c r="W46" t="str">
        <x:f>IF(AND($A46="Respuesta A/B/Ambas/Ninguna",COUNTIF($D46:$G46,"?*")&lt;4),IF(COUNTIF($M46:$V46,"?*")&gt;0,", ","")&amp;"opciones A-D","")</x:f>
      </x:c>
      <x:c r="X46" t="str">
        <x:f>IF(AND($A46="Respuesta A/B/Ambas/Ninguna",COUNTIF($H46:$H46,"?*")&gt;0),IF(COUNTIF($M46:$W46,"?*")&gt;0,", ","")&amp;"opcion E deshabilitada","")</x:f>
      </x:c>
      <x:c r="Y46" t="str">
        <x:f>IF(AND($A46="Respuesta A/B/Ambas/Ninguna",TRIM($I46)&lt;&gt;"",NOT(OR(LEFT(TRIM($I46),1)="A",LEFT(TRIM($I46),1)="B",LEFT(TRIM($I46),1)="C",LEFT(TRIM($I46),1)="D"))),IF(COUNTIF($M46:$X46,"?*")&gt;0,", ","")&amp;"respuesta A-D","")</x:f>
      </x:c>
      <x:c r="Z46" t="str">
        <x:f>IF(AND($A46="Verdadero o Falso Complejas",OR(LEN(TRIM(SUBSTITUTE($D46,"1.","")))=0,LEN(TRIM(SUBSTITUTE($E46,"2.","")))=0,LEN(TRIM(SUBSTITUTE($F46,"3.","")))=0,LEN(TRIM(SUBSTITUTE($G46,"4.","")))=0)),IF(COUNTIF($M46:$Y46,"?*")&gt;0,", ","")&amp;"incisos 1-4","")</x:f>
      </x:c>
      <x:c r="AA46" t="str">
        <x:f>IF(AND($A46="Verdadero o Falso Complejas",COUNTIF($H46:$H46,"?*")&gt;0),IF(COUNTIF($M46:$Z46,"?*")&gt;0,", ","")&amp;"opcion E deshabilitada","")</x:f>
      </x:c>
      <x:c r="AB46" t="str">
        <x:f>IF(AND($A46="Verdadero o Falso Complejas",TRIM($I46)&lt;&gt;"",NOT(OR(LEFT(TRIM($I46),1)="A",LEFT(TRIM($I46),1)="B",LEFT(TRIM($I46),1)="C",LEFT(TRIM($I46),1)="D",LEFT(TRIM($I46),1)="E"))),IF(COUNTIF($M46:$AA46,"?*")&gt;0,", ","")&amp;"respuesta A-E","")</x:f>
      </x:c>
      <x:c r="AC46" t="str">
        <x:f>IF(AND(OR($A46="Selección de la mejor respuesta",$A46="Subítem de caso o problema"),COUNTIF($D46:$H46,"?*")&lt;5),IF(COUNTIF($M46:$AB46,"?*")&gt;0,", ","")&amp;"incisos A-E","")</x:f>
      </x:c>
      <x:c r="AD46" t="str">
        <x:f>IF(AND(OR($A46="Selección de la mejor respuesta",$A46="Subítem de caso o problema"),TRIM($I46)&lt;&gt;"",NOT(OR(LEFT(TRIM($I46),1)="A",LEFT(TRIM($I46),1)="B",LEFT(TRIM($I46),1)="C",LEFT(TRIM($I46),1)="D",LEFT(TRIM($I46),1)="E"))),IF(COUNTIF($M46:$AC46,"?*")&gt;0,", ","")&amp;"respuesta A-E","")</x:f>
      </x:c>
      <x:c r="AE46" t="str">
        <x:f>IF(AND(OR($A46="Ítems agrupados por caso clínico o problema",$A46="Opción de Emparejamiento Ampliado"),COUNTIF($D46:$H46,"?*")&gt;0),IF(COUNTIF($M46:$AD46,"?*")&gt;0,", ","")&amp;"sin incisos","")</x:f>
      </x:c>
      <x:c r="AF46" t="str">
        <x:f>IF(AND($A46="Emparejamiento Ampliado",COUNTIF($D46:$H46,"?*")&lt;2),IF(COUNTIF($M46:$AE46,"?*")&gt;0,", ","")&amp;"minimo 2 claves","")</x:f>
      </x:c>
      <x:c r="AG46" t="str">
        <x:f>IF(AND($A46="Opción de Emparejamiento Ampliado",NOT(OR(LEFT(TRIM($I46),1)="A",LEFT(TRIM($I46),1)="B",LEFT(TRIM($I46),1)="C",LEFT(TRIM($I46),1)="D",LEFT(TRIM($I46),1)="E"))),IF(COUNTIF($M46:$AF46,"?*")&gt;0,", ","")&amp;"respuesta A-E","")</x:f>
      </x:c>
      <x:c r="AK46" s="29" t="str"/>
    </x:row>
    <x:row r="47" ht="24" customHeight="1">
      <x:c r="A47" s="11" t="s">
        <x:v>2</x:v>
      </x:c>
      <x:c r="B47" s="11" t="s">
        <x:v>2</x:v>
      </x:c>
      <x:c r="C47" s="12" t="str">
        <x:f>IF($A47="Emparejamiento Ampliado",VALIDACIONES!$I$1,IF($A47="Respuesta A/B/Ambas/Ninguna","I. "&amp;CHAR(10)&amp;"II. ",""))</x:f>
      </x:c>
      <x:c r="D47" s="11" t="str">
        <x:f>IF($A47="Verdadero o Falso Simple","Verdadero",IF($A47="Respuesta A/B/Ambas/Ninguna","A. Si la primera es verdadera",""))</x:f>
      </x:c>
      <x:c r="E47" s="11" t="str">
        <x:f>IF($A47="Verdadero o Falso Simple","Falso",IF($A47="Respuesta A/B/Ambas/Ninguna","B. Si la segunda es verdadera",""))</x:f>
      </x:c>
      <x:c r="F47" s="11" t="str">
        <x:f>IF($A47="Respuesta A/B/Ambas/Ninguna","C. Si ambas son verdaderas","")</x:f>
      </x:c>
      <x:c r="G47" s="11" t="str">
        <x:f>IF($A47="Respuesta A/B/Ambas/Ninguna","D. Si ninguna es verdadera","")</x:f>
      </x:c>
      <x:c r="H47" s="11" t="s">
        <x:v>2</x:v>
      </x:c>
      <x:c r="I47" s="11" t="str">
        <x:f>IF($A47="Verdadero o Falso Simple","A","")</x:f>
      </x:c>
      <x:c r="J47" s="11" t="s">
        <x:v>2</x:v>
      </x:c>
      <x:c r="K47" s="11" t="s">
        <x:v>4</x:v>
      </x:c>
      <x:c r="L47" s="13" t="str">
        <x:f>IF(TRIM($A47)="","",IF(COUNTIF($M47:$AG47,"?*")=0,"OK","Falta revisar: "&amp;$M47&amp;$N47&amp;$O47&amp;$P47&amp;$Q47&amp;$R47&amp;$S47&amp;$T47&amp;$U47&amp;$V47&amp;$W47&amp;$X47&amp;$Y47&amp;$Z47&amp;$AA47&amp;$AB47&amp;$AC47&amp;$AD47&amp;$AE47&amp;$AF47&amp;$AG47))</x:f>
        <x:v>OK</x:v>
      </x:c>
      <x:c r="M47" t="str">
        <x:f>IF(TRIM($C47)="","enunciado","")</x:f>
        <x:v>enunciado</x:v>
      </x:c>
      <x:c r="N47" t="str">
        <x:f>IF(TRIM($K47)="",IF(COUNTIF($M47:$M47,"?*")&gt;0,", ","")&amp;"parcial","")</x:f>
      </x:c>
      <x:c r="O47" t="str">
        <x:f>IF(AND(TRIM($K47)&lt;&gt;"",TRIM($K47)&lt;&gt;"EF"),IF(COUNTIF($M47:$N47,"?*")&gt;0,", ","")&amp;"parcial distinto a EF","")</x:f>
      </x:c>
      <x:c r="P47" t="str">
        <x:f>IF(AND(OR($A47="Ítems agrupados por caso clínico o problema",$A47="Subítem de caso o problema",$A47="Emparejamiento Ampliado",$A47="Opción de Emparejamiento Ampliado"),TRIM($B47)=""),IF(COUNTIF($M47:$O47,"?*")&gt;0,", ","")&amp;"grupo","")</x:f>
      </x:c>
      <x:c r="Q47" t="str">
        <x:f>IF(AND(OR($A47="Verdadero o Falso Simple",$A47="Respuesta A/B/Ambas/Ninguna",$A47="Verdadero o Falso Complejas",$A47="Selección de la mejor respuesta",$A47="Subítem de caso o problema",$A47="Opción de Emparejamiento Ampliado"),TRIM($I47)=""),IF(COUNTIF($M47:$P47,"?*")&gt;0,", ","")&amp;"respuesta_correcta","")</x:f>
      </x:c>
      <x:c r="R47" t="str">
        <x:f>IF(AND(OR($A47="Verdadero o Falso Simple",$A47="Respuesta A/B/Ambas/Ninguna",$A47="Verdadero o Falso Complejas",$A47="Selección de la mejor respuesta",$A47="Subítem de caso o problema",$A47="Opción de Emparejamiento Ampliado"),TRIM($J47)=""),IF(COUNTIF($M47:$Q47,"?*")&gt;0,", ","")&amp;"dificultad","")</x:f>
      </x:c>
      <x:c r="S47" t="str">
        <x:f>IF(AND(OR($A47="Ítems agrupados por caso clínico o problema",$A47="Emparejamiento Ampliado"),TRIM($I47)&lt;&gt;""),IF(COUNTIF($M47:$R47,"?*")&gt;0,", ","")&amp;"respuesta debe ir vacia","")</x:f>
      </x:c>
      <x:c r="T47" t="str">
        <x:f>IF(AND(OR($A47="Ítems agrupados por caso clínico o problema",$A47="Emparejamiento Ampliado"),TRIM($J47)&lt;&gt;""),IF(COUNTIF($M47:$S47,"?*")&gt;0,", ","")&amp;"dificultad debe ir vacia","")</x:f>
      </x:c>
      <x:c r="U47" t="str">
        <x:f>IF(AND($A47="Verdadero o Falso Simple",OR(COUNTIF($D47:$E47,"?*")&lt;2,COUNTIF($F47:$H47,"?*")&gt;0)),IF(COUNTIF($M47:$T47,"?*")&gt;0,", ","")&amp;"incisos A-B","")</x:f>
      </x:c>
      <x:c r="V47" t="str">
        <x:f>IF(AND($A47="Verdadero o Falso Simple",TRIM($I47)&lt;&gt;"",NOT(OR(LEFT(TRIM($I47),1)="A",LEFT(TRIM($I47),1)="B"))),IF(COUNTIF($M47:$U47,"?*")&gt;0,", ","")&amp;"respuesta A-B","")</x:f>
      </x:c>
      <x:c r="W47" t="str">
        <x:f>IF(AND($A47="Respuesta A/B/Ambas/Ninguna",COUNTIF($D47:$G47,"?*")&lt;4),IF(COUNTIF($M47:$V47,"?*")&gt;0,", ","")&amp;"opciones A-D","")</x:f>
      </x:c>
      <x:c r="X47" t="str">
        <x:f>IF(AND($A47="Respuesta A/B/Ambas/Ninguna",COUNTIF($H47:$H47,"?*")&gt;0),IF(COUNTIF($M47:$W47,"?*")&gt;0,", ","")&amp;"opcion E deshabilitada","")</x:f>
      </x:c>
      <x:c r="Y47" t="str">
        <x:f>IF(AND($A47="Respuesta A/B/Ambas/Ninguna",TRIM($I47)&lt;&gt;"",NOT(OR(LEFT(TRIM($I47),1)="A",LEFT(TRIM($I47),1)="B",LEFT(TRIM($I47),1)="C",LEFT(TRIM($I47),1)="D"))),IF(COUNTIF($M47:$X47,"?*")&gt;0,", ","")&amp;"respuesta A-D","")</x:f>
      </x:c>
      <x:c r="Z47" t="str">
        <x:f>IF(AND($A47="Verdadero o Falso Complejas",OR(LEN(TRIM(SUBSTITUTE($D47,"1.","")))=0,LEN(TRIM(SUBSTITUTE($E47,"2.","")))=0,LEN(TRIM(SUBSTITUTE($F47,"3.","")))=0,LEN(TRIM(SUBSTITUTE($G47,"4.","")))=0)),IF(COUNTIF($M47:$Y47,"?*")&gt;0,", ","")&amp;"incisos 1-4","")</x:f>
      </x:c>
      <x:c r="AA47" t="str">
        <x:f>IF(AND($A47="Verdadero o Falso Complejas",COUNTIF($H47:$H47,"?*")&gt;0),IF(COUNTIF($M47:$Z47,"?*")&gt;0,", ","")&amp;"opcion E deshabilitada","")</x:f>
      </x:c>
      <x:c r="AB47" t="str">
        <x:f>IF(AND($A47="Verdadero o Falso Complejas",TRIM($I47)&lt;&gt;"",NOT(OR(LEFT(TRIM($I47),1)="A",LEFT(TRIM($I47),1)="B",LEFT(TRIM($I47),1)="C",LEFT(TRIM($I47),1)="D",LEFT(TRIM($I47),1)="E"))),IF(COUNTIF($M47:$AA47,"?*")&gt;0,", ","")&amp;"respuesta A-E","")</x:f>
      </x:c>
      <x:c r="AC47" t="str">
        <x:f>IF(AND(OR($A47="Selección de la mejor respuesta",$A47="Subítem de caso o problema"),COUNTIF($D47:$H47,"?*")&lt;5),IF(COUNTIF($M47:$AB47,"?*")&gt;0,", ","")&amp;"incisos A-E","")</x:f>
      </x:c>
      <x:c r="AD47" t="str">
        <x:f>IF(AND(OR($A47="Selección de la mejor respuesta",$A47="Subítem de caso o problema"),TRIM($I47)&lt;&gt;"",NOT(OR(LEFT(TRIM($I47),1)="A",LEFT(TRIM($I47),1)="B",LEFT(TRIM($I47),1)="C",LEFT(TRIM($I47),1)="D",LEFT(TRIM($I47),1)="E"))),IF(COUNTIF($M47:$AC47,"?*")&gt;0,", ","")&amp;"respuesta A-E","")</x:f>
      </x:c>
      <x:c r="AE47" t="str">
        <x:f>IF(AND(OR($A47="Ítems agrupados por caso clínico o problema",$A47="Opción de Emparejamiento Ampliado"),COUNTIF($D47:$H47,"?*")&gt;0),IF(COUNTIF($M47:$AD47,"?*")&gt;0,", ","")&amp;"sin incisos","")</x:f>
      </x:c>
      <x:c r="AF47" t="str">
        <x:f>IF(AND($A47="Emparejamiento Ampliado",COUNTIF($D47:$H47,"?*")&lt;2),IF(COUNTIF($M47:$AE47,"?*")&gt;0,", ","")&amp;"minimo 2 claves","")</x:f>
      </x:c>
      <x:c r="AG47" t="str">
        <x:f>IF(AND($A47="Opción de Emparejamiento Ampliado",NOT(OR(LEFT(TRIM($I47),1)="A",LEFT(TRIM($I47),1)="B",LEFT(TRIM($I47),1)="C",LEFT(TRIM($I47),1)="D",LEFT(TRIM($I47),1)="E"))),IF(COUNTIF($M47:$AF47,"?*")&gt;0,", ","")&amp;"respuesta A-E","")</x:f>
      </x:c>
      <x:c r="AK47" s="29" t="str"/>
    </x:row>
    <x:row r="48" ht="24" customHeight="1">
      <x:c r="A48" s="11" t="s">
        <x:v>2</x:v>
      </x:c>
      <x:c r="B48" s="11" t="s">
        <x:v>2</x:v>
      </x:c>
      <x:c r="C48" s="12" t="str">
        <x:f>IF($A48="Emparejamiento Ampliado",VALIDACIONES!$I$1,IF($A48="Respuesta A/B/Ambas/Ninguna","I. "&amp;CHAR(10)&amp;"II. ",""))</x:f>
      </x:c>
      <x:c r="D48" s="11" t="str">
        <x:f>IF($A48="Verdadero o Falso Simple","Verdadero",IF($A48="Respuesta A/B/Ambas/Ninguna","A. Si la primera es verdadera",""))</x:f>
      </x:c>
      <x:c r="E48" s="11" t="str">
        <x:f>IF($A48="Verdadero o Falso Simple","Falso",IF($A48="Respuesta A/B/Ambas/Ninguna","B. Si la segunda es verdadera",""))</x:f>
      </x:c>
      <x:c r="F48" s="11" t="str">
        <x:f>IF($A48="Respuesta A/B/Ambas/Ninguna","C. Si ambas son verdaderas","")</x:f>
      </x:c>
      <x:c r="G48" s="11" t="str">
        <x:f>IF($A48="Respuesta A/B/Ambas/Ninguna","D. Si ninguna es verdadera","")</x:f>
      </x:c>
      <x:c r="H48" s="11" t="s">
        <x:v>2</x:v>
      </x:c>
      <x:c r="I48" s="11" t="str">
        <x:f>IF($A48="Verdadero o Falso Simple","A","")</x:f>
      </x:c>
      <x:c r="J48" s="11" t="s">
        <x:v>2</x:v>
      </x:c>
      <x:c r="K48" s="11" t="s">
        <x:v>4</x:v>
      </x:c>
      <x:c r="L48" s="13" t="str">
        <x:f>IF(TRIM($A48)="","",IF(COUNTIF($M48:$AG48,"?*")=0,"OK","Falta revisar: "&amp;$M48&amp;$N48&amp;$O48&amp;$P48&amp;$Q48&amp;$R48&amp;$S48&amp;$T48&amp;$U48&amp;$V48&amp;$W48&amp;$X48&amp;$Y48&amp;$Z48&amp;$AA48&amp;$AB48&amp;$AC48&amp;$AD48&amp;$AE48&amp;$AF48&amp;$AG48))</x:f>
        <x:v>OK</x:v>
      </x:c>
      <x:c r="M48" t="str">
        <x:f>IF(TRIM($C48)="","enunciado","")</x:f>
        <x:v>enunciado</x:v>
      </x:c>
      <x:c r="N48" t="str">
        <x:f>IF(TRIM($K48)="",IF(COUNTIF($M48:$M48,"?*")&gt;0,", ","")&amp;"parcial","")</x:f>
      </x:c>
      <x:c r="O48" t="str">
        <x:f>IF(AND(TRIM($K48)&lt;&gt;"",TRIM($K48)&lt;&gt;"EF"),IF(COUNTIF($M48:$N48,"?*")&gt;0,", ","")&amp;"parcial distinto a EF","")</x:f>
      </x:c>
      <x:c r="P48" t="str">
        <x:f>IF(AND(OR($A48="Ítems agrupados por caso clínico o problema",$A48="Subítem de caso o problema",$A48="Emparejamiento Ampliado",$A48="Opción de Emparejamiento Ampliado"),TRIM($B48)=""),IF(COUNTIF($M48:$O48,"?*")&gt;0,", ","")&amp;"grupo","")</x:f>
      </x:c>
      <x:c r="Q48" t="str">
        <x:f>IF(AND(OR($A48="Verdadero o Falso Simple",$A48="Respuesta A/B/Ambas/Ninguna",$A48="Verdadero o Falso Complejas",$A48="Selección de la mejor respuesta",$A48="Subítem de caso o problema",$A48="Opción de Emparejamiento Ampliado"),TRIM($I48)=""),IF(COUNTIF($M48:$P48,"?*")&gt;0,", ","")&amp;"respuesta_correcta","")</x:f>
      </x:c>
      <x:c r="R48" t="str">
        <x:f>IF(AND(OR($A48="Verdadero o Falso Simple",$A48="Respuesta A/B/Ambas/Ninguna",$A48="Verdadero o Falso Complejas",$A48="Selección de la mejor respuesta",$A48="Subítem de caso o problema",$A48="Opción de Emparejamiento Ampliado"),TRIM($J48)=""),IF(COUNTIF($M48:$Q48,"?*")&gt;0,", ","")&amp;"dificultad","")</x:f>
      </x:c>
      <x:c r="S48" t="str">
        <x:f>IF(AND(OR($A48="Ítems agrupados por caso clínico o problema",$A48="Emparejamiento Ampliado"),TRIM($I48)&lt;&gt;""),IF(COUNTIF($M48:$R48,"?*")&gt;0,", ","")&amp;"respuesta debe ir vacia","")</x:f>
      </x:c>
      <x:c r="T48" t="str">
        <x:f>IF(AND(OR($A48="Ítems agrupados por caso clínico o problema",$A48="Emparejamiento Ampliado"),TRIM($J48)&lt;&gt;""),IF(COUNTIF($M48:$S48,"?*")&gt;0,", ","")&amp;"dificultad debe ir vacia","")</x:f>
      </x:c>
      <x:c r="U48" t="str">
        <x:f>IF(AND($A48="Verdadero o Falso Simple",OR(COUNTIF($D48:$E48,"?*")&lt;2,COUNTIF($F48:$H48,"?*")&gt;0)),IF(COUNTIF($M48:$T48,"?*")&gt;0,", ","")&amp;"incisos A-B","")</x:f>
      </x:c>
      <x:c r="V48" t="str">
        <x:f>IF(AND($A48="Verdadero o Falso Simple",TRIM($I48)&lt;&gt;"",NOT(OR(LEFT(TRIM($I48),1)="A",LEFT(TRIM($I48),1)="B"))),IF(COUNTIF($M48:$U48,"?*")&gt;0,", ","")&amp;"respuesta A-B","")</x:f>
      </x:c>
      <x:c r="W48" t="str">
        <x:f>IF(AND($A48="Respuesta A/B/Ambas/Ninguna",COUNTIF($D48:$G48,"?*")&lt;4),IF(COUNTIF($M48:$V48,"?*")&gt;0,", ","")&amp;"opciones A-D","")</x:f>
      </x:c>
      <x:c r="X48" t="str">
        <x:f>IF(AND($A48="Respuesta A/B/Ambas/Ninguna",COUNTIF($H48:$H48,"?*")&gt;0),IF(COUNTIF($M48:$W48,"?*")&gt;0,", ","")&amp;"opcion E deshabilitada","")</x:f>
      </x:c>
      <x:c r="Y48" t="str">
        <x:f>IF(AND($A48="Respuesta A/B/Ambas/Ninguna",TRIM($I48)&lt;&gt;"",NOT(OR(LEFT(TRIM($I48),1)="A",LEFT(TRIM($I48),1)="B",LEFT(TRIM($I48),1)="C",LEFT(TRIM($I48),1)="D"))),IF(COUNTIF($M48:$X48,"?*")&gt;0,", ","")&amp;"respuesta A-D","")</x:f>
      </x:c>
      <x:c r="Z48" t="str">
        <x:f>IF(AND($A48="Verdadero o Falso Complejas",OR(LEN(TRIM(SUBSTITUTE($D48,"1.","")))=0,LEN(TRIM(SUBSTITUTE($E48,"2.","")))=0,LEN(TRIM(SUBSTITUTE($F48,"3.","")))=0,LEN(TRIM(SUBSTITUTE($G48,"4.","")))=0)),IF(COUNTIF($M48:$Y48,"?*")&gt;0,", ","")&amp;"incisos 1-4","")</x:f>
      </x:c>
      <x:c r="AA48" t="str">
        <x:f>IF(AND($A48="Verdadero o Falso Complejas",COUNTIF($H48:$H48,"?*")&gt;0),IF(COUNTIF($M48:$Z48,"?*")&gt;0,", ","")&amp;"opcion E deshabilitada","")</x:f>
      </x:c>
      <x:c r="AB48" t="str">
        <x:f>IF(AND($A48="Verdadero o Falso Complejas",TRIM($I48)&lt;&gt;"",NOT(OR(LEFT(TRIM($I48),1)="A",LEFT(TRIM($I48),1)="B",LEFT(TRIM($I48),1)="C",LEFT(TRIM($I48),1)="D",LEFT(TRIM($I48),1)="E"))),IF(COUNTIF($M48:$AA48,"?*")&gt;0,", ","")&amp;"respuesta A-E","")</x:f>
      </x:c>
      <x:c r="AC48" t="str">
        <x:f>IF(AND(OR($A48="Selección de la mejor respuesta",$A48="Subítem de caso o problema"),COUNTIF($D48:$H48,"?*")&lt;5),IF(COUNTIF($M48:$AB48,"?*")&gt;0,", ","")&amp;"incisos A-E","")</x:f>
      </x:c>
      <x:c r="AD48" t="str">
        <x:f>IF(AND(OR($A48="Selección de la mejor respuesta",$A48="Subítem de caso o problema"),TRIM($I48)&lt;&gt;"",NOT(OR(LEFT(TRIM($I48),1)="A",LEFT(TRIM($I48),1)="B",LEFT(TRIM($I48),1)="C",LEFT(TRIM($I48),1)="D",LEFT(TRIM($I48),1)="E"))),IF(COUNTIF($M48:$AC48,"?*")&gt;0,", ","")&amp;"respuesta A-E","")</x:f>
      </x:c>
      <x:c r="AE48" t="str">
        <x:f>IF(AND(OR($A48="Ítems agrupados por caso clínico o problema",$A48="Opción de Emparejamiento Ampliado"),COUNTIF($D48:$H48,"?*")&gt;0),IF(COUNTIF($M48:$AD48,"?*")&gt;0,", ","")&amp;"sin incisos","")</x:f>
      </x:c>
      <x:c r="AF48" t="str">
        <x:f>IF(AND($A48="Emparejamiento Ampliado",COUNTIF($D48:$H48,"?*")&lt;2),IF(COUNTIF($M48:$AE48,"?*")&gt;0,", ","")&amp;"minimo 2 claves","")</x:f>
      </x:c>
      <x:c r="AG48" t="str">
        <x:f>IF(AND($A48="Opción de Emparejamiento Ampliado",NOT(OR(LEFT(TRIM($I48),1)="A",LEFT(TRIM($I48),1)="B",LEFT(TRIM($I48),1)="C",LEFT(TRIM($I48),1)="D",LEFT(TRIM($I48),1)="E"))),IF(COUNTIF($M48:$AF48,"?*")&gt;0,", ","")&amp;"respuesta A-E","")</x:f>
      </x:c>
      <x:c r="AK48" s="29" t="str"/>
    </x:row>
    <x:row r="49" ht="24" customHeight="1">
      <x:c r="A49" s="11" t="s">
        <x:v>2</x:v>
      </x:c>
      <x:c r="B49" s="11" t="s">
        <x:v>2</x:v>
      </x:c>
      <x:c r="C49" s="12" t="str">
        <x:f>IF($A49="Emparejamiento Ampliado",VALIDACIONES!$I$1,IF($A49="Respuesta A/B/Ambas/Ninguna","I. "&amp;CHAR(10)&amp;"II. ",""))</x:f>
      </x:c>
      <x:c r="D49" s="11" t="str">
        <x:f>IF($A49="Verdadero o Falso Simple","Verdadero",IF($A49="Respuesta A/B/Ambas/Ninguna","A. Si la primera es verdadera",""))</x:f>
      </x:c>
      <x:c r="E49" s="11" t="str">
        <x:f>IF($A49="Verdadero o Falso Simple","Falso",IF($A49="Respuesta A/B/Ambas/Ninguna","B. Si la segunda es verdadera",""))</x:f>
      </x:c>
      <x:c r="F49" s="11" t="str">
        <x:f>IF($A49="Respuesta A/B/Ambas/Ninguna","C. Si ambas son verdaderas","")</x:f>
      </x:c>
      <x:c r="G49" s="11" t="str">
        <x:f>IF($A49="Respuesta A/B/Ambas/Ninguna","D. Si ninguna es verdadera","")</x:f>
      </x:c>
      <x:c r="H49" s="11" t="s">
        <x:v>2</x:v>
      </x:c>
      <x:c r="I49" s="11" t="str">
        <x:f>IF($A49="Verdadero o Falso Simple","A","")</x:f>
      </x:c>
      <x:c r="J49" s="11" t="s">
        <x:v>2</x:v>
      </x:c>
      <x:c r="K49" s="11" t="s">
        <x:v>4</x:v>
      </x:c>
      <x:c r="L49" s="13" t="str">
        <x:f>IF(TRIM($A49)="","",IF(COUNTIF($M49:$AG49,"?*")=0,"OK","Falta revisar: "&amp;$M49&amp;$N49&amp;$O49&amp;$P49&amp;$Q49&amp;$R49&amp;$S49&amp;$T49&amp;$U49&amp;$V49&amp;$W49&amp;$X49&amp;$Y49&amp;$Z49&amp;$AA49&amp;$AB49&amp;$AC49&amp;$AD49&amp;$AE49&amp;$AF49&amp;$AG49))</x:f>
        <x:v>OK</x:v>
      </x:c>
      <x:c r="M49" t="str">
        <x:f>IF(TRIM($C49)="","enunciado","")</x:f>
        <x:v>enunciado</x:v>
      </x:c>
      <x:c r="N49" t="str">
        <x:f>IF(TRIM($K49)="",IF(COUNTIF($M49:$M49,"?*")&gt;0,", ","")&amp;"parcial","")</x:f>
      </x:c>
      <x:c r="O49" t="str">
        <x:f>IF(AND(TRIM($K49)&lt;&gt;"",TRIM($K49)&lt;&gt;"EF"),IF(COUNTIF($M49:$N49,"?*")&gt;0,", ","")&amp;"parcial distinto a EF","")</x:f>
      </x:c>
      <x:c r="P49" t="str">
        <x:f>IF(AND(OR($A49="Ítems agrupados por caso clínico o problema",$A49="Subítem de caso o problema",$A49="Emparejamiento Ampliado",$A49="Opción de Emparejamiento Ampliado"),TRIM($B49)=""),IF(COUNTIF($M49:$O49,"?*")&gt;0,", ","")&amp;"grupo","")</x:f>
      </x:c>
      <x:c r="Q49" t="str">
        <x:f>IF(AND(OR($A49="Verdadero o Falso Simple",$A49="Respuesta A/B/Ambas/Ninguna",$A49="Verdadero o Falso Complejas",$A49="Selección de la mejor respuesta",$A49="Subítem de caso o problema",$A49="Opción de Emparejamiento Ampliado"),TRIM($I49)=""),IF(COUNTIF($M49:$P49,"?*")&gt;0,", ","")&amp;"respuesta_correcta","")</x:f>
      </x:c>
      <x:c r="R49" t="str">
        <x:f>IF(AND(OR($A49="Verdadero o Falso Simple",$A49="Respuesta A/B/Ambas/Ninguna",$A49="Verdadero o Falso Complejas",$A49="Selección de la mejor respuesta",$A49="Subítem de caso o problema",$A49="Opción de Emparejamiento Ampliado"),TRIM($J49)=""),IF(COUNTIF($M49:$Q49,"?*")&gt;0,", ","")&amp;"dificultad","")</x:f>
      </x:c>
      <x:c r="S49" t="str">
        <x:f>IF(AND(OR($A49="Ítems agrupados por caso clínico o problema",$A49="Emparejamiento Ampliado"),TRIM($I49)&lt;&gt;""),IF(COUNTIF($M49:$R49,"?*")&gt;0,", ","")&amp;"respuesta debe ir vacia","")</x:f>
      </x:c>
      <x:c r="T49" t="str">
        <x:f>IF(AND(OR($A49="Ítems agrupados por caso clínico o problema",$A49="Emparejamiento Ampliado"),TRIM($J49)&lt;&gt;""),IF(COUNTIF($M49:$S49,"?*")&gt;0,", ","")&amp;"dificultad debe ir vacia","")</x:f>
      </x:c>
      <x:c r="U49" t="str">
        <x:f>IF(AND($A49="Verdadero o Falso Simple",OR(COUNTIF($D49:$E49,"?*")&lt;2,COUNTIF($F49:$H49,"?*")&gt;0)),IF(COUNTIF($M49:$T49,"?*")&gt;0,", ","")&amp;"incisos A-B","")</x:f>
      </x:c>
      <x:c r="V49" t="str">
        <x:f>IF(AND($A49="Verdadero o Falso Simple",TRIM($I49)&lt;&gt;"",NOT(OR(LEFT(TRIM($I49),1)="A",LEFT(TRIM($I49),1)="B"))),IF(COUNTIF($M49:$U49,"?*")&gt;0,", ","")&amp;"respuesta A-B","")</x:f>
      </x:c>
      <x:c r="W49" t="str">
        <x:f>IF(AND($A49="Respuesta A/B/Ambas/Ninguna",COUNTIF($D49:$G49,"?*")&lt;4),IF(COUNTIF($M49:$V49,"?*")&gt;0,", ","")&amp;"opciones A-D","")</x:f>
      </x:c>
      <x:c r="X49" t="str">
        <x:f>IF(AND($A49="Respuesta A/B/Ambas/Ninguna",COUNTIF($H49:$H49,"?*")&gt;0),IF(COUNTIF($M49:$W49,"?*")&gt;0,", ","")&amp;"opcion E deshabilitada","")</x:f>
      </x:c>
      <x:c r="Y49" t="str">
        <x:f>IF(AND($A49="Respuesta A/B/Ambas/Ninguna",TRIM($I49)&lt;&gt;"",NOT(OR(LEFT(TRIM($I49),1)="A",LEFT(TRIM($I49),1)="B",LEFT(TRIM($I49),1)="C",LEFT(TRIM($I49),1)="D"))),IF(COUNTIF($M49:$X49,"?*")&gt;0,", ","")&amp;"respuesta A-D","")</x:f>
      </x:c>
      <x:c r="Z49" t="str">
        <x:f>IF(AND($A49="Verdadero o Falso Complejas",OR(LEN(TRIM(SUBSTITUTE($D49,"1.","")))=0,LEN(TRIM(SUBSTITUTE($E49,"2.","")))=0,LEN(TRIM(SUBSTITUTE($F49,"3.","")))=0,LEN(TRIM(SUBSTITUTE($G49,"4.","")))=0)),IF(COUNTIF($M49:$Y49,"?*")&gt;0,", ","")&amp;"incisos 1-4","")</x:f>
      </x:c>
      <x:c r="AA49" t="str">
        <x:f>IF(AND($A49="Verdadero o Falso Complejas",COUNTIF($H49:$H49,"?*")&gt;0),IF(COUNTIF($M49:$Z49,"?*")&gt;0,", ","")&amp;"opcion E deshabilitada","")</x:f>
      </x:c>
      <x:c r="AB49" t="str">
        <x:f>IF(AND($A49="Verdadero o Falso Complejas",TRIM($I49)&lt;&gt;"",NOT(OR(LEFT(TRIM($I49),1)="A",LEFT(TRIM($I49),1)="B",LEFT(TRIM($I49),1)="C",LEFT(TRIM($I49),1)="D",LEFT(TRIM($I49),1)="E"))),IF(COUNTIF($M49:$AA49,"?*")&gt;0,", ","")&amp;"respuesta A-E","")</x:f>
      </x:c>
      <x:c r="AC49" t="str">
        <x:f>IF(AND(OR($A49="Selección de la mejor respuesta",$A49="Subítem de caso o problema"),COUNTIF($D49:$H49,"?*")&lt;5),IF(COUNTIF($M49:$AB49,"?*")&gt;0,", ","")&amp;"incisos A-E","")</x:f>
      </x:c>
      <x:c r="AD49" t="str">
        <x:f>IF(AND(OR($A49="Selección de la mejor respuesta",$A49="Subítem de caso o problema"),TRIM($I49)&lt;&gt;"",NOT(OR(LEFT(TRIM($I49),1)="A",LEFT(TRIM($I49),1)="B",LEFT(TRIM($I49),1)="C",LEFT(TRIM($I49),1)="D",LEFT(TRIM($I49),1)="E"))),IF(COUNTIF($M49:$AC49,"?*")&gt;0,", ","")&amp;"respuesta A-E","")</x:f>
      </x:c>
      <x:c r="AE49" t="str">
        <x:f>IF(AND(OR($A49="Ítems agrupados por caso clínico o problema",$A49="Opción de Emparejamiento Ampliado"),COUNTIF($D49:$H49,"?*")&gt;0),IF(COUNTIF($M49:$AD49,"?*")&gt;0,", ","")&amp;"sin incisos","")</x:f>
      </x:c>
      <x:c r="AF49" t="str">
        <x:f>IF(AND($A49="Emparejamiento Ampliado",COUNTIF($D49:$H49,"?*")&lt;2),IF(COUNTIF($M49:$AE49,"?*")&gt;0,", ","")&amp;"minimo 2 claves","")</x:f>
      </x:c>
      <x:c r="AG49" t="str">
        <x:f>IF(AND($A49="Opción de Emparejamiento Ampliado",NOT(OR(LEFT(TRIM($I49),1)="A",LEFT(TRIM($I49),1)="B",LEFT(TRIM($I49),1)="C",LEFT(TRIM($I49),1)="D",LEFT(TRIM($I49),1)="E"))),IF(COUNTIF($M49:$AF49,"?*")&gt;0,", ","")&amp;"respuesta A-E","")</x:f>
      </x:c>
      <x:c r="AK49" s="29" t="str"/>
    </x:row>
    <x:row r="50" ht="24" customHeight="1">
      <x:c r="A50" s="11" t="s">
        <x:v>2</x:v>
      </x:c>
      <x:c r="B50" s="11" t="s">
        <x:v>2</x:v>
      </x:c>
      <x:c r="C50" s="12" t="str">
        <x:f>IF($A50="Emparejamiento Ampliado",VALIDACIONES!$I$1,IF($A50="Respuesta A/B/Ambas/Ninguna","I. "&amp;CHAR(10)&amp;"II. ",""))</x:f>
      </x:c>
      <x:c r="D50" s="11" t="str">
        <x:f>IF($A50="Verdadero o Falso Simple","Verdadero",IF($A50="Respuesta A/B/Ambas/Ninguna","A. Si la primera es verdadera",""))</x:f>
      </x:c>
      <x:c r="E50" s="11" t="str">
        <x:f>IF($A50="Verdadero o Falso Simple","Falso",IF($A50="Respuesta A/B/Ambas/Ninguna","B. Si la segunda es verdadera",""))</x:f>
      </x:c>
      <x:c r="F50" s="11" t="str">
        <x:f>IF($A50="Respuesta A/B/Ambas/Ninguna","C. Si ambas son verdaderas","")</x:f>
      </x:c>
      <x:c r="G50" s="11" t="str">
        <x:f>IF($A50="Respuesta A/B/Ambas/Ninguna","D. Si ninguna es verdadera","")</x:f>
      </x:c>
      <x:c r="H50" s="11" t="s">
        <x:v>2</x:v>
      </x:c>
      <x:c r="I50" s="11" t="str">
        <x:f>IF($A50="Verdadero o Falso Simple","A","")</x:f>
      </x:c>
      <x:c r="J50" s="11" t="s">
        <x:v>2</x:v>
      </x:c>
      <x:c r="K50" s="11" t="s">
        <x:v>4</x:v>
      </x:c>
      <x:c r="L50" s="13" t="str">
        <x:f>IF(TRIM($A50)="","",IF(COUNTIF($M50:$AG50,"?*")=0,"OK","Falta revisar: "&amp;$M50&amp;$N50&amp;$O50&amp;$P50&amp;$Q50&amp;$R50&amp;$S50&amp;$T50&amp;$U50&amp;$V50&amp;$W50&amp;$X50&amp;$Y50&amp;$Z50&amp;$AA50&amp;$AB50&amp;$AC50&amp;$AD50&amp;$AE50&amp;$AF50&amp;$AG50))</x:f>
        <x:v>OK</x:v>
      </x:c>
      <x:c r="M50" t="str">
        <x:f>IF(TRIM($C50)="","enunciado","")</x:f>
        <x:v>enunciado</x:v>
      </x:c>
      <x:c r="N50" t="str">
        <x:f>IF(TRIM($K50)="",IF(COUNTIF($M50:$M50,"?*")&gt;0,", ","")&amp;"parcial","")</x:f>
      </x:c>
      <x:c r="O50" t="str">
        <x:f>IF(AND(TRIM($K50)&lt;&gt;"",TRIM($K50)&lt;&gt;"EF"),IF(COUNTIF($M50:$N50,"?*")&gt;0,", ","")&amp;"parcial distinto a EF","")</x:f>
      </x:c>
      <x:c r="P50" t="str">
        <x:f>IF(AND(OR($A50="Ítems agrupados por caso clínico o problema",$A50="Subítem de caso o problema",$A50="Emparejamiento Ampliado",$A50="Opción de Emparejamiento Ampliado"),TRIM($B50)=""),IF(COUNTIF($M50:$O50,"?*")&gt;0,", ","")&amp;"grupo","")</x:f>
      </x:c>
      <x:c r="Q50" t="str">
        <x:f>IF(AND(OR($A50="Verdadero o Falso Simple",$A50="Respuesta A/B/Ambas/Ninguna",$A50="Verdadero o Falso Complejas",$A50="Selección de la mejor respuesta",$A50="Subítem de caso o problema",$A50="Opción de Emparejamiento Ampliado"),TRIM($I50)=""),IF(COUNTIF($M50:$P50,"?*")&gt;0,", ","")&amp;"respuesta_correcta","")</x:f>
      </x:c>
      <x:c r="R50" t="str">
        <x:f>IF(AND(OR($A50="Verdadero o Falso Simple",$A50="Respuesta A/B/Ambas/Ninguna",$A50="Verdadero o Falso Complejas",$A50="Selección de la mejor respuesta",$A50="Subítem de caso o problema",$A50="Opción de Emparejamiento Ampliado"),TRIM($J50)=""),IF(COUNTIF($M50:$Q50,"?*")&gt;0,", ","")&amp;"dificultad","")</x:f>
      </x:c>
      <x:c r="S50" t="str">
        <x:f>IF(AND(OR($A50="Ítems agrupados por caso clínico o problema",$A50="Emparejamiento Ampliado"),TRIM($I50)&lt;&gt;""),IF(COUNTIF($M50:$R50,"?*")&gt;0,", ","")&amp;"respuesta debe ir vacia","")</x:f>
      </x:c>
      <x:c r="T50" t="str">
        <x:f>IF(AND(OR($A50="Ítems agrupados por caso clínico o problema",$A50="Emparejamiento Ampliado"),TRIM($J50)&lt;&gt;""),IF(COUNTIF($M50:$S50,"?*")&gt;0,", ","")&amp;"dificultad debe ir vacia","")</x:f>
      </x:c>
      <x:c r="U50" t="str">
        <x:f>IF(AND($A50="Verdadero o Falso Simple",OR(COUNTIF($D50:$E50,"?*")&lt;2,COUNTIF($F50:$H50,"?*")&gt;0)),IF(COUNTIF($M50:$T50,"?*")&gt;0,", ","")&amp;"incisos A-B","")</x:f>
      </x:c>
      <x:c r="V50" t="str">
        <x:f>IF(AND($A50="Verdadero o Falso Simple",TRIM($I50)&lt;&gt;"",NOT(OR(LEFT(TRIM($I50),1)="A",LEFT(TRIM($I50),1)="B"))),IF(COUNTIF($M50:$U50,"?*")&gt;0,", ","")&amp;"respuesta A-B","")</x:f>
      </x:c>
      <x:c r="W50" t="str">
        <x:f>IF(AND($A50="Respuesta A/B/Ambas/Ninguna",COUNTIF($D50:$G50,"?*")&lt;4),IF(COUNTIF($M50:$V50,"?*")&gt;0,", ","")&amp;"opciones A-D","")</x:f>
      </x:c>
      <x:c r="X50" t="str">
        <x:f>IF(AND($A50="Respuesta A/B/Ambas/Ninguna",COUNTIF($H50:$H50,"?*")&gt;0),IF(COUNTIF($M50:$W50,"?*")&gt;0,", ","")&amp;"opcion E deshabilitada","")</x:f>
      </x:c>
      <x:c r="Y50" t="str">
        <x:f>IF(AND($A50="Respuesta A/B/Ambas/Ninguna",TRIM($I50)&lt;&gt;"",NOT(OR(LEFT(TRIM($I50),1)="A",LEFT(TRIM($I50),1)="B",LEFT(TRIM($I50),1)="C",LEFT(TRIM($I50),1)="D"))),IF(COUNTIF($M50:$X50,"?*")&gt;0,", ","")&amp;"respuesta A-D","")</x:f>
      </x:c>
      <x:c r="Z50" t="str">
        <x:f>IF(AND($A50="Verdadero o Falso Complejas",OR(LEN(TRIM(SUBSTITUTE($D50,"1.","")))=0,LEN(TRIM(SUBSTITUTE($E50,"2.","")))=0,LEN(TRIM(SUBSTITUTE($F50,"3.","")))=0,LEN(TRIM(SUBSTITUTE($G50,"4.","")))=0)),IF(COUNTIF($M50:$Y50,"?*")&gt;0,", ","")&amp;"incisos 1-4","")</x:f>
      </x:c>
      <x:c r="AA50" t="str">
        <x:f>IF(AND($A50="Verdadero o Falso Complejas",COUNTIF($H50:$H50,"?*")&gt;0),IF(COUNTIF($M50:$Z50,"?*")&gt;0,", ","")&amp;"opcion E deshabilitada","")</x:f>
      </x:c>
      <x:c r="AB50" t="str">
        <x:f>IF(AND($A50="Verdadero o Falso Complejas",TRIM($I50)&lt;&gt;"",NOT(OR(LEFT(TRIM($I50),1)="A",LEFT(TRIM($I50),1)="B",LEFT(TRIM($I50),1)="C",LEFT(TRIM($I50),1)="D",LEFT(TRIM($I50),1)="E"))),IF(COUNTIF($M50:$AA50,"?*")&gt;0,", ","")&amp;"respuesta A-E","")</x:f>
      </x:c>
      <x:c r="AC50" t="str">
        <x:f>IF(AND(OR($A50="Selección de la mejor respuesta",$A50="Subítem de caso o problema"),COUNTIF($D50:$H50,"?*")&lt;5),IF(COUNTIF($M50:$AB50,"?*")&gt;0,", ","")&amp;"incisos A-E","")</x:f>
      </x:c>
      <x:c r="AD50" t="str">
        <x:f>IF(AND(OR($A50="Selección de la mejor respuesta",$A50="Subítem de caso o problema"),TRIM($I50)&lt;&gt;"",NOT(OR(LEFT(TRIM($I50),1)="A",LEFT(TRIM($I50),1)="B",LEFT(TRIM($I50),1)="C",LEFT(TRIM($I50),1)="D",LEFT(TRIM($I50),1)="E"))),IF(COUNTIF($M50:$AC50,"?*")&gt;0,", ","")&amp;"respuesta A-E","")</x:f>
      </x:c>
      <x:c r="AE50" t="str">
        <x:f>IF(AND(OR($A50="Ítems agrupados por caso clínico o problema",$A50="Opción de Emparejamiento Ampliado"),COUNTIF($D50:$H50,"?*")&gt;0),IF(COUNTIF($M50:$AD50,"?*")&gt;0,", ","")&amp;"sin incisos","")</x:f>
      </x:c>
      <x:c r="AF50" t="str">
        <x:f>IF(AND($A50="Emparejamiento Ampliado",COUNTIF($D50:$H50,"?*")&lt;2),IF(COUNTIF($M50:$AE50,"?*")&gt;0,", ","")&amp;"minimo 2 claves","")</x:f>
      </x:c>
      <x:c r="AG50" t="str">
        <x:f>IF(AND($A50="Opción de Emparejamiento Ampliado",NOT(OR(LEFT(TRIM($I50),1)="A",LEFT(TRIM($I50),1)="B",LEFT(TRIM($I50),1)="C",LEFT(TRIM($I50),1)="D",LEFT(TRIM($I50),1)="E"))),IF(COUNTIF($M50:$AF50,"?*")&gt;0,", ","")&amp;"respuesta A-E","")</x:f>
      </x:c>
      <x:c r="AK50" s="29" t="str"/>
    </x:row>
    <x:row r="51" ht="24" customHeight="1">
      <x:c r="A51" s="11" t="s">
        <x:v>2</x:v>
      </x:c>
      <x:c r="B51" s="11" t="s">
        <x:v>2</x:v>
      </x:c>
      <x:c r="C51" s="12" t="str">
        <x:f>IF($A51="Emparejamiento Ampliado",VALIDACIONES!$I$1,IF($A51="Respuesta A/B/Ambas/Ninguna","I. "&amp;CHAR(10)&amp;"II. ",""))</x:f>
      </x:c>
      <x:c r="D51" s="11" t="str">
        <x:f>IF($A51="Verdadero o Falso Simple","Verdadero",IF($A51="Respuesta A/B/Ambas/Ninguna","A. Si la primera es verdadera",""))</x:f>
      </x:c>
      <x:c r="E51" s="11" t="str">
        <x:f>IF($A51="Verdadero o Falso Simple","Falso",IF($A51="Respuesta A/B/Ambas/Ninguna","B. Si la segunda es verdadera",""))</x:f>
      </x:c>
      <x:c r="F51" s="11" t="str">
        <x:f>IF($A51="Respuesta A/B/Ambas/Ninguna","C. Si ambas son verdaderas","")</x:f>
      </x:c>
      <x:c r="G51" s="11" t="str">
        <x:f>IF($A51="Respuesta A/B/Ambas/Ninguna","D. Si ninguna es verdadera","")</x:f>
      </x:c>
      <x:c r="H51" s="11" t="s">
        <x:v>2</x:v>
      </x:c>
      <x:c r="I51" s="11" t="str">
        <x:f>IF($A51="Verdadero o Falso Simple","A","")</x:f>
      </x:c>
      <x:c r="J51" s="11" t="s">
        <x:v>2</x:v>
      </x:c>
      <x:c r="K51" s="11" t="s">
        <x:v>4</x:v>
      </x:c>
      <x:c r="L51" s="13" t="str">
        <x:f>IF(TRIM($A51)="","",IF(COUNTIF($M51:$AG51,"?*")=0,"OK","Falta revisar: "&amp;$M51&amp;$N51&amp;$O51&amp;$P51&amp;$Q51&amp;$R51&amp;$S51&amp;$T51&amp;$U51&amp;$V51&amp;$W51&amp;$X51&amp;$Y51&amp;$Z51&amp;$AA51&amp;$AB51&amp;$AC51&amp;$AD51&amp;$AE51&amp;$AF51&amp;$AG51))</x:f>
        <x:v>OK</x:v>
      </x:c>
      <x:c r="M51" t="str">
        <x:f>IF(TRIM($C51)="","enunciado","")</x:f>
        <x:v>enunciado</x:v>
      </x:c>
      <x:c r="N51" t="str">
        <x:f>IF(TRIM($K51)="",IF(COUNTIF($M51:$M51,"?*")&gt;0,", ","")&amp;"parcial","")</x:f>
      </x:c>
      <x:c r="O51" t="str">
        <x:f>IF(AND(TRIM($K51)&lt;&gt;"",TRIM($K51)&lt;&gt;"EF"),IF(COUNTIF($M51:$N51,"?*")&gt;0,", ","")&amp;"parcial distinto a EF","")</x:f>
      </x:c>
      <x:c r="P51" t="str">
        <x:f>IF(AND(OR($A51="Ítems agrupados por caso clínico o problema",$A51="Subítem de caso o problema",$A51="Emparejamiento Ampliado",$A51="Opción de Emparejamiento Ampliado"),TRIM($B51)=""),IF(COUNTIF($M51:$O51,"?*")&gt;0,", ","")&amp;"grupo","")</x:f>
      </x:c>
      <x:c r="Q51" t="str">
        <x:f>IF(AND(OR($A51="Verdadero o Falso Simple",$A51="Respuesta A/B/Ambas/Ninguna",$A51="Verdadero o Falso Complejas",$A51="Selección de la mejor respuesta",$A51="Subítem de caso o problema",$A51="Opción de Emparejamiento Ampliado"),TRIM($I51)=""),IF(COUNTIF($M51:$P51,"?*")&gt;0,", ","")&amp;"respuesta_correcta","")</x:f>
      </x:c>
      <x:c r="R51" t="str">
        <x:f>IF(AND(OR($A51="Verdadero o Falso Simple",$A51="Respuesta A/B/Ambas/Ninguna",$A51="Verdadero o Falso Complejas",$A51="Selección de la mejor respuesta",$A51="Subítem de caso o problema",$A51="Opción de Emparejamiento Ampliado"),TRIM($J51)=""),IF(COUNTIF($M51:$Q51,"?*")&gt;0,", ","")&amp;"dificultad","")</x:f>
      </x:c>
      <x:c r="S51" t="str">
        <x:f>IF(AND(OR($A51="Ítems agrupados por caso clínico o problema",$A51="Emparejamiento Ampliado"),TRIM($I51)&lt;&gt;""),IF(COUNTIF($M51:$R51,"?*")&gt;0,", ","")&amp;"respuesta debe ir vacia","")</x:f>
      </x:c>
      <x:c r="T51" t="str">
        <x:f>IF(AND(OR($A51="Ítems agrupados por caso clínico o problema",$A51="Emparejamiento Ampliado"),TRIM($J51)&lt;&gt;""),IF(COUNTIF($M51:$S51,"?*")&gt;0,", ","")&amp;"dificultad debe ir vacia","")</x:f>
      </x:c>
      <x:c r="U51" t="str">
        <x:f>IF(AND($A51="Verdadero o Falso Simple",OR(COUNTIF($D51:$E51,"?*")&lt;2,COUNTIF($F51:$H51,"?*")&gt;0)),IF(COUNTIF($M51:$T51,"?*")&gt;0,", ","")&amp;"incisos A-B","")</x:f>
      </x:c>
      <x:c r="V51" t="str">
        <x:f>IF(AND($A51="Verdadero o Falso Simple",TRIM($I51)&lt;&gt;"",NOT(OR(LEFT(TRIM($I51),1)="A",LEFT(TRIM($I51),1)="B"))),IF(COUNTIF($M51:$U51,"?*")&gt;0,", ","")&amp;"respuesta A-B","")</x:f>
      </x:c>
      <x:c r="W51" t="str">
        <x:f>IF(AND($A51="Respuesta A/B/Ambas/Ninguna",COUNTIF($D51:$G51,"?*")&lt;4),IF(COUNTIF($M51:$V51,"?*")&gt;0,", ","")&amp;"opciones A-D","")</x:f>
      </x:c>
      <x:c r="X51" t="str">
        <x:f>IF(AND($A51="Respuesta A/B/Ambas/Ninguna",COUNTIF($H51:$H51,"?*")&gt;0),IF(COUNTIF($M51:$W51,"?*")&gt;0,", ","")&amp;"opcion E deshabilitada","")</x:f>
      </x:c>
      <x:c r="Y51" t="str">
        <x:f>IF(AND($A51="Respuesta A/B/Ambas/Ninguna",TRIM($I51)&lt;&gt;"",NOT(OR(LEFT(TRIM($I51),1)="A",LEFT(TRIM($I51),1)="B",LEFT(TRIM($I51),1)="C",LEFT(TRIM($I51),1)="D"))),IF(COUNTIF($M51:$X51,"?*")&gt;0,", ","")&amp;"respuesta A-D","")</x:f>
      </x:c>
      <x:c r="Z51" t="str">
        <x:f>IF(AND($A51="Verdadero o Falso Complejas",OR(LEN(TRIM(SUBSTITUTE($D51,"1.","")))=0,LEN(TRIM(SUBSTITUTE($E51,"2.","")))=0,LEN(TRIM(SUBSTITUTE($F51,"3.","")))=0,LEN(TRIM(SUBSTITUTE($G51,"4.","")))=0)),IF(COUNTIF($M51:$Y51,"?*")&gt;0,", ","")&amp;"incisos 1-4","")</x:f>
      </x:c>
      <x:c r="AA51" t="str">
        <x:f>IF(AND($A51="Verdadero o Falso Complejas",COUNTIF($H51:$H51,"?*")&gt;0),IF(COUNTIF($M51:$Z51,"?*")&gt;0,", ","")&amp;"opcion E deshabilitada","")</x:f>
      </x:c>
      <x:c r="AB51" t="str">
        <x:f>IF(AND($A51="Verdadero o Falso Complejas",TRIM($I51)&lt;&gt;"",NOT(OR(LEFT(TRIM($I51),1)="A",LEFT(TRIM($I51),1)="B",LEFT(TRIM($I51),1)="C",LEFT(TRIM($I51),1)="D",LEFT(TRIM($I51),1)="E"))),IF(COUNTIF($M51:$AA51,"?*")&gt;0,", ","")&amp;"respuesta A-E","")</x:f>
      </x:c>
      <x:c r="AC51" t="str">
        <x:f>IF(AND(OR($A51="Selección de la mejor respuesta",$A51="Subítem de caso o problema"),COUNTIF($D51:$H51,"?*")&lt;5),IF(COUNTIF($M51:$AB51,"?*")&gt;0,", ","")&amp;"incisos A-E","")</x:f>
      </x:c>
      <x:c r="AD51" t="str">
        <x:f>IF(AND(OR($A51="Selección de la mejor respuesta",$A51="Subítem de caso o problema"),TRIM($I51)&lt;&gt;"",NOT(OR(LEFT(TRIM($I51),1)="A",LEFT(TRIM($I51),1)="B",LEFT(TRIM($I51),1)="C",LEFT(TRIM($I51),1)="D",LEFT(TRIM($I51),1)="E"))),IF(COUNTIF($M51:$AC51,"?*")&gt;0,", ","")&amp;"respuesta A-E","")</x:f>
      </x:c>
      <x:c r="AE51" t="str">
        <x:f>IF(AND(OR($A51="Ítems agrupados por caso clínico o problema",$A51="Opción de Emparejamiento Ampliado"),COUNTIF($D51:$H51,"?*")&gt;0),IF(COUNTIF($M51:$AD51,"?*")&gt;0,", ","")&amp;"sin incisos","")</x:f>
      </x:c>
      <x:c r="AF51" t="str">
        <x:f>IF(AND($A51="Emparejamiento Ampliado",COUNTIF($D51:$H51,"?*")&lt;2),IF(COUNTIF($M51:$AE51,"?*")&gt;0,", ","")&amp;"minimo 2 claves","")</x:f>
      </x:c>
      <x:c r="AG51" t="str">
        <x:f>IF(AND($A51="Opción de Emparejamiento Ampliado",NOT(OR(LEFT(TRIM($I51),1)="A",LEFT(TRIM($I51),1)="B",LEFT(TRIM($I51),1)="C",LEFT(TRIM($I51),1)="D",LEFT(TRIM($I51),1)="E"))),IF(COUNTIF($M51:$AF51,"?*")&gt;0,", ","")&amp;"respuesta A-E","")</x:f>
      </x:c>
      <x:c r="AK51" s="29" t="str"/>
    </x:row>
    <x:row r="52" ht="24" customHeight="1">
      <x:c r="A52" s="11" t="s">
        <x:v>2</x:v>
      </x:c>
      <x:c r="B52" s="11" t="s">
        <x:v>2</x:v>
      </x:c>
      <x:c r="C52" s="12" t="str">
        <x:f>IF($A52="Emparejamiento Ampliado",VALIDACIONES!$I$1,IF($A52="Respuesta A/B/Ambas/Ninguna","I. "&amp;CHAR(10)&amp;"II. ",""))</x:f>
      </x:c>
      <x:c r="D52" s="11" t="str">
        <x:f>IF($A52="Verdadero o Falso Simple","Verdadero",IF($A52="Respuesta A/B/Ambas/Ninguna","A. Si la primera es verdadera",""))</x:f>
      </x:c>
      <x:c r="E52" s="11" t="str">
        <x:f>IF($A52="Verdadero o Falso Simple","Falso",IF($A52="Respuesta A/B/Ambas/Ninguna","B. Si la segunda es verdadera",""))</x:f>
      </x:c>
      <x:c r="F52" s="11" t="str">
        <x:f>IF($A52="Respuesta A/B/Ambas/Ninguna","C. Si ambas son verdaderas","")</x:f>
      </x:c>
      <x:c r="G52" s="11" t="str">
        <x:f>IF($A52="Respuesta A/B/Ambas/Ninguna","D. Si ninguna es verdadera","")</x:f>
      </x:c>
      <x:c r="H52" s="11" t="s">
        <x:v>2</x:v>
      </x:c>
      <x:c r="I52" s="11" t="str">
        <x:f>IF($A52="Verdadero o Falso Simple","A","")</x:f>
      </x:c>
      <x:c r="J52" s="11" t="s">
        <x:v>2</x:v>
      </x:c>
      <x:c r="K52" s="11" t="s">
        <x:v>4</x:v>
      </x:c>
      <x:c r="L52" s="13" t="str">
        <x:f>IF(TRIM($A52)="","",IF(COUNTIF($M52:$AG52,"?*")=0,"OK","Falta revisar: "&amp;$M52&amp;$N52&amp;$O52&amp;$P52&amp;$Q52&amp;$R52&amp;$S52&amp;$T52&amp;$U52&amp;$V52&amp;$W52&amp;$X52&amp;$Y52&amp;$Z52&amp;$AA52&amp;$AB52&amp;$AC52&amp;$AD52&amp;$AE52&amp;$AF52&amp;$AG52))</x:f>
        <x:v>OK</x:v>
      </x:c>
      <x:c r="M52" t="str">
        <x:f>IF(TRIM($C52)="","enunciado","")</x:f>
        <x:v>enunciado</x:v>
      </x:c>
      <x:c r="N52" t="str">
        <x:f>IF(TRIM($K52)="",IF(COUNTIF($M52:$M52,"?*")&gt;0,", ","")&amp;"parcial","")</x:f>
      </x:c>
      <x:c r="O52" t="str">
        <x:f>IF(AND(TRIM($K52)&lt;&gt;"",TRIM($K52)&lt;&gt;"EF"),IF(COUNTIF($M52:$N52,"?*")&gt;0,", ","")&amp;"parcial distinto a EF","")</x:f>
      </x:c>
      <x:c r="P52" t="str">
        <x:f>IF(AND(OR($A52="Ítems agrupados por caso clínico o problema",$A52="Subítem de caso o problema",$A52="Emparejamiento Ampliado",$A52="Opción de Emparejamiento Ampliado"),TRIM($B52)=""),IF(COUNTIF($M52:$O52,"?*")&gt;0,", ","")&amp;"grupo","")</x:f>
      </x:c>
      <x:c r="Q52" t="str">
        <x:f>IF(AND(OR($A52="Verdadero o Falso Simple",$A52="Respuesta A/B/Ambas/Ninguna",$A52="Verdadero o Falso Complejas",$A52="Selección de la mejor respuesta",$A52="Subítem de caso o problema",$A52="Opción de Emparejamiento Ampliado"),TRIM($I52)=""),IF(COUNTIF($M52:$P52,"?*")&gt;0,", ","")&amp;"respuesta_correcta","")</x:f>
      </x:c>
      <x:c r="R52" t="str">
        <x:f>IF(AND(OR($A52="Verdadero o Falso Simple",$A52="Respuesta A/B/Ambas/Ninguna",$A52="Verdadero o Falso Complejas",$A52="Selección de la mejor respuesta",$A52="Subítem de caso o problema",$A52="Opción de Emparejamiento Ampliado"),TRIM($J52)=""),IF(COUNTIF($M52:$Q52,"?*")&gt;0,", ","")&amp;"dificultad","")</x:f>
      </x:c>
      <x:c r="S52" t="str">
        <x:f>IF(AND(OR($A52="Ítems agrupados por caso clínico o problema",$A52="Emparejamiento Ampliado"),TRIM($I52)&lt;&gt;""),IF(COUNTIF($M52:$R52,"?*")&gt;0,", ","")&amp;"respuesta debe ir vacia","")</x:f>
      </x:c>
      <x:c r="T52" t="str">
        <x:f>IF(AND(OR($A52="Ítems agrupados por caso clínico o problema",$A52="Emparejamiento Ampliado"),TRIM($J52)&lt;&gt;""),IF(COUNTIF($M52:$S52,"?*")&gt;0,", ","")&amp;"dificultad debe ir vacia","")</x:f>
      </x:c>
      <x:c r="U52" t="str">
        <x:f>IF(AND($A52="Verdadero o Falso Simple",OR(COUNTIF($D52:$E52,"?*")&lt;2,COUNTIF($F52:$H52,"?*")&gt;0)),IF(COUNTIF($M52:$T52,"?*")&gt;0,", ","")&amp;"incisos A-B","")</x:f>
      </x:c>
      <x:c r="V52" t="str">
        <x:f>IF(AND($A52="Verdadero o Falso Simple",TRIM($I52)&lt;&gt;"",NOT(OR(LEFT(TRIM($I52),1)="A",LEFT(TRIM($I52),1)="B"))),IF(COUNTIF($M52:$U52,"?*")&gt;0,", ","")&amp;"respuesta A-B","")</x:f>
      </x:c>
      <x:c r="W52" t="str">
        <x:f>IF(AND($A52="Respuesta A/B/Ambas/Ninguna",COUNTIF($D52:$G52,"?*")&lt;4),IF(COUNTIF($M52:$V52,"?*")&gt;0,", ","")&amp;"opciones A-D","")</x:f>
      </x:c>
      <x:c r="X52" t="str">
        <x:f>IF(AND($A52="Respuesta A/B/Ambas/Ninguna",COUNTIF($H52:$H52,"?*")&gt;0),IF(COUNTIF($M52:$W52,"?*")&gt;0,", ","")&amp;"opcion E deshabilitada","")</x:f>
      </x:c>
      <x:c r="Y52" t="str">
        <x:f>IF(AND($A52="Respuesta A/B/Ambas/Ninguna",TRIM($I52)&lt;&gt;"",NOT(OR(LEFT(TRIM($I52),1)="A",LEFT(TRIM($I52),1)="B",LEFT(TRIM($I52),1)="C",LEFT(TRIM($I52),1)="D"))),IF(COUNTIF($M52:$X52,"?*")&gt;0,", ","")&amp;"respuesta A-D","")</x:f>
      </x:c>
      <x:c r="Z52" t="str">
        <x:f>IF(AND($A52="Verdadero o Falso Complejas",OR(LEN(TRIM(SUBSTITUTE($D52,"1.","")))=0,LEN(TRIM(SUBSTITUTE($E52,"2.","")))=0,LEN(TRIM(SUBSTITUTE($F52,"3.","")))=0,LEN(TRIM(SUBSTITUTE($G52,"4.","")))=0)),IF(COUNTIF($M52:$Y52,"?*")&gt;0,", ","")&amp;"incisos 1-4","")</x:f>
      </x:c>
      <x:c r="AA52" t="str">
        <x:f>IF(AND($A52="Verdadero o Falso Complejas",COUNTIF($H52:$H52,"?*")&gt;0),IF(COUNTIF($M52:$Z52,"?*")&gt;0,", ","")&amp;"opcion E deshabilitada","")</x:f>
      </x:c>
      <x:c r="AB52" t="str">
        <x:f>IF(AND($A52="Verdadero o Falso Complejas",TRIM($I52)&lt;&gt;"",NOT(OR(LEFT(TRIM($I52),1)="A",LEFT(TRIM($I52),1)="B",LEFT(TRIM($I52),1)="C",LEFT(TRIM($I52),1)="D",LEFT(TRIM($I52),1)="E"))),IF(COUNTIF($M52:$AA52,"?*")&gt;0,", ","")&amp;"respuesta A-E","")</x:f>
      </x:c>
      <x:c r="AC52" t="str">
        <x:f>IF(AND(OR($A52="Selección de la mejor respuesta",$A52="Subítem de caso o problema"),COUNTIF($D52:$H52,"?*")&lt;5),IF(COUNTIF($M52:$AB52,"?*")&gt;0,", ","")&amp;"incisos A-E","")</x:f>
      </x:c>
      <x:c r="AD52" t="str">
        <x:f>IF(AND(OR($A52="Selección de la mejor respuesta",$A52="Subítem de caso o problema"),TRIM($I52)&lt;&gt;"",NOT(OR(LEFT(TRIM($I52),1)="A",LEFT(TRIM($I52),1)="B",LEFT(TRIM($I52),1)="C",LEFT(TRIM($I52),1)="D",LEFT(TRIM($I52),1)="E"))),IF(COUNTIF($M52:$AC52,"?*")&gt;0,", ","")&amp;"respuesta A-E","")</x:f>
      </x:c>
      <x:c r="AE52" t="str">
        <x:f>IF(AND(OR($A52="Ítems agrupados por caso clínico o problema",$A52="Opción de Emparejamiento Ampliado"),COUNTIF($D52:$H52,"?*")&gt;0),IF(COUNTIF($M52:$AD52,"?*")&gt;0,", ","")&amp;"sin incisos","")</x:f>
      </x:c>
      <x:c r="AF52" t="str">
        <x:f>IF(AND($A52="Emparejamiento Ampliado",COUNTIF($D52:$H52,"?*")&lt;2),IF(COUNTIF($M52:$AE52,"?*")&gt;0,", ","")&amp;"minimo 2 claves","")</x:f>
      </x:c>
      <x:c r="AG52" t="str">
        <x:f>IF(AND($A52="Opción de Emparejamiento Ampliado",NOT(OR(LEFT(TRIM($I52),1)="A",LEFT(TRIM($I52),1)="B",LEFT(TRIM($I52),1)="C",LEFT(TRIM($I52),1)="D",LEFT(TRIM($I52),1)="E"))),IF(COUNTIF($M52:$AF52,"?*")&gt;0,", ","")&amp;"respuesta A-E","")</x:f>
      </x:c>
      <x:c r="AK52" s="29" t="str"/>
    </x:row>
    <x:row r="53" ht="24" customHeight="1">
      <x:c r="A53" s="11" t="s">
        <x:v>2</x:v>
      </x:c>
      <x:c r="B53" s="11" t="s">
        <x:v>2</x:v>
      </x:c>
      <x:c r="C53" s="12" t="str">
        <x:f>IF($A53="Emparejamiento Ampliado",VALIDACIONES!$I$1,IF($A53="Respuesta A/B/Ambas/Ninguna","I. "&amp;CHAR(10)&amp;"II. ",""))</x:f>
      </x:c>
      <x:c r="D53" s="11" t="str">
        <x:f>IF($A53="Verdadero o Falso Simple","Verdadero",IF($A53="Respuesta A/B/Ambas/Ninguna","A. Si la primera es verdadera",""))</x:f>
      </x:c>
      <x:c r="E53" s="11" t="str">
        <x:f>IF($A53="Verdadero o Falso Simple","Falso",IF($A53="Respuesta A/B/Ambas/Ninguna","B. Si la segunda es verdadera",""))</x:f>
      </x:c>
      <x:c r="F53" s="11" t="str">
        <x:f>IF($A53="Respuesta A/B/Ambas/Ninguna","C. Si ambas son verdaderas","")</x:f>
      </x:c>
      <x:c r="G53" s="11" t="str">
        <x:f>IF($A53="Respuesta A/B/Ambas/Ninguna","D. Si ninguna es verdadera","")</x:f>
      </x:c>
      <x:c r="H53" s="11" t="s">
        <x:v>2</x:v>
      </x:c>
      <x:c r="I53" s="11" t="str">
        <x:f>IF($A53="Verdadero o Falso Simple","A","")</x:f>
      </x:c>
      <x:c r="J53" s="11" t="s">
        <x:v>2</x:v>
      </x:c>
      <x:c r="K53" s="11" t="s">
        <x:v>4</x:v>
      </x:c>
      <x:c r="L53" s="13" t="str">
        <x:f>IF(TRIM($A53)="","",IF(COUNTIF($M53:$AG53,"?*")=0,"OK","Falta revisar: "&amp;$M53&amp;$N53&amp;$O53&amp;$P53&amp;$Q53&amp;$R53&amp;$S53&amp;$T53&amp;$U53&amp;$V53&amp;$W53&amp;$X53&amp;$Y53&amp;$Z53&amp;$AA53&amp;$AB53&amp;$AC53&amp;$AD53&amp;$AE53&amp;$AF53&amp;$AG53))</x:f>
        <x:v>OK</x:v>
      </x:c>
      <x:c r="M53" t="str">
        <x:f>IF(TRIM($C53)="","enunciado","")</x:f>
        <x:v>enunciado</x:v>
      </x:c>
      <x:c r="N53" t="str">
        <x:f>IF(TRIM($K53)="",IF(COUNTIF($M53:$M53,"?*")&gt;0,", ","")&amp;"parcial","")</x:f>
      </x:c>
      <x:c r="O53" t="str">
        <x:f>IF(AND(TRIM($K53)&lt;&gt;"",TRIM($K53)&lt;&gt;"EF"),IF(COUNTIF($M53:$N53,"?*")&gt;0,", ","")&amp;"parcial distinto a EF","")</x:f>
      </x:c>
      <x:c r="P53" t="str">
        <x:f>IF(AND(OR($A53="Ítems agrupados por caso clínico o problema",$A53="Subítem de caso o problema",$A53="Emparejamiento Ampliado",$A53="Opción de Emparejamiento Ampliado"),TRIM($B53)=""),IF(COUNTIF($M53:$O53,"?*")&gt;0,", ","")&amp;"grupo","")</x:f>
      </x:c>
      <x:c r="Q53" t="str">
        <x:f>IF(AND(OR($A53="Verdadero o Falso Simple",$A53="Respuesta A/B/Ambas/Ninguna",$A53="Verdadero o Falso Complejas",$A53="Selección de la mejor respuesta",$A53="Subítem de caso o problema",$A53="Opción de Emparejamiento Ampliado"),TRIM($I53)=""),IF(COUNTIF($M53:$P53,"?*")&gt;0,", ","")&amp;"respuesta_correcta","")</x:f>
      </x:c>
      <x:c r="R53" t="str">
        <x:f>IF(AND(OR($A53="Verdadero o Falso Simple",$A53="Respuesta A/B/Ambas/Ninguna",$A53="Verdadero o Falso Complejas",$A53="Selección de la mejor respuesta",$A53="Subítem de caso o problema",$A53="Opción de Emparejamiento Ampliado"),TRIM($J53)=""),IF(COUNTIF($M53:$Q53,"?*")&gt;0,", ","")&amp;"dificultad","")</x:f>
      </x:c>
      <x:c r="S53" t="str">
        <x:f>IF(AND(OR($A53="Ítems agrupados por caso clínico o problema",$A53="Emparejamiento Ampliado"),TRIM($I53)&lt;&gt;""),IF(COUNTIF($M53:$R53,"?*")&gt;0,", ","")&amp;"respuesta debe ir vacia","")</x:f>
      </x:c>
      <x:c r="T53" t="str">
        <x:f>IF(AND(OR($A53="Ítems agrupados por caso clínico o problema",$A53="Emparejamiento Ampliado"),TRIM($J53)&lt;&gt;""),IF(COUNTIF($M53:$S53,"?*")&gt;0,", ","")&amp;"dificultad debe ir vacia","")</x:f>
      </x:c>
      <x:c r="U53" t="str">
        <x:f>IF(AND($A53="Verdadero o Falso Simple",OR(COUNTIF($D53:$E53,"?*")&lt;2,COUNTIF($F53:$H53,"?*")&gt;0)),IF(COUNTIF($M53:$T53,"?*")&gt;0,", ","")&amp;"incisos A-B","")</x:f>
      </x:c>
      <x:c r="V53" t="str">
        <x:f>IF(AND($A53="Verdadero o Falso Simple",TRIM($I53)&lt;&gt;"",NOT(OR(LEFT(TRIM($I53),1)="A",LEFT(TRIM($I53),1)="B"))),IF(COUNTIF($M53:$U53,"?*")&gt;0,", ","")&amp;"respuesta A-B","")</x:f>
      </x:c>
      <x:c r="W53" t="str">
        <x:f>IF(AND($A53="Respuesta A/B/Ambas/Ninguna",COUNTIF($D53:$G53,"?*")&lt;4),IF(COUNTIF($M53:$V53,"?*")&gt;0,", ","")&amp;"opciones A-D","")</x:f>
      </x:c>
      <x:c r="X53" t="str">
        <x:f>IF(AND($A53="Respuesta A/B/Ambas/Ninguna",COUNTIF($H53:$H53,"?*")&gt;0),IF(COUNTIF($M53:$W53,"?*")&gt;0,", ","")&amp;"opcion E deshabilitada","")</x:f>
      </x:c>
      <x:c r="Y53" t="str">
        <x:f>IF(AND($A53="Respuesta A/B/Ambas/Ninguna",TRIM($I53)&lt;&gt;"",NOT(OR(LEFT(TRIM($I53),1)="A",LEFT(TRIM($I53),1)="B",LEFT(TRIM($I53),1)="C",LEFT(TRIM($I53),1)="D"))),IF(COUNTIF($M53:$X53,"?*")&gt;0,", ","")&amp;"respuesta A-D","")</x:f>
      </x:c>
      <x:c r="Z53" t="str">
        <x:f>IF(AND($A53="Verdadero o Falso Complejas",OR(LEN(TRIM(SUBSTITUTE($D53,"1.","")))=0,LEN(TRIM(SUBSTITUTE($E53,"2.","")))=0,LEN(TRIM(SUBSTITUTE($F53,"3.","")))=0,LEN(TRIM(SUBSTITUTE($G53,"4.","")))=0)),IF(COUNTIF($M53:$Y53,"?*")&gt;0,", ","")&amp;"incisos 1-4","")</x:f>
      </x:c>
      <x:c r="AA53" t="str">
        <x:f>IF(AND($A53="Verdadero o Falso Complejas",COUNTIF($H53:$H53,"?*")&gt;0),IF(COUNTIF($M53:$Z53,"?*")&gt;0,", ","")&amp;"opcion E deshabilitada","")</x:f>
      </x:c>
      <x:c r="AB53" t="str">
        <x:f>IF(AND($A53="Verdadero o Falso Complejas",TRIM($I53)&lt;&gt;"",NOT(OR(LEFT(TRIM($I53),1)="A",LEFT(TRIM($I53),1)="B",LEFT(TRIM($I53),1)="C",LEFT(TRIM($I53),1)="D",LEFT(TRIM($I53),1)="E"))),IF(COUNTIF($M53:$AA53,"?*")&gt;0,", ","")&amp;"respuesta A-E","")</x:f>
      </x:c>
      <x:c r="AC53" t="str">
        <x:f>IF(AND(OR($A53="Selección de la mejor respuesta",$A53="Subítem de caso o problema"),COUNTIF($D53:$H53,"?*")&lt;5),IF(COUNTIF($M53:$AB53,"?*")&gt;0,", ","")&amp;"incisos A-E","")</x:f>
      </x:c>
      <x:c r="AD53" t="str">
        <x:f>IF(AND(OR($A53="Selección de la mejor respuesta",$A53="Subítem de caso o problema"),TRIM($I53)&lt;&gt;"",NOT(OR(LEFT(TRIM($I53),1)="A",LEFT(TRIM($I53),1)="B",LEFT(TRIM($I53),1)="C",LEFT(TRIM($I53),1)="D",LEFT(TRIM($I53),1)="E"))),IF(COUNTIF($M53:$AC53,"?*")&gt;0,", ","")&amp;"respuesta A-E","")</x:f>
      </x:c>
      <x:c r="AE53" t="str">
        <x:f>IF(AND(OR($A53="Ítems agrupados por caso clínico o problema",$A53="Opción de Emparejamiento Ampliado"),COUNTIF($D53:$H53,"?*")&gt;0),IF(COUNTIF($M53:$AD53,"?*")&gt;0,", ","")&amp;"sin incisos","")</x:f>
      </x:c>
      <x:c r="AF53" t="str">
        <x:f>IF(AND($A53="Emparejamiento Ampliado",COUNTIF($D53:$H53,"?*")&lt;2),IF(COUNTIF($M53:$AE53,"?*")&gt;0,", ","")&amp;"minimo 2 claves","")</x:f>
      </x:c>
      <x:c r="AG53" t="str">
        <x:f>IF(AND($A53="Opción de Emparejamiento Ampliado",NOT(OR(LEFT(TRIM($I53),1)="A",LEFT(TRIM($I53),1)="B",LEFT(TRIM($I53),1)="C",LEFT(TRIM($I53),1)="D",LEFT(TRIM($I53),1)="E"))),IF(COUNTIF($M53:$AF53,"?*")&gt;0,", ","")&amp;"respuesta A-E","")</x:f>
      </x:c>
      <x:c r="AK53" s="29" t="str"/>
    </x:row>
    <x:row r="54" ht="24" customHeight="1">
      <x:c r="A54" s="11" t="s">
        <x:v>2</x:v>
      </x:c>
      <x:c r="B54" s="11" t="s">
        <x:v>2</x:v>
      </x:c>
      <x:c r="C54" s="12" t="str">
        <x:f>IF($A54="Emparejamiento Ampliado",VALIDACIONES!$I$1,IF($A54="Respuesta A/B/Ambas/Ninguna","I. "&amp;CHAR(10)&amp;"II. ",""))</x:f>
      </x:c>
      <x:c r="D54" s="11" t="str">
        <x:f>IF($A54="Verdadero o Falso Simple","Verdadero",IF($A54="Respuesta A/B/Ambas/Ninguna","A. Si la primera es verdadera",""))</x:f>
      </x:c>
      <x:c r="E54" s="11" t="str">
        <x:f>IF($A54="Verdadero o Falso Simple","Falso",IF($A54="Respuesta A/B/Ambas/Ninguna","B. Si la segunda es verdadera",""))</x:f>
      </x:c>
      <x:c r="F54" s="11" t="str">
        <x:f>IF($A54="Respuesta A/B/Ambas/Ninguna","C. Si ambas son verdaderas","")</x:f>
      </x:c>
      <x:c r="G54" s="11" t="str">
        <x:f>IF($A54="Respuesta A/B/Ambas/Ninguna","D. Si ninguna es verdadera","")</x:f>
      </x:c>
      <x:c r="H54" s="11" t="s">
        <x:v>2</x:v>
      </x:c>
      <x:c r="I54" s="11" t="str">
        <x:f>IF($A54="Verdadero o Falso Simple","A","")</x:f>
      </x:c>
      <x:c r="J54" s="11" t="s">
        <x:v>2</x:v>
      </x:c>
      <x:c r="K54" s="11" t="s">
        <x:v>4</x:v>
      </x:c>
      <x:c r="L54" s="13" t="str">
        <x:f>IF(TRIM($A54)="","",IF(COUNTIF($M54:$AG54,"?*")=0,"OK","Falta revisar: "&amp;$M54&amp;$N54&amp;$O54&amp;$P54&amp;$Q54&amp;$R54&amp;$S54&amp;$T54&amp;$U54&amp;$V54&amp;$W54&amp;$X54&amp;$Y54&amp;$Z54&amp;$AA54&amp;$AB54&amp;$AC54&amp;$AD54&amp;$AE54&amp;$AF54&amp;$AG54))</x:f>
        <x:v>OK</x:v>
      </x:c>
      <x:c r="M54" t="str">
        <x:f>IF(TRIM($C54)="","enunciado","")</x:f>
        <x:v>enunciado</x:v>
      </x:c>
      <x:c r="N54" t="str">
        <x:f>IF(TRIM($K54)="",IF(COUNTIF($M54:$M54,"?*")&gt;0,", ","")&amp;"parcial","")</x:f>
      </x:c>
      <x:c r="O54" t="str">
        <x:f>IF(AND(TRIM($K54)&lt;&gt;"",TRIM($K54)&lt;&gt;"EF"),IF(COUNTIF($M54:$N54,"?*")&gt;0,", ","")&amp;"parcial distinto a EF","")</x:f>
      </x:c>
      <x:c r="P54" t="str">
        <x:f>IF(AND(OR($A54="Ítems agrupados por caso clínico o problema",$A54="Subítem de caso o problema",$A54="Emparejamiento Ampliado",$A54="Opción de Emparejamiento Ampliado"),TRIM($B54)=""),IF(COUNTIF($M54:$O54,"?*")&gt;0,", ","")&amp;"grupo","")</x:f>
      </x:c>
      <x:c r="Q54" t="str">
        <x:f>IF(AND(OR($A54="Verdadero o Falso Simple",$A54="Respuesta A/B/Ambas/Ninguna",$A54="Verdadero o Falso Complejas",$A54="Selección de la mejor respuesta",$A54="Subítem de caso o problema",$A54="Opción de Emparejamiento Ampliado"),TRIM($I54)=""),IF(COUNTIF($M54:$P54,"?*")&gt;0,", ","")&amp;"respuesta_correcta","")</x:f>
      </x:c>
      <x:c r="R54" t="str">
        <x:f>IF(AND(OR($A54="Verdadero o Falso Simple",$A54="Respuesta A/B/Ambas/Ninguna",$A54="Verdadero o Falso Complejas",$A54="Selección de la mejor respuesta",$A54="Subítem de caso o problema",$A54="Opción de Emparejamiento Ampliado"),TRIM($J54)=""),IF(COUNTIF($M54:$Q54,"?*")&gt;0,", ","")&amp;"dificultad","")</x:f>
      </x:c>
      <x:c r="S54" t="str">
        <x:f>IF(AND(OR($A54="Ítems agrupados por caso clínico o problema",$A54="Emparejamiento Ampliado"),TRIM($I54)&lt;&gt;""),IF(COUNTIF($M54:$R54,"?*")&gt;0,", ","")&amp;"respuesta debe ir vacia","")</x:f>
      </x:c>
      <x:c r="T54" t="str">
        <x:f>IF(AND(OR($A54="Ítems agrupados por caso clínico o problema",$A54="Emparejamiento Ampliado"),TRIM($J54)&lt;&gt;""),IF(COUNTIF($M54:$S54,"?*")&gt;0,", ","")&amp;"dificultad debe ir vacia","")</x:f>
      </x:c>
      <x:c r="U54" t="str">
        <x:f>IF(AND($A54="Verdadero o Falso Simple",OR(COUNTIF($D54:$E54,"?*")&lt;2,COUNTIF($F54:$H54,"?*")&gt;0)),IF(COUNTIF($M54:$T54,"?*")&gt;0,", ","")&amp;"incisos A-B","")</x:f>
      </x:c>
      <x:c r="V54" t="str">
        <x:f>IF(AND($A54="Verdadero o Falso Simple",TRIM($I54)&lt;&gt;"",NOT(OR(LEFT(TRIM($I54),1)="A",LEFT(TRIM($I54),1)="B"))),IF(COUNTIF($M54:$U54,"?*")&gt;0,", ","")&amp;"respuesta A-B","")</x:f>
      </x:c>
      <x:c r="W54" t="str">
        <x:f>IF(AND($A54="Respuesta A/B/Ambas/Ninguna",COUNTIF($D54:$G54,"?*")&lt;4),IF(COUNTIF($M54:$V54,"?*")&gt;0,", ","")&amp;"opciones A-D","")</x:f>
      </x:c>
      <x:c r="X54" t="str">
        <x:f>IF(AND($A54="Respuesta A/B/Ambas/Ninguna",COUNTIF($H54:$H54,"?*")&gt;0),IF(COUNTIF($M54:$W54,"?*")&gt;0,", ","")&amp;"opcion E deshabilitada","")</x:f>
      </x:c>
      <x:c r="Y54" t="str">
        <x:f>IF(AND($A54="Respuesta A/B/Ambas/Ninguna",TRIM($I54)&lt;&gt;"",NOT(OR(LEFT(TRIM($I54),1)="A",LEFT(TRIM($I54),1)="B",LEFT(TRIM($I54),1)="C",LEFT(TRIM($I54),1)="D"))),IF(COUNTIF($M54:$X54,"?*")&gt;0,", ","")&amp;"respuesta A-D","")</x:f>
      </x:c>
      <x:c r="Z54" t="str">
        <x:f>IF(AND($A54="Verdadero o Falso Complejas",OR(LEN(TRIM(SUBSTITUTE($D54,"1.","")))=0,LEN(TRIM(SUBSTITUTE($E54,"2.","")))=0,LEN(TRIM(SUBSTITUTE($F54,"3.","")))=0,LEN(TRIM(SUBSTITUTE($G54,"4.","")))=0)),IF(COUNTIF($M54:$Y54,"?*")&gt;0,", ","")&amp;"incisos 1-4","")</x:f>
      </x:c>
      <x:c r="AA54" t="str">
        <x:f>IF(AND($A54="Verdadero o Falso Complejas",COUNTIF($H54:$H54,"?*")&gt;0),IF(COUNTIF($M54:$Z54,"?*")&gt;0,", ","")&amp;"opcion E deshabilitada","")</x:f>
      </x:c>
      <x:c r="AB54" t="str">
        <x:f>IF(AND($A54="Verdadero o Falso Complejas",TRIM($I54)&lt;&gt;"",NOT(OR(LEFT(TRIM($I54),1)="A",LEFT(TRIM($I54),1)="B",LEFT(TRIM($I54),1)="C",LEFT(TRIM($I54),1)="D",LEFT(TRIM($I54),1)="E"))),IF(COUNTIF($M54:$AA54,"?*")&gt;0,", ","")&amp;"respuesta A-E","")</x:f>
      </x:c>
      <x:c r="AC54" t="str">
        <x:f>IF(AND(OR($A54="Selección de la mejor respuesta",$A54="Subítem de caso o problema"),COUNTIF($D54:$H54,"?*")&lt;5),IF(COUNTIF($M54:$AB54,"?*")&gt;0,", ","")&amp;"incisos A-E","")</x:f>
      </x:c>
      <x:c r="AD54" t="str">
        <x:f>IF(AND(OR($A54="Selección de la mejor respuesta",$A54="Subítem de caso o problema"),TRIM($I54)&lt;&gt;"",NOT(OR(LEFT(TRIM($I54),1)="A",LEFT(TRIM($I54),1)="B",LEFT(TRIM($I54),1)="C",LEFT(TRIM($I54),1)="D",LEFT(TRIM($I54),1)="E"))),IF(COUNTIF($M54:$AC54,"?*")&gt;0,", ","")&amp;"respuesta A-E","")</x:f>
      </x:c>
      <x:c r="AE54" t="str">
        <x:f>IF(AND(OR($A54="Ítems agrupados por caso clínico o problema",$A54="Opción de Emparejamiento Ampliado"),COUNTIF($D54:$H54,"?*")&gt;0),IF(COUNTIF($M54:$AD54,"?*")&gt;0,", ","")&amp;"sin incisos","")</x:f>
      </x:c>
      <x:c r="AF54" t="str">
        <x:f>IF(AND($A54="Emparejamiento Ampliado",COUNTIF($D54:$H54,"?*")&lt;2),IF(COUNTIF($M54:$AE54,"?*")&gt;0,", ","")&amp;"minimo 2 claves","")</x:f>
      </x:c>
      <x:c r="AG54" t="str">
        <x:f>IF(AND($A54="Opción de Emparejamiento Ampliado",NOT(OR(LEFT(TRIM($I54),1)="A",LEFT(TRIM($I54),1)="B",LEFT(TRIM($I54),1)="C",LEFT(TRIM($I54),1)="D",LEFT(TRIM($I54),1)="E"))),IF(COUNTIF($M54:$AF54,"?*")&gt;0,", ","")&amp;"respuesta A-E","")</x:f>
      </x:c>
      <x:c r="AK54" s="29" t="str"/>
    </x:row>
    <x:row r="55" ht="24" customHeight="1">
      <x:c r="A55" s="11" t="s">
        <x:v>2</x:v>
      </x:c>
      <x:c r="B55" s="11" t="s">
        <x:v>2</x:v>
      </x:c>
      <x:c r="C55" s="12" t="str">
        <x:f>IF($A55="Emparejamiento Ampliado",VALIDACIONES!$I$1,IF($A55="Respuesta A/B/Ambas/Ninguna","I. "&amp;CHAR(10)&amp;"II. ",""))</x:f>
      </x:c>
      <x:c r="D55" s="11" t="str">
        <x:f>IF($A55="Verdadero o Falso Simple","Verdadero",IF($A55="Respuesta A/B/Ambas/Ninguna","A. Si la primera es verdadera",""))</x:f>
      </x:c>
      <x:c r="E55" s="11" t="str">
        <x:f>IF($A55="Verdadero o Falso Simple","Falso",IF($A55="Respuesta A/B/Ambas/Ninguna","B. Si la segunda es verdadera",""))</x:f>
      </x:c>
      <x:c r="F55" s="11" t="str">
        <x:f>IF($A55="Respuesta A/B/Ambas/Ninguna","C. Si ambas son verdaderas","")</x:f>
      </x:c>
      <x:c r="G55" s="11" t="str">
        <x:f>IF($A55="Respuesta A/B/Ambas/Ninguna","D. Si ninguna es verdadera","")</x:f>
      </x:c>
      <x:c r="H55" s="11" t="s">
        <x:v>2</x:v>
      </x:c>
      <x:c r="I55" s="11" t="str">
        <x:f>IF($A55="Verdadero o Falso Simple","A","")</x:f>
      </x:c>
      <x:c r="J55" s="11" t="s">
        <x:v>2</x:v>
      </x:c>
      <x:c r="K55" s="11" t="s">
        <x:v>4</x:v>
      </x:c>
      <x:c r="L55" s="13" t="str">
        <x:f>IF(TRIM($A55)="","",IF(COUNTIF($M55:$AG55,"?*")=0,"OK","Falta revisar: "&amp;$M55&amp;$N55&amp;$O55&amp;$P55&amp;$Q55&amp;$R55&amp;$S55&amp;$T55&amp;$U55&amp;$V55&amp;$W55&amp;$X55&amp;$Y55&amp;$Z55&amp;$AA55&amp;$AB55&amp;$AC55&amp;$AD55&amp;$AE55&amp;$AF55&amp;$AG55))</x:f>
        <x:v>OK</x:v>
      </x:c>
      <x:c r="M55" t="str">
        <x:f>IF(TRIM($C55)="","enunciado","")</x:f>
        <x:v>enunciado</x:v>
      </x:c>
      <x:c r="N55" t="str">
        <x:f>IF(TRIM($K55)="",IF(COUNTIF($M55:$M55,"?*")&gt;0,", ","")&amp;"parcial","")</x:f>
      </x:c>
      <x:c r="O55" t="str">
        <x:f>IF(AND(TRIM($K55)&lt;&gt;"",TRIM($K55)&lt;&gt;"EF"),IF(COUNTIF($M55:$N55,"?*")&gt;0,", ","")&amp;"parcial distinto a EF","")</x:f>
      </x:c>
      <x:c r="P55" t="str">
        <x:f>IF(AND(OR($A55="Ítems agrupados por caso clínico o problema",$A55="Subítem de caso o problema",$A55="Emparejamiento Ampliado",$A55="Opción de Emparejamiento Ampliado"),TRIM($B55)=""),IF(COUNTIF($M55:$O55,"?*")&gt;0,", ","")&amp;"grupo","")</x:f>
      </x:c>
      <x:c r="Q55" t="str">
        <x:f>IF(AND(OR($A55="Verdadero o Falso Simple",$A55="Respuesta A/B/Ambas/Ninguna",$A55="Verdadero o Falso Complejas",$A55="Selección de la mejor respuesta",$A55="Subítem de caso o problema",$A55="Opción de Emparejamiento Ampliado"),TRIM($I55)=""),IF(COUNTIF($M55:$P55,"?*")&gt;0,", ","")&amp;"respuesta_correcta","")</x:f>
      </x:c>
      <x:c r="R55" t="str">
        <x:f>IF(AND(OR($A55="Verdadero o Falso Simple",$A55="Respuesta A/B/Ambas/Ninguna",$A55="Verdadero o Falso Complejas",$A55="Selección de la mejor respuesta",$A55="Subítem de caso o problema",$A55="Opción de Emparejamiento Ampliado"),TRIM($J55)=""),IF(COUNTIF($M55:$Q55,"?*")&gt;0,", ","")&amp;"dificultad","")</x:f>
      </x:c>
      <x:c r="S55" t="str">
        <x:f>IF(AND(OR($A55="Ítems agrupados por caso clínico o problema",$A55="Emparejamiento Ampliado"),TRIM($I55)&lt;&gt;""),IF(COUNTIF($M55:$R55,"?*")&gt;0,", ","")&amp;"respuesta debe ir vacia","")</x:f>
      </x:c>
      <x:c r="T55" t="str">
        <x:f>IF(AND(OR($A55="Ítems agrupados por caso clínico o problema",$A55="Emparejamiento Ampliado"),TRIM($J55)&lt;&gt;""),IF(COUNTIF($M55:$S55,"?*")&gt;0,", ","")&amp;"dificultad debe ir vacia","")</x:f>
      </x:c>
      <x:c r="U55" t="str">
        <x:f>IF(AND($A55="Verdadero o Falso Simple",OR(COUNTIF($D55:$E55,"?*")&lt;2,COUNTIF($F55:$H55,"?*")&gt;0)),IF(COUNTIF($M55:$T55,"?*")&gt;0,", ","")&amp;"incisos A-B","")</x:f>
      </x:c>
      <x:c r="V55" t="str">
        <x:f>IF(AND($A55="Verdadero o Falso Simple",TRIM($I55)&lt;&gt;"",NOT(OR(LEFT(TRIM($I55),1)="A",LEFT(TRIM($I55),1)="B"))),IF(COUNTIF($M55:$U55,"?*")&gt;0,", ","")&amp;"respuesta A-B","")</x:f>
      </x:c>
      <x:c r="W55" t="str">
        <x:f>IF(AND($A55="Respuesta A/B/Ambas/Ninguna",COUNTIF($D55:$G55,"?*")&lt;4),IF(COUNTIF($M55:$V55,"?*")&gt;0,", ","")&amp;"opciones A-D","")</x:f>
      </x:c>
      <x:c r="X55" t="str">
        <x:f>IF(AND($A55="Respuesta A/B/Ambas/Ninguna",COUNTIF($H55:$H55,"?*")&gt;0),IF(COUNTIF($M55:$W55,"?*")&gt;0,", ","")&amp;"opcion E deshabilitada","")</x:f>
      </x:c>
      <x:c r="Y55" t="str">
        <x:f>IF(AND($A55="Respuesta A/B/Ambas/Ninguna",TRIM($I55)&lt;&gt;"",NOT(OR(LEFT(TRIM($I55),1)="A",LEFT(TRIM($I55),1)="B",LEFT(TRIM($I55),1)="C",LEFT(TRIM($I55),1)="D"))),IF(COUNTIF($M55:$X55,"?*")&gt;0,", ","")&amp;"respuesta A-D","")</x:f>
      </x:c>
      <x:c r="Z55" t="str">
        <x:f>IF(AND($A55="Verdadero o Falso Complejas",OR(LEN(TRIM(SUBSTITUTE($D55,"1.","")))=0,LEN(TRIM(SUBSTITUTE($E55,"2.","")))=0,LEN(TRIM(SUBSTITUTE($F55,"3.","")))=0,LEN(TRIM(SUBSTITUTE($G55,"4.","")))=0)),IF(COUNTIF($M55:$Y55,"?*")&gt;0,", ","")&amp;"incisos 1-4","")</x:f>
      </x:c>
      <x:c r="AA55" t="str">
        <x:f>IF(AND($A55="Verdadero o Falso Complejas",COUNTIF($H55:$H55,"?*")&gt;0),IF(COUNTIF($M55:$Z55,"?*")&gt;0,", ","")&amp;"opcion E deshabilitada","")</x:f>
      </x:c>
      <x:c r="AB55" t="str">
        <x:f>IF(AND($A55="Verdadero o Falso Complejas",TRIM($I55)&lt;&gt;"",NOT(OR(LEFT(TRIM($I55),1)="A",LEFT(TRIM($I55),1)="B",LEFT(TRIM($I55),1)="C",LEFT(TRIM($I55),1)="D",LEFT(TRIM($I55),1)="E"))),IF(COUNTIF($M55:$AA55,"?*")&gt;0,", ","")&amp;"respuesta A-E","")</x:f>
      </x:c>
      <x:c r="AC55" t="str">
        <x:f>IF(AND(OR($A55="Selección de la mejor respuesta",$A55="Subítem de caso o problema"),COUNTIF($D55:$H55,"?*")&lt;5),IF(COUNTIF($M55:$AB55,"?*")&gt;0,", ","")&amp;"incisos A-E","")</x:f>
      </x:c>
      <x:c r="AD55" t="str">
        <x:f>IF(AND(OR($A55="Selección de la mejor respuesta",$A55="Subítem de caso o problema"),TRIM($I55)&lt;&gt;"",NOT(OR(LEFT(TRIM($I55),1)="A",LEFT(TRIM($I55),1)="B",LEFT(TRIM($I55),1)="C",LEFT(TRIM($I55),1)="D",LEFT(TRIM($I55),1)="E"))),IF(COUNTIF($M55:$AC55,"?*")&gt;0,", ","")&amp;"respuesta A-E","")</x:f>
      </x:c>
      <x:c r="AE55" t="str">
        <x:f>IF(AND(OR($A55="Ítems agrupados por caso clínico o problema",$A55="Opción de Emparejamiento Ampliado"),COUNTIF($D55:$H55,"?*")&gt;0),IF(COUNTIF($M55:$AD55,"?*")&gt;0,", ","")&amp;"sin incisos","")</x:f>
      </x:c>
      <x:c r="AF55" t="str">
        <x:f>IF(AND($A55="Emparejamiento Ampliado",COUNTIF($D55:$H55,"?*")&lt;2),IF(COUNTIF($M55:$AE55,"?*")&gt;0,", ","")&amp;"minimo 2 claves","")</x:f>
      </x:c>
      <x:c r="AG55" t="str">
        <x:f>IF(AND($A55="Opción de Emparejamiento Ampliado",NOT(OR(LEFT(TRIM($I55),1)="A",LEFT(TRIM($I55),1)="B",LEFT(TRIM($I55),1)="C",LEFT(TRIM($I55),1)="D",LEFT(TRIM($I55),1)="E"))),IF(COUNTIF($M55:$AF55,"?*")&gt;0,", ","")&amp;"respuesta A-E","")</x:f>
      </x:c>
      <x:c r="AK55" s="29" t="str"/>
    </x:row>
    <x:row r="56" ht="24" customHeight="1">
      <x:c r="A56" s="11" t="s">
        <x:v>2</x:v>
      </x:c>
      <x:c r="B56" s="11" t="s">
        <x:v>2</x:v>
      </x:c>
      <x:c r="C56" s="12" t="str">
        <x:f>IF($A56="Emparejamiento Ampliado",VALIDACIONES!$I$1,IF($A56="Respuesta A/B/Ambas/Ninguna","I. "&amp;CHAR(10)&amp;"II. ",""))</x:f>
      </x:c>
      <x:c r="D56" s="11" t="str">
        <x:f>IF($A56="Verdadero o Falso Simple","Verdadero",IF($A56="Respuesta A/B/Ambas/Ninguna","A. Si la primera es verdadera",""))</x:f>
      </x:c>
      <x:c r="E56" s="11" t="str">
        <x:f>IF($A56="Verdadero o Falso Simple","Falso",IF($A56="Respuesta A/B/Ambas/Ninguna","B. Si la segunda es verdadera",""))</x:f>
      </x:c>
      <x:c r="F56" s="11" t="str">
        <x:f>IF($A56="Respuesta A/B/Ambas/Ninguna","C. Si ambas son verdaderas","")</x:f>
      </x:c>
      <x:c r="G56" s="11" t="str">
        <x:f>IF($A56="Respuesta A/B/Ambas/Ninguna","D. Si ninguna es verdadera","")</x:f>
      </x:c>
      <x:c r="H56" s="11" t="s">
        <x:v>2</x:v>
      </x:c>
      <x:c r="I56" s="11" t="str">
        <x:f>IF($A56="Verdadero o Falso Simple","A","")</x:f>
      </x:c>
      <x:c r="J56" s="11" t="s">
        <x:v>2</x:v>
      </x:c>
      <x:c r="K56" s="11" t="s">
        <x:v>4</x:v>
      </x:c>
      <x:c r="L56" s="13" t="str">
        <x:f>IF(TRIM($A56)="","",IF(COUNTIF($M56:$AG56,"?*")=0,"OK","Falta revisar: "&amp;$M56&amp;$N56&amp;$O56&amp;$P56&amp;$Q56&amp;$R56&amp;$S56&amp;$T56&amp;$U56&amp;$V56&amp;$W56&amp;$X56&amp;$Y56&amp;$Z56&amp;$AA56&amp;$AB56&amp;$AC56&amp;$AD56&amp;$AE56&amp;$AF56&amp;$AG56))</x:f>
        <x:v>OK</x:v>
      </x:c>
      <x:c r="M56" t="str">
        <x:f>IF(TRIM($C56)="","enunciado","")</x:f>
        <x:v>enunciado</x:v>
      </x:c>
      <x:c r="N56" t="str">
        <x:f>IF(TRIM($K56)="",IF(COUNTIF($M56:$M56,"?*")&gt;0,", ","")&amp;"parcial","")</x:f>
      </x:c>
      <x:c r="O56" t="str">
        <x:f>IF(AND(TRIM($K56)&lt;&gt;"",TRIM($K56)&lt;&gt;"EF"),IF(COUNTIF($M56:$N56,"?*")&gt;0,", ","")&amp;"parcial distinto a EF","")</x:f>
      </x:c>
      <x:c r="P56" t="str">
        <x:f>IF(AND(OR($A56="Ítems agrupados por caso clínico o problema",$A56="Subítem de caso o problema",$A56="Emparejamiento Ampliado",$A56="Opción de Emparejamiento Ampliado"),TRIM($B56)=""),IF(COUNTIF($M56:$O56,"?*")&gt;0,", ","")&amp;"grupo","")</x:f>
      </x:c>
      <x:c r="Q56" t="str">
        <x:f>IF(AND(OR($A56="Verdadero o Falso Simple",$A56="Respuesta A/B/Ambas/Ninguna",$A56="Verdadero o Falso Complejas",$A56="Selección de la mejor respuesta",$A56="Subítem de caso o problema",$A56="Opción de Emparejamiento Ampliado"),TRIM($I56)=""),IF(COUNTIF($M56:$P56,"?*")&gt;0,", ","")&amp;"respuesta_correcta","")</x:f>
      </x:c>
      <x:c r="R56" t="str">
        <x:f>IF(AND(OR($A56="Verdadero o Falso Simple",$A56="Respuesta A/B/Ambas/Ninguna",$A56="Verdadero o Falso Complejas",$A56="Selección de la mejor respuesta",$A56="Subítem de caso o problema",$A56="Opción de Emparejamiento Ampliado"),TRIM($J56)=""),IF(COUNTIF($M56:$Q56,"?*")&gt;0,", ","")&amp;"dificultad","")</x:f>
      </x:c>
      <x:c r="S56" t="str">
        <x:f>IF(AND(OR($A56="Ítems agrupados por caso clínico o problema",$A56="Emparejamiento Ampliado"),TRIM($I56)&lt;&gt;""),IF(COUNTIF($M56:$R56,"?*")&gt;0,", ","")&amp;"respuesta debe ir vacia","")</x:f>
      </x:c>
      <x:c r="T56" t="str">
        <x:f>IF(AND(OR($A56="Ítems agrupados por caso clínico o problema",$A56="Emparejamiento Ampliado"),TRIM($J56)&lt;&gt;""),IF(COUNTIF($M56:$S56,"?*")&gt;0,", ","")&amp;"dificultad debe ir vacia","")</x:f>
      </x:c>
      <x:c r="U56" t="str">
        <x:f>IF(AND($A56="Verdadero o Falso Simple",OR(COUNTIF($D56:$E56,"?*")&lt;2,COUNTIF($F56:$H56,"?*")&gt;0)),IF(COUNTIF($M56:$T56,"?*")&gt;0,", ","")&amp;"incisos A-B","")</x:f>
      </x:c>
      <x:c r="V56" t="str">
        <x:f>IF(AND($A56="Verdadero o Falso Simple",TRIM($I56)&lt;&gt;"",NOT(OR(LEFT(TRIM($I56),1)="A",LEFT(TRIM($I56),1)="B"))),IF(COUNTIF($M56:$U56,"?*")&gt;0,", ","")&amp;"respuesta A-B","")</x:f>
      </x:c>
      <x:c r="W56" t="str">
        <x:f>IF(AND($A56="Respuesta A/B/Ambas/Ninguna",COUNTIF($D56:$G56,"?*")&lt;4),IF(COUNTIF($M56:$V56,"?*")&gt;0,", ","")&amp;"opciones A-D","")</x:f>
      </x:c>
      <x:c r="X56" t="str">
        <x:f>IF(AND($A56="Respuesta A/B/Ambas/Ninguna",COUNTIF($H56:$H56,"?*")&gt;0),IF(COUNTIF($M56:$W56,"?*")&gt;0,", ","")&amp;"opcion E deshabilitada","")</x:f>
      </x:c>
      <x:c r="Y56" t="str">
        <x:f>IF(AND($A56="Respuesta A/B/Ambas/Ninguna",TRIM($I56)&lt;&gt;"",NOT(OR(LEFT(TRIM($I56),1)="A",LEFT(TRIM($I56),1)="B",LEFT(TRIM($I56),1)="C",LEFT(TRIM($I56),1)="D"))),IF(COUNTIF($M56:$X56,"?*")&gt;0,", ","")&amp;"respuesta A-D","")</x:f>
      </x:c>
      <x:c r="Z56" t="str">
        <x:f>IF(AND($A56="Verdadero o Falso Complejas",OR(LEN(TRIM(SUBSTITUTE($D56,"1.","")))=0,LEN(TRIM(SUBSTITUTE($E56,"2.","")))=0,LEN(TRIM(SUBSTITUTE($F56,"3.","")))=0,LEN(TRIM(SUBSTITUTE($G56,"4.","")))=0)),IF(COUNTIF($M56:$Y56,"?*")&gt;0,", ","")&amp;"incisos 1-4","")</x:f>
      </x:c>
      <x:c r="AA56" t="str">
        <x:f>IF(AND($A56="Verdadero o Falso Complejas",COUNTIF($H56:$H56,"?*")&gt;0),IF(COUNTIF($M56:$Z56,"?*")&gt;0,", ","")&amp;"opcion E deshabilitada","")</x:f>
      </x:c>
      <x:c r="AB56" t="str">
        <x:f>IF(AND($A56="Verdadero o Falso Complejas",TRIM($I56)&lt;&gt;"",NOT(OR(LEFT(TRIM($I56),1)="A",LEFT(TRIM($I56),1)="B",LEFT(TRIM($I56),1)="C",LEFT(TRIM($I56),1)="D",LEFT(TRIM($I56),1)="E"))),IF(COUNTIF($M56:$AA56,"?*")&gt;0,", ","")&amp;"respuesta A-E","")</x:f>
      </x:c>
      <x:c r="AC56" t="str">
        <x:f>IF(AND(OR($A56="Selección de la mejor respuesta",$A56="Subítem de caso o problema"),COUNTIF($D56:$H56,"?*")&lt;5),IF(COUNTIF($M56:$AB56,"?*")&gt;0,", ","")&amp;"incisos A-E","")</x:f>
      </x:c>
      <x:c r="AD56" t="str">
        <x:f>IF(AND(OR($A56="Selección de la mejor respuesta",$A56="Subítem de caso o problema"),TRIM($I56)&lt;&gt;"",NOT(OR(LEFT(TRIM($I56),1)="A",LEFT(TRIM($I56),1)="B",LEFT(TRIM($I56),1)="C",LEFT(TRIM($I56),1)="D",LEFT(TRIM($I56),1)="E"))),IF(COUNTIF($M56:$AC56,"?*")&gt;0,", ","")&amp;"respuesta A-E","")</x:f>
      </x:c>
      <x:c r="AE56" t="str">
        <x:f>IF(AND(OR($A56="Ítems agrupados por caso clínico o problema",$A56="Opción de Emparejamiento Ampliado"),COUNTIF($D56:$H56,"?*")&gt;0),IF(COUNTIF($M56:$AD56,"?*")&gt;0,", ","")&amp;"sin incisos","")</x:f>
      </x:c>
      <x:c r="AF56" t="str">
        <x:f>IF(AND($A56="Emparejamiento Ampliado",COUNTIF($D56:$H56,"?*")&lt;2),IF(COUNTIF($M56:$AE56,"?*")&gt;0,", ","")&amp;"minimo 2 claves","")</x:f>
      </x:c>
      <x:c r="AG56" t="str">
        <x:f>IF(AND($A56="Opción de Emparejamiento Ampliado",NOT(OR(LEFT(TRIM($I56),1)="A",LEFT(TRIM($I56),1)="B",LEFT(TRIM($I56),1)="C",LEFT(TRIM($I56),1)="D",LEFT(TRIM($I56),1)="E"))),IF(COUNTIF($M56:$AF56,"?*")&gt;0,", ","")&amp;"respuesta A-E","")</x:f>
      </x:c>
      <x:c r="AK56" s="29" t="str"/>
    </x:row>
    <x:row r="57" ht="24" customHeight="1">
      <x:c r="A57" s="11" t="s">
        <x:v>2</x:v>
      </x:c>
      <x:c r="B57" s="11" t="s">
        <x:v>2</x:v>
      </x:c>
      <x:c r="C57" s="12" t="str">
        <x:f>IF($A57="Emparejamiento Ampliado",VALIDACIONES!$I$1,IF($A57="Respuesta A/B/Ambas/Ninguna","I. "&amp;CHAR(10)&amp;"II. ",""))</x:f>
      </x:c>
      <x:c r="D57" s="11" t="str">
        <x:f>IF($A57="Verdadero o Falso Simple","Verdadero",IF($A57="Respuesta A/B/Ambas/Ninguna","A. Si la primera es verdadera",""))</x:f>
      </x:c>
      <x:c r="E57" s="11" t="str">
        <x:f>IF($A57="Verdadero o Falso Simple","Falso",IF($A57="Respuesta A/B/Ambas/Ninguna","B. Si la segunda es verdadera",""))</x:f>
      </x:c>
      <x:c r="F57" s="11" t="str">
        <x:f>IF($A57="Respuesta A/B/Ambas/Ninguna","C. Si ambas son verdaderas","")</x:f>
      </x:c>
      <x:c r="G57" s="11" t="str">
        <x:f>IF($A57="Respuesta A/B/Ambas/Ninguna","D. Si ninguna es verdadera","")</x:f>
      </x:c>
      <x:c r="H57" s="11" t="s">
        <x:v>2</x:v>
      </x:c>
      <x:c r="I57" s="11" t="str">
        <x:f>IF($A57="Verdadero o Falso Simple","A","")</x:f>
      </x:c>
      <x:c r="J57" s="11" t="s">
        <x:v>2</x:v>
      </x:c>
      <x:c r="K57" s="11" t="s">
        <x:v>4</x:v>
      </x:c>
      <x:c r="L57" s="13" t="str">
        <x:f>IF(TRIM($A57)="","",IF(COUNTIF($M57:$AG57,"?*")=0,"OK","Falta revisar: "&amp;$M57&amp;$N57&amp;$O57&amp;$P57&amp;$Q57&amp;$R57&amp;$S57&amp;$T57&amp;$U57&amp;$V57&amp;$W57&amp;$X57&amp;$Y57&amp;$Z57&amp;$AA57&amp;$AB57&amp;$AC57&amp;$AD57&amp;$AE57&amp;$AF57&amp;$AG57))</x:f>
        <x:v>OK</x:v>
      </x:c>
      <x:c r="M57" t="str">
        <x:f>IF(TRIM($C57)="","enunciado","")</x:f>
        <x:v>enunciado</x:v>
      </x:c>
      <x:c r="N57" t="str">
        <x:f>IF(TRIM($K57)="",IF(COUNTIF($M57:$M57,"?*")&gt;0,", ","")&amp;"parcial","")</x:f>
      </x:c>
      <x:c r="O57" t="str">
        <x:f>IF(AND(TRIM($K57)&lt;&gt;"",TRIM($K57)&lt;&gt;"EF"),IF(COUNTIF($M57:$N57,"?*")&gt;0,", ","")&amp;"parcial distinto a EF","")</x:f>
      </x:c>
      <x:c r="P57" t="str">
        <x:f>IF(AND(OR($A57="Ítems agrupados por caso clínico o problema",$A57="Subítem de caso o problema",$A57="Emparejamiento Ampliado",$A57="Opción de Emparejamiento Ampliado"),TRIM($B57)=""),IF(COUNTIF($M57:$O57,"?*")&gt;0,", ","")&amp;"grupo","")</x:f>
      </x:c>
      <x:c r="Q57" t="str">
        <x:f>IF(AND(OR($A57="Verdadero o Falso Simple",$A57="Respuesta A/B/Ambas/Ninguna",$A57="Verdadero o Falso Complejas",$A57="Selección de la mejor respuesta",$A57="Subítem de caso o problema",$A57="Opción de Emparejamiento Ampliado"),TRIM($I57)=""),IF(COUNTIF($M57:$P57,"?*")&gt;0,", ","")&amp;"respuesta_correcta","")</x:f>
      </x:c>
      <x:c r="R57" t="str">
        <x:f>IF(AND(OR($A57="Verdadero o Falso Simple",$A57="Respuesta A/B/Ambas/Ninguna",$A57="Verdadero o Falso Complejas",$A57="Selección de la mejor respuesta",$A57="Subítem de caso o problema",$A57="Opción de Emparejamiento Ampliado"),TRIM($J57)=""),IF(COUNTIF($M57:$Q57,"?*")&gt;0,", ","")&amp;"dificultad","")</x:f>
      </x:c>
      <x:c r="S57" t="str">
        <x:f>IF(AND(OR($A57="Ítems agrupados por caso clínico o problema",$A57="Emparejamiento Ampliado"),TRIM($I57)&lt;&gt;""),IF(COUNTIF($M57:$R57,"?*")&gt;0,", ","")&amp;"respuesta debe ir vacia","")</x:f>
      </x:c>
      <x:c r="T57" t="str">
        <x:f>IF(AND(OR($A57="Ítems agrupados por caso clínico o problema",$A57="Emparejamiento Ampliado"),TRIM($J57)&lt;&gt;""),IF(COUNTIF($M57:$S57,"?*")&gt;0,", ","")&amp;"dificultad debe ir vacia","")</x:f>
      </x:c>
      <x:c r="U57" t="str">
        <x:f>IF(AND($A57="Verdadero o Falso Simple",OR(COUNTIF($D57:$E57,"?*")&lt;2,COUNTIF($F57:$H57,"?*")&gt;0)),IF(COUNTIF($M57:$T57,"?*")&gt;0,", ","")&amp;"incisos A-B","")</x:f>
      </x:c>
      <x:c r="V57" t="str">
        <x:f>IF(AND($A57="Verdadero o Falso Simple",TRIM($I57)&lt;&gt;"",NOT(OR(LEFT(TRIM($I57),1)="A",LEFT(TRIM($I57),1)="B"))),IF(COUNTIF($M57:$U57,"?*")&gt;0,", ","")&amp;"respuesta A-B","")</x:f>
      </x:c>
      <x:c r="W57" t="str">
        <x:f>IF(AND($A57="Respuesta A/B/Ambas/Ninguna",COUNTIF($D57:$G57,"?*")&lt;4),IF(COUNTIF($M57:$V57,"?*")&gt;0,", ","")&amp;"opciones A-D","")</x:f>
      </x:c>
      <x:c r="X57" t="str">
        <x:f>IF(AND($A57="Respuesta A/B/Ambas/Ninguna",COUNTIF($H57:$H57,"?*")&gt;0),IF(COUNTIF($M57:$W57,"?*")&gt;0,", ","")&amp;"opcion E deshabilitada","")</x:f>
      </x:c>
      <x:c r="Y57" t="str">
        <x:f>IF(AND($A57="Respuesta A/B/Ambas/Ninguna",TRIM($I57)&lt;&gt;"",NOT(OR(LEFT(TRIM($I57),1)="A",LEFT(TRIM($I57),1)="B",LEFT(TRIM($I57),1)="C",LEFT(TRIM($I57),1)="D"))),IF(COUNTIF($M57:$X57,"?*")&gt;0,", ","")&amp;"respuesta A-D","")</x:f>
      </x:c>
      <x:c r="Z57" t="str">
        <x:f>IF(AND($A57="Verdadero o Falso Complejas",OR(LEN(TRIM(SUBSTITUTE($D57,"1.","")))=0,LEN(TRIM(SUBSTITUTE($E57,"2.","")))=0,LEN(TRIM(SUBSTITUTE($F57,"3.","")))=0,LEN(TRIM(SUBSTITUTE($G57,"4.","")))=0)),IF(COUNTIF($M57:$Y57,"?*")&gt;0,", ","")&amp;"incisos 1-4","")</x:f>
      </x:c>
      <x:c r="AA57" t="str">
        <x:f>IF(AND($A57="Verdadero o Falso Complejas",COUNTIF($H57:$H57,"?*")&gt;0),IF(COUNTIF($M57:$Z57,"?*")&gt;0,", ","")&amp;"opcion E deshabilitada","")</x:f>
      </x:c>
      <x:c r="AB57" t="str">
        <x:f>IF(AND($A57="Verdadero o Falso Complejas",TRIM($I57)&lt;&gt;"",NOT(OR(LEFT(TRIM($I57),1)="A",LEFT(TRIM($I57),1)="B",LEFT(TRIM($I57),1)="C",LEFT(TRIM($I57),1)="D",LEFT(TRIM($I57),1)="E"))),IF(COUNTIF($M57:$AA57,"?*")&gt;0,", ","")&amp;"respuesta A-E","")</x:f>
      </x:c>
      <x:c r="AC57" t="str">
        <x:f>IF(AND(OR($A57="Selección de la mejor respuesta",$A57="Subítem de caso o problema"),COUNTIF($D57:$H57,"?*")&lt;5),IF(COUNTIF($M57:$AB57,"?*")&gt;0,", ","")&amp;"incisos A-E","")</x:f>
      </x:c>
      <x:c r="AD57" t="str">
        <x:f>IF(AND(OR($A57="Selección de la mejor respuesta",$A57="Subítem de caso o problema"),TRIM($I57)&lt;&gt;"",NOT(OR(LEFT(TRIM($I57),1)="A",LEFT(TRIM($I57),1)="B",LEFT(TRIM($I57),1)="C",LEFT(TRIM($I57),1)="D",LEFT(TRIM($I57),1)="E"))),IF(COUNTIF($M57:$AC57,"?*")&gt;0,", ","")&amp;"respuesta A-E","")</x:f>
      </x:c>
      <x:c r="AE57" t="str">
        <x:f>IF(AND(OR($A57="Ítems agrupados por caso clínico o problema",$A57="Opción de Emparejamiento Ampliado"),COUNTIF($D57:$H57,"?*")&gt;0),IF(COUNTIF($M57:$AD57,"?*")&gt;0,", ","")&amp;"sin incisos","")</x:f>
      </x:c>
      <x:c r="AF57" t="str">
        <x:f>IF(AND($A57="Emparejamiento Ampliado",COUNTIF($D57:$H57,"?*")&lt;2),IF(COUNTIF($M57:$AE57,"?*")&gt;0,", ","")&amp;"minimo 2 claves","")</x:f>
      </x:c>
      <x:c r="AG57" t="str">
        <x:f>IF(AND($A57="Opción de Emparejamiento Ampliado",NOT(OR(LEFT(TRIM($I57),1)="A",LEFT(TRIM($I57),1)="B",LEFT(TRIM($I57),1)="C",LEFT(TRIM($I57),1)="D",LEFT(TRIM($I57),1)="E"))),IF(COUNTIF($M57:$AF57,"?*")&gt;0,", ","")&amp;"respuesta A-E","")</x:f>
      </x:c>
      <x:c r="AK57" s="29" t="str"/>
    </x:row>
    <x:row r="58" ht="24" customHeight="1">
      <x:c r="A58" s="11" t="s">
        <x:v>2</x:v>
      </x:c>
      <x:c r="B58" s="11" t="s">
        <x:v>2</x:v>
      </x:c>
      <x:c r="C58" s="12" t="str">
        <x:f>IF($A58="Emparejamiento Ampliado",VALIDACIONES!$I$1,IF($A58="Respuesta A/B/Ambas/Ninguna","I. "&amp;CHAR(10)&amp;"II. ",""))</x:f>
      </x:c>
      <x:c r="D58" s="11" t="str">
        <x:f>IF($A58="Verdadero o Falso Simple","Verdadero",IF($A58="Respuesta A/B/Ambas/Ninguna","A. Si la primera es verdadera",""))</x:f>
      </x:c>
      <x:c r="E58" s="11" t="str">
        <x:f>IF($A58="Verdadero o Falso Simple","Falso",IF($A58="Respuesta A/B/Ambas/Ninguna","B. Si la segunda es verdadera",""))</x:f>
      </x:c>
      <x:c r="F58" s="11" t="str">
        <x:f>IF($A58="Respuesta A/B/Ambas/Ninguna","C. Si ambas son verdaderas","")</x:f>
      </x:c>
      <x:c r="G58" s="11" t="str">
        <x:f>IF($A58="Respuesta A/B/Ambas/Ninguna","D. Si ninguna es verdadera","")</x:f>
      </x:c>
      <x:c r="H58" s="11" t="s">
        <x:v>2</x:v>
      </x:c>
      <x:c r="I58" s="11" t="str">
        <x:f>IF($A58="Verdadero o Falso Simple","A","")</x:f>
      </x:c>
      <x:c r="J58" s="11" t="s">
        <x:v>2</x:v>
      </x:c>
      <x:c r="K58" s="11" t="s">
        <x:v>4</x:v>
      </x:c>
      <x:c r="L58" s="13" t="str">
        <x:f>IF(TRIM($A58)="","",IF(COUNTIF($M58:$AG58,"?*")=0,"OK","Falta revisar: "&amp;$M58&amp;$N58&amp;$O58&amp;$P58&amp;$Q58&amp;$R58&amp;$S58&amp;$T58&amp;$U58&amp;$V58&amp;$W58&amp;$X58&amp;$Y58&amp;$Z58&amp;$AA58&amp;$AB58&amp;$AC58&amp;$AD58&amp;$AE58&amp;$AF58&amp;$AG58))</x:f>
        <x:v>OK</x:v>
      </x:c>
      <x:c r="M58" t="str">
        <x:f>IF(TRIM($C58)="","enunciado","")</x:f>
        <x:v>enunciado</x:v>
      </x:c>
      <x:c r="N58" t="str">
        <x:f>IF(TRIM($K58)="",IF(COUNTIF($M58:$M58,"?*")&gt;0,", ","")&amp;"parcial","")</x:f>
      </x:c>
      <x:c r="O58" t="str">
        <x:f>IF(AND(TRIM($K58)&lt;&gt;"",TRIM($K58)&lt;&gt;"EF"),IF(COUNTIF($M58:$N58,"?*")&gt;0,", ","")&amp;"parcial distinto a EF","")</x:f>
      </x:c>
      <x:c r="P58" t="str">
        <x:f>IF(AND(OR($A58="Ítems agrupados por caso clínico o problema",$A58="Subítem de caso o problema",$A58="Emparejamiento Ampliado",$A58="Opción de Emparejamiento Ampliado"),TRIM($B58)=""),IF(COUNTIF($M58:$O58,"?*")&gt;0,", ","")&amp;"grupo","")</x:f>
      </x:c>
      <x:c r="Q58" t="str">
        <x:f>IF(AND(OR($A58="Verdadero o Falso Simple",$A58="Respuesta A/B/Ambas/Ninguna",$A58="Verdadero o Falso Complejas",$A58="Selección de la mejor respuesta",$A58="Subítem de caso o problema",$A58="Opción de Emparejamiento Ampliado"),TRIM($I58)=""),IF(COUNTIF($M58:$P58,"?*")&gt;0,", ","")&amp;"respuesta_correcta","")</x:f>
      </x:c>
      <x:c r="R58" t="str">
        <x:f>IF(AND(OR($A58="Verdadero o Falso Simple",$A58="Respuesta A/B/Ambas/Ninguna",$A58="Verdadero o Falso Complejas",$A58="Selección de la mejor respuesta",$A58="Subítem de caso o problema",$A58="Opción de Emparejamiento Ampliado"),TRIM($J58)=""),IF(COUNTIF($M58:$Q58,"?*")&gt;0,", ","")&amp;"dificultad","")</x:f>
      </x:c>
      <x:c r="S58" t="str">
        <x:f>IF(AND(OR($A58="Ítems agrupados por caso clínico o problema",$A58="Emparejamiento Ampliado"),TRIM($I58)&lt;&gt;""),IF(COUNTIF($M58:$R58,"?*")&gt;0,", ","")&amp;"respuesta debe ir vacia","")</x:f>
      </x:c>
      <x:c r="T58" t="str">
        <x:f>IF(AND(OR($A58="Ítems agrupados por caso clínico o problema",$A58="Emparejamiento Ampliado"),TRIM($J58)&lt;&gt;""),IF(COUNTIF($M58:$S58,"?*")&gt;0,", ","")&amp;"dificultad debe ir vacia","")</x:f>
      </x:c>
      <x:c r="U58" t="str">
        <x:f>IF(AND($A58="Verdadero o Falso Simple",OR(COUNTIF($D58:$E58,"?*")&lt;2,COUNTIF($F58:$H58,"?*")&gt;0)),IF(COUNTIF($M58:$T58,"?*")&gt;0,", ","")&amp;"incisos A-B","")</x:f>
      </x:c>
      <x:c r="V58" t="str">
        <x:f>IF(AND($A58="Verdadero o Falso Simple",TRIM($I58)&lt;&gt;"",NOT(OR(LEFT(TRIM($I58),1)="A",LEFT(TRIM($I58),1)="B"))),IF(COUNTIF($M58:$U58,"?*")&gt;0,", ","")&amp;"respuesta A-B","")</x:f>
      </x:c>
      <x:c r="W58" t="str">
        <x:f>IF(AND($A58="Respuesta A/B/Ambas/Ninguna",COUNTIF($D58:$G58,"?*")&lt;4),IF(COUNTIF($M58:$V58,"?*")&gt;0,", ","")&amp;"opciones A-D","")</x:f>
      </x:c>
      <x:c r="X58" t="str">
        <x:f>IF(AND($A58="Respuesta A/B/Ambas/Ninguna",COUNTIF($H58:$H58,"?*")&gt;0),IF(COUNTIF($M58:$W58,"?*")&gt;0,", ","")&amp;"opcion E deshabilitada","")</x:f>
      </x:c>
      <x:c r="Y58" t="str">
        <x:f>IF(AND($A58="Respuesta A/B/Ambas/Ninguna",TRIM($I58)&lt;&gt;"",NOT(OR(LEFT(TRIM($I58),1)="A",LEFT(TRIM($I58),1)="B",LEFT(TRIM($I58),1)="C",LEFT(TRIM($I58),1)="D"))),IF(COUNTIF($M58:$X58,"?*")&gt;0,", ","")&amp;"respuesta A-D","")</x:f>
      </x:c>
      <x:c r="Z58" t="str">
        <x:f>IF(AND($A58="Verdadero o Falso Complejas",OR(LEN(TRIM(SUBSTITUTE($D58,"1.","")))=0,LEN(TRIM(SUBSTITUTE($E58,"2.","")))=0,LEN(TRIM(SUBSTITUTE($F58,"3.","")))=0,LEN(TRIM(SUBSTITUTE($G58,"4.","")))=0)),IF(COUNTIF($M58:$Y58,"?*")&gt;0,", ","")&amp;"incisos 1-4","")</x:f>
      </x:c>
      <x:c r="AA58" t="str">
        <x:f>IF(AND($A58="Verdadero o Falso Complejas",COUNTIF($H58:$H58,"?*")&gt;0),IF(COUNTIF($M58:$Z58,"?*")&gt;0,", ","")&amp;"opcion E deshabilitada","")</x:f>
      </x:c>
      <x:c r="AB58" t="str">
        <x:f>IF(AND($A58="Verdadero o Falso Complejas",TRIM($I58)&lt;&gt;"",NOT(OR(LEFT(TRIM($I58),1)="A",LEFT(TRIM($I58),1)="B",LEFT(TRIM($I58),1)="C",LEFT(TRIM($I58),1)="D",LEFT(TRIM($I58),1)="E"))),IF(COUNTIF($M58:$AA58,"?*")&gt;0,", ","")&amp;"respuesta A-E","")</x:f>
      </x:c>
      <x:c r="AC58" t="str">
        <x:f>IF(AND(OR($A58="Selección de la mejor respuesta",$A58="Subítem de caso o problema"),COUNTIF($D58:$H58,"?*")&lt;5),IF(COUNTIF($M58:$AB58,"?*")&gt;0,", ","")&amp;"incisos A-E","")</x:f>
      </x:c>
      <x:c r="AD58" t="str">
        <x:f>IF(AND(OR($A58="Selección de la mejor respuesta",$A58="Subítem de caso o problema"),TRIM($I58)&lt;&gt;"",NOT(OR(LEFT(TRIM($I58),1)="A",LEFT(TRIM($I58),1)="B",LEFT(TRIM($I58),1)="C",LEFT(TRIM($I58),1)="D",LEFT(TRIM($I58),1)="E"))),IF(COUNTIF($M58:$AC58,"?*")&gt;0,", ","")&amp;"respuesta A-E","")</x:f>
      </x:c>
      <x:c r="AE58" t="str">
        <x:f>IF(AND(OR($A58="Ítems agrupados por caso clínico o problema",$A58="Opción de Emparejamiento Ampliado"),COUNTIF($D58:$H58,"?*")&gt;0),IF(COUNTIF($M58:$AD58,"?*")&gt;0,", ","")&amp;"sin incisos","")</x:f>
      </x:c>
      <x:c r="AF58" t="str">
        <x:f>IF(AND($A58="Emparejamiento Ampliado",COUNTIF($D58:$H58,"?*")&lt;2),IF(COUNTIF($M58:$AE58,"?*")&gt;0,", ","")&amp;"minimo 2 claves","")</x:f>
      </x:c>
      <x:c r="AG58" t="str">
        <x:f>IF(AND($A58="Opción de Emparejamiento Ampliado",NOT(OR(LEFT(TRIM($I58),1)="A",LEFT(TRIM($I58),1)="B",LEFT(TRIM($I58),1)="C",LEFT(TRIM($I58),1)="D",LEFT(TRIM($I58),1)="E"))),IF(COUNTIF($M58:$AF58,"?*")&gt;0,", ","")&amp;"respuesta A-E","")</x:f>
      </x:c>
      <x:c r="AK58" s="29" t="str"/>
    </x:row>
    <x:row r="59" ht="24" customHeight="1">
      <x:c r="A59" s="11" t="s">
        <x:v>2</x:v>
      </x:c>
      <x:c r="B59" s="11" t="s">
        <x:v>2</x:v>
      </x:c>
      <x:c r="C59" s="12" t="str">
        <x:f>IF($A59="Emparejamiento Ampliado",VALIDACIONES!$I$1,IF($A59="Respuesta A/B/Ambas/Ninguna","I. "&amp;CHAR(10)&amp;"II. ",""))</x:f>
      </x:c>
      <x:c r="D59" s="11" t="str">
        <x:f>IF($A59="Verdadero o Falso Simple","Verdadero",IF($A59="Respuesta A/B/Ambas/Ninguna","A. Si la primera es verdadera",""))</x:f>
      </x:c>
      <x:c r="E59" s="11" t="str">
        <x:f>IF($A59="Verdadero o Falso Simple","Falso",IF($A59="Respuesta A/B/Ambas/Ninguna","B. Si la segunda es verdadera",""))</x:f>
      </x:c>
      <x:c r="F59" s="11" t="str">
        <x:f>IF($A59="Respuesta A/B/Ambas/Ninguna","C. Si ambas son verdaderas","")</x:f>
      </x:c>
      <x:c r="G59" s="11" t="str">
        <x:f>IF($A59="Respuesta A/B/Ambas/Ninguna","D. Si ninguna es verdadera","")</x:f>
      </x:c>
      <x:c r="H59" s="11" t="s">
        <x:v>2</x:v>
      </x:c>
      <x:c r="I59" s="11" t="str">
        <x:f>IF($A59="Verdadero o Falso Simple","A","")</x:f>
      </x:c>
      <x:c r="J59" s="11" t="s">
        <x:v>2</x:v>
      </x:c>
      <x:c r="K59" s="11" t="s">
        <x:v>4</x:v>
      </x:c>
      <x:c r="L59" s="13" t="str">
        <x:f>IF(TRIM($A59)="","",IF(COUNTIF($M59:$AG59,"?*")=0,"OK","Falta revisar: "&amp;$M59&amp;$N59&amp;$O59&amp;$P59&amp;$Q59&amp;$R59&amp;$S59&amp;$T59&amp;$U59&amp;$V59&amp;$W59&amp;$X59&amp;$Y59&amp;$Z59&amp;$AA59&amp;$AB59&amp;$AC59&amp;$AD59&amp;$AE59&amp;$AF59&amp;$AG59))</x:f>
        <x:v>OK</x:v>
      </x:c>
      <x:c r="M59" t="str">
        <x:f>IF(TRIM($C59)="","enunciado","")</x:f>
        <x:v>enunciado</x:v>
      </x:c>
      <x:c r="N59" t="str">
        <x:f>IF(TRIM($K59)="",IF(COUNTIF($M59:$M59,"?*")&gt;0,", ","")&amp;"parcial","")</x:f>
      </x:c>
      <x:c r="O59" t="str">
        <x:f>IF(AND(TRIM($K59)&lt;&gt;"",TRIM($K59)&lt;&gt;"EF"),IF(COUNTIF($M59:$N59,"?*")&gt;0,", ","")&amp;"parcial distinto a EF","")</x:f>
      </x:c>
      <x:c r="P59" t="str">
        <x:f>IF(AND(OR($A59="Ítems agrupados por caso clínico o problema",$A59="Subítem de caso o problema",$A59="Emparejamiento Ampliado",$A59="Opción de Emparejamiento Ampliado"),TRIM($B59)=""),IF(COUNTIF($M59:$O59,"?*")&gt;0,", ","")&amp;"grupo","")</x:f>
      </x:c>
      <x:c r="Q59" t="str">
        <x:f>IF(AND(OR($A59="Verdadero o Falso Simple",$A59="Respuesta A/B/Ambas/Ninguna",$A59="Verdadero o Falso Complejas",$A59="Selección de la mejor respuesta",$A59="Subítem de caso o problema",$A59="Opción de Emparejamiento Ampliado"),TRIM($I59)=""),IF(COUNTIF($M59:$P59,"?*")&gt;0,", ","")&amp;"respuesta_correcta","")</x:f>
      </x:c>
      <x:c r="R59" t="str">
        <x:f>IF(AND(OR($A59="Verdadero o Falso Simple",$A59="Respuesta A/B/Ambas/Ninguna",$A59="Verdadero o Falso Complejas",$A59="Selección de la mejor respuesta",$A59="Subítem de caso o problema",$A59="Opción de Emparejamiento Ampliado"),TRIM($J59)=""),IF(COUNTIF($M59:$Q59,"?*")&gt;0,", ","")&amp;"dificultad","")</x:f>
      </x:c>
      <x:c r="S59" t="str">
        <x:f>IF(AND(OR($A59="Ítems agrupados por caso clínico o problema",$A59="Emparejamiento Ampliado"),TRIM($I59)&lt;&gt;""),IF(COUNTIF($M59:$R59,"?*")&gt;0,", ","")&amp;"respuesta debe ir vacia","")</x:f>
      </x:c>
      <x:c r="T59" t="str">
        <x:f>IF(AND(OR($A59="Ítems agrupados por caso clínico o problema",$A59="Emparejamiento Ampliado"),TRIM($J59)&lt;&gt;""),IF(COUNTIF($M59:$S59,"?*")&gt;0,", ","")&amp;"dificultad debe ir vacia","")</x:f>
      </x:c>
      <x:c r="U59" t="str">
        <x:f>IF(AND($A59="Verdadero o Falso Simple",OR(COUNTIF($D59:$E59,"?*")&lt;2,COUNTIF($F59:$H59,"?*")&gt;0)),IF(COUNTIF($M59:$T59,"?*")&gt;0,", ","")&amp;"incisos A-B","")</x:f>
      </x:c>
      <x:c r="V59" t="str">
        <x:f>IF(AND($A59="Verdadero o Falso Simple",TRIM($I59)&lt;&gt;"",NOT(OR(LEFT(TRIM($I59),1)="A",LEFT(TRIM($I59),1)="B"))),IF(COUNTIF($M59:$U59,"?*")&gt;0,", ","")&amp;"respuesta A-B","")</x:f>
      </x:c>
      <x:c r="W59" t="str">
        <x:f>IF(AND($A59="Respuesta A/B/Ambas/Ninguna",COUNTIF($D59:$G59,"?*")&lt;4),IF(COUNTIF($M59:$V59,"?*")&gt;0,", ","")&amp;"opciones A-D","")</x:f>
      </x:c>
      <x:c r="X59" t="str">
        <x:f>IF(AND($A59="Respuesta A/B/Ambas/Ninguna",COUNTIF($H59:$H59,"?*")&gt;0),IF(COUNTIF($M59:$W59,"?*")&gt;0,", ","")&amp;"opcion E deshabilitada","")</x:f>
      </x:c>
      <x:c r="Y59" t="str">
        <x:f>IF(AND($A59="Respuesta A/B/Ambas/Ninguna",TRIM($I59)&lt;&gt;"",NOT(OR(LEFT(TRIM($I59),1)="A",LEFT(TRIM($I59),1)="B",LEFT(TRIM($I59),1)="C",LEFT(TRIM($I59),1)="D"))),IF(COUNTIF($M59:$X59,"?*")&gt;0,", ","")&amp;"respuesta A-D","")</x:f>
      </x:c>
      <x:c r="Z59" t="str">
        <x:f>IF(AND($A59="Verdadero o Falso Complejas",OR(LEN(TRIM(SUBSTITUTE($D59,"1.","")))=0,LEN(TRIM(SUBSTITUTE($E59,"2.","")))=0,LEN(TRIM(SUBSTITUTE($F59,"3.","")))=0,LEN(TRIM(SUBSTITUTE($G59,"4.","")))=0)),IF(COUNTIF($M59:$Y59,"?*")&gt;0,", ","")&amp;"incisos 1-4","")</x:f>
      </x:c>
      <x:c r="AA59" t="str">
        <x:f>IF(AND($A59="Verdadero o Falso Complejas",COUNTIF($H59:$H59,"?*")&gt;0),IF(COUNTIF($M59:$Z59,"?*")&gt;0,", ","")&amp;"opcion E deshabilitada","")</x:f>
      </x:c>
      <x:c r="AB59" t="str">
        <x:f>IF(AND($A59="Verdadero o Falso Complejas",TRIM($I59)&lt;&gt;"",NOT(OR(LEFT(TRIM($I59),1)="A",LEFT(TRIM($I59),1)="B",LEFT(TRIM($I59),1)="C",LEFT(TRIM($I59),1)="D",LEFT(TRIM($I59),1)="E"))),IF(COUNTIF($M59:$AA59,"?*")&gt;0,", ","")&amp;"respuesta A-E","")</x:f>
      </x:c>
      <x:c r="AC59" t="str">
        <x:f>IF(AND(OR($A59="Selección de la mejor respuesta",$A59="Subítem de caso o problema"),COUNTIF($D59:$H59,"?*")&lt;5),IF(COUNTIF($M59:$AB59,"?*")&gt;0,", ","")&amp;"incisos A-E","")</x:f>
      </x:c>
      <x:c r="AD59" t="str">
        <x:f>IF(AND(OR($A59="Selección de la mejor respuesta",$A59="Subítem de caso o problema"),TRIM($I59)&lt;&gt;"",NOT(OR(LEFT(TRIM($I59),1)="A",LEFT(TRIM($I59),1)="B",LEFT(TRIM($I59),1)="C",LEFT(TRIM($I59),1)="D",LEFT(TRIM($I59),1)="E"))),IF(COUNTIF($M59:$AC59,"?*")&gt;0,", ","")&amp;"respuesta A-E","")</x:f>
      </x:c>
      <x:c r="AE59" t="str">
        <x:f>IF(AND(OR($A59="Ítems agrupados por caso clínico o problema",$A59="Opción de Emparejamiento Ampliado"),COUNTIF($D59:$H59,"?*")&gt;0),IF(COUNTIF($M59:$AD59,"?*")&gt;0,", ","")&amp;"sin incisos","")</x:f>
      </x:c>
      <x:c r="AF59" t="str">
        <x:f>IF(AND($A59="Emparejamiento Ampliado",COUNTIF($D59:$H59,"?*")&lt;2),IF(COUNTIF($M59:$AE59,"?*")&gt;0,", ","")&amp;"minimo 2 claves","")</x:f>
      </x:c>
      <x:c r="AG59" t="str">
        <x:f>IF(AND($A59="Opción de Emparejamiento Ampliado",NOT(OR(LEFT(TRIM($I59),1)="A",LEFT(TRIM($I59),1)="B",LEFT(TRIM($I59),1)="C",LEFT(TRIM($I59),1)="D",LEFT(TRIM($I59),1)="E"))),IF(COUNTIF($M59:$AF59,"?*")&gt;0,", ","")&amp;"respuesta A-E","")</x:f>
      </x:c>
      <x:c r="AK59" s="29" t="str"/>
    </x:row>
    <x:row r="60" ht="24" customHeight="1">
      <x:c r="A60" s="11" t="s">
        <x:v>2</x:v>
      </x:c>
      <x:c r="B60" s="11" t="s">
        <x:v>2</x:v>
      </x:c>
      <x:c r="C60" s="12" t="str">
        <x:f>IF($A60="Emparejamiento Ampliado",VALIDACIONES!$I$1,IF($A60="Respuesta A/B/Ambas/Ninguna","I. "&amp;CHAR(10)&amp;"II. ",""))</x:f>
      </x:c>
      <x:c r="D60" s="11" t="str">
        <x:f>IF($A60="Verdadero o Falso Simple","Verdadero",IF($A60="Respuesta A/B/Ambas/Ninguna","A. Si la primera es verdadera",""))</x:f>
      </x:c>
      <x:c r="E60" s="11" t="str">
        <x:f>IF($A60="Verdadero o Falso Simple","Falso",IF($A60="Respuesta A/B/Ambas/Ninguna","B. Si la segunda es verdadera",""))</x:f>
      </x:c>
      <x:c r="F60" s="11" t="str">
        <x:f>IF($A60="Respuesta A/B/Ambas/Ninguna","C. Si ambas son verdaderas","")</x:f>
      </x:c>
      <x:c r="G60" s="11" t="str">
        <x:f>IF($A60="Respuesta A/B/Ambas/Ninguna","D. Si ninguna es verdadera","")</x:f>
      </x:c>
      <x:c r="H60" s="11" t="s">
        <x:v>2</x:v>
      </x:c>
      <x:c r="I60" s="11" t="str">
        <x:f>IF($A60="Verdadero o Falso Simple","A","")</x:f>
      </x:c>
      <x:c r="J60" s="11" t="s">
        <x:v>2</x:v>
      </x:c>
      <x:c r="K60" s="11" t="s">
        <x:v>4</x:v>
      </x:c>
      <x:c r="L60" s="13" t="str">
        <x:f>IF(TRIM($A60)="","",IF(COUNTIF($M60:$AG60,"?*")=0,"OK","Falta revisar: "&amp;$M60&amp;$N60&amp;$O60&amp;$P60&amp;$Q60&amp;$R60&amp;$S60&amp;$T60&amp;$U60&amp;$V60&amp;$W60&amp;$X60&amp;$Y60&amp;$Z60&amp;$AA60&amp;$AB60&amp;$AC60&amp;$AD60&amp;$AE60&amp;$AF60&amp;$AG60))</x:f>
        <x:v>OK</x:v>
      </x:c>
      <x:c r="M60" t="str">
        <x:f>IF(TRIM($C60)="","enunciado","")</x:f>
        <x:v>enunciado</x:v>
      </x:c>
      <x:c r="N60" t="str">
        <x:f>IF(TRIM($K60)="",IF(COUNTIF($M60:$M60,"?*")&gt;0,", ","")&amp;"parcial","")</x:f>
      </x:c>
      <x:c r="O60" t="str">
        <x:f>IF(AND(TRIM($K60)&lt;&gt;"",TRIM($K60)&lt;&gt;"EF"),IF(COUNTIF($M60:$N60,"?*")&gt;0,", ","")&amp;"parcial distinto a EF","")</x:f>
      </x:c>
      <x:c r="P60" t="str">
        <x:f>IF(AND(OR($A60="Ítems agrupados por caso clínico o problema",$A60="Subítem de caso o problema",$A60="Emparejamiento Ampliado",$A60="Opción de Emparejamiento Ampliado"),TRIM($B60)=""),IF(COUNTIF($M60:$O60,"?*")&gt;0,", ","")&amp;"grupo","")</x:f>
      </x:c>
      <x:c r="Q60" t="str">
        <x:f>IF(AND(OR($A60="Verdadero o Falso Simple",$A60="Respuesta A/B/Ambas/Ninguna",$A60="Verdadero o Falso Complejas",$A60="Selección de la mejor respuesta",$A60="Subítem de caso o problema",$A60="Opción de Emparejamiento Ampliado"),TRIM($I60)=""),IF(COUNTIF($M60:$P60,"?*")&gt;0,", ","")&amp;"respuesta_correcta","")</x:f>
      </x:c>
      <x:c r="R60" t="str">
        <x:f>IF(AND(OR($A60="Verdadero o Falso Simple",$A60="Respuesta A/B/Ambas/Ninguna",$A60="Verdadero o Falso Complejas",$A60="Selección de la mejor respuesta",$A60="Subítem de caso o problema",$A60="Opción de Emparejamiento Ampliado"),TRIM($J60)=""),IF(COUNTIF($M60:$Q60,"?*")&gt;0,", ","")&amp;"dificultad","")</x:f>
      </x:c>
      <x:c r="S60" t="str">
        <x:f>IF(AND(OR($A60="Ítems agrupados por caso clínico o problema",$A60="Emparejamiento Ampliado"),TRIM($I60)&lt;&gt;""),IF(COUNTIF($M60:$R60,"?*")&gt;0,", ","")&amp;"respuesta debe ir vacia","")</x:f>
      </x:c>
      <x:c r="T60" t="str">
        <x:f>IF(AND(OR($A60="Ítems agrupados por caso clínico o problema",$A60="Emparejamiento Ampliado"),TRIM($J60)&lt;&gt;""),IF(COUNTIF($M60:$S60,"?*")&gt;0,", ","")&amp;"dificultad debe ir vacia","")</x:f>
      </x:c>
      <x:c r="U60" t="str">
        <x:f>IF(AND($A60="Verdadero o Falso Simple",OR(COUNTIF($D60:$E60,"?*")&lt;2,COUNTIF($F60:$H60,"?*")&gt;0)),IF(COUNTIF($M60:$T60,"?*")&gt;0,", ","")&amp;"incisos A-B","")</x:f>
      </x:c>
      <x:c r="V60" t="str">
        <x:f>IF(AND($A60="Verdadero o Falso Simple",TRIM($I60)&lt;&gt;"",NOT(OR(LEFT(TRIM($I60),1)="A",LEFT(TRIM($I60),1)="B"))),IF(COUNTIF($M60:$U60,"?*")&gt;0,", ","")&amp;"respuesta A-B","")</x:f>
      </x:c>
      <x:c r="W60" t="str">
        <x:f>IF(AND($A60="Respuesta A/B/Ambas/Ninguna",COUNTIF($D60:$G60,"?*")&lt;4),IF(COUNTIF($M60:$V60,"?*")&gt;0,", ","")&amp;"opciones A-D","")</x:f>
      </x:c>
      <x:c r="X60" t="str">
        <x:f>IF(AND($A60="Respuesta A/B/Ambas/Ninguna",COUNTIF($H60:$H60,"?*")&gt;0),IF(COUNTIF($M60:$W60,"?*")&gt;0,", ","")&amp;"opcion E deshabilitada","")</x:f>
      </x:c>
      <x:c r="Y60" t="str">
        <x:f>IF(AND($A60="Respuesta A/B/Ambas/Ninguna",TRIM($I60)&lt;&gt;"",NOT(OR(LEFT(TRIM($I60),1)="A",LEFT(TRIM($I60),1)="B",LEFT(TRIM($I60),1)="C",LEFT(TRIM($I60),1)="D"))),IF(COUNTIF($M60:$X60,"?*")&gt;0,", ","")&amp;"respuesta A-D","")</x:f>
      </x:c>
      <x:c r="Z60" t="str">
        <x:f>IF(AND($A60="Verdadero o Falso Complejas",OR(LEN(TRIM(SUBSTITUTE($D60,"1.","")))=0,LEN(TRIM(SUBSTITUTE($E60,"2.","")))=0,LEN(TRIM(SUBSTITUTE($F60,"3.","")))=0,LEN(TRIM(SUBSTITUTE($G60,"4.","")))=0)),IF(COUNTIF($M60:$Y60,"?*")&gt;0,", ","")&amp;"incisos 1-4","")</x:f>
      </x:c>
      <x:c r="AA60" t="str">
        <x:f>IF(AND($A60="Verdadero o Falso Complejas",COUNTIF($H60:$H60,"?*")&gt;0),IF(COUNTIF($M60:$Z60,"?*")&gt;0,", ","")&amp;"opcion E deshabilitada","")</x:f>
      </x:c>
      <x:c r="AB60" t="str">
        <x:f>IF(AND($A60="Verdadero o Falso Complejas",TRIM($I60)&lt;&gt;"",NOT(OR(LEFT(TRIM($I60),1)="A",LEFT(TRIM($I60),1)="B",LEFT(TRIM($I60),1)="C",LEFT(TRIM($I60),1)="D",LEFT(TRIM($I60),1)="E"))),IF(COUNTIF($M60:$AA60,"?*")&gt;0,", ","")&amp;"respuesta A-E","")</x:f>
      </x:c>
      <x:c r="AC60" t="str">
        <x:f>IF(AND(OR($A60="Selección de la mejor respuesta",$A60="Subítem de caso o problema"),COUNTIF($D60:$H60,"?*")&lt;5),IF(COUNTIF($M60:$AB60,"?*")&gt;0,", ","")&amp;"incisos A-E","")</x:f>
      </x:c>
      <x:c r="AD60" t="str">
        <x:f>IF(AND(OR($A60="Selección de la mejor respuesta",$A60="Subítem de caso o problema"),TRIM($I60)&lt;&gt;"",NOT(OR(LEFT(TRIM($I60),1)="A",LEFT(TRIM($I60),1)="B",LEFT(TRIM($I60),1)="C",LEFT(TRIM($I60),1)="D",LEFT(TRIM($I60),1)="E"))),IF(COUNTIF($M60:$AC60,"?*")&gt;0,", ","")&amp;"respuesta A-E","")</x:f>
      </x:c>
      <x:c r="AE60" t="str">
        <x:f>IF(AND(OR($A60="Ítems agrupados por caso clínico o problema",$A60="Opción de Emparejamiento Ampliado"),COUNTIF($D60:$H60,"?*")&gt;0),IF(COUNTIF($M60:$AD60,"?*")&gt;0,", ","")&amp;"sin incisos","")</x:f>
      </x:c>
      <x:c r="AF60" t="str">
        <x:f>IF(AND($A60="Emparejamiento Ampliado",COUNTIF($D60:$H60,"?*")&lt;2),IF(COUNTIF($M60:$AE60,"?*")&gt;0,", ","")&amp;"minimo 2 claves","")</x:f>
      </x:c>
      <x:c r="AG60" t="str">
        <x:f>IF(AND($A60="Opción de Emparejamiento Ampliado",NOT(OR(LEFT(TRIM($I60),1)="A",LEFT(TRIM($I60),1)="B",LEFT(TRIM($I60),1)="C",LEFT(TRIM($I60),1)="D",LEFT(TRIM($I60),1)="E"))),IF(COUNTIF($M60:$AF60,"?*")&gt;0,", ","")&amp;"respuesta A-E","")</x:f>
      </x:c>
      <x:c r="AK60" s="29" t="str"/>
    </x:row>
    <x:row r="61" ht="24" customHeight="1">
      <x:c r="A61" s="11" t="s">
        <x:v>2</x:v>
      </x:c>
      <x:c r="B61" s="11" t="s">
        <x:v>2</x:v>
      </x:c>
      <x:c r="C61" s="12" t="str">
        <x:f>IF($A61="Emparejamiento Ampliado",VALIDACIONES!$I$1,IF($A61="Respuesta A/B/Ambas/Ninguna","I. "&amp;CHAR(10)&amp;"II. ",""))</x:f>
      </x:c>
      <x:c r="D61" s="11" t="str">
        <x:f>IF($A61="Verdadero o Falso Simple","Verdadero",IF($A61="Respuesta A/B/Ambas/Ninguna","A. Si la primera es verdadera",""))</x:f>
      </x:c>
      <x:c r="E61" s="11" t="str">
        <x:f>IF($A61="Verdadero o Falso Simple","Falso",IF($A61="Respuesta A/B/Ambas/Ninguna","B. Si la segunda es verdadera",""))</x:f>
      </x:c>
      <x:c r="F61" s="11" t="str">
        <x:f>IF($A61="Respuesta A/B/Ambas/Ninguna","C. Si ambas son verdaderas","")</x:f>
      </x:c>
      <x:c r="G61" s="11" t="str">
        <x:f>IF($A61="Respuesta A/B/Ambas/Ninguna","D. Si ninguna es verdadera","")</x:f>
      </x:c>
      <x:c r="H61" s="11" t="s">
        <x:v>2</x:v>
      </x:c>
      <x:c r="I61" s="11" t="str">
        <x:f>IF($A61="Verdadero o Falso Simple","A","")</x:f>
      </x:c>
      <x:c r="J61" s="11" t="s">
        <x:v>2</x:v>
      </x:c>
      <x:c r="K61" s="11" t="s">
        <x:v>4</x:v>
      </x:c>
      <x:c r="L61" s="13" t="str">
        <x:f>IF(TRIM($A61)="","",IF(COUNTIF($M61:$AG61,"?*")=0,"OK","Falta revisar: "&amp;$M61&amp;$N61&amp;$O61&amp;$P61&amp;$Q61&amp;$R61&amp;$S61&amp;$T61&amp;$U61&amp;$V61&amp;$W61&amp;$X61&amp;$Y61&amp;$Z61&amp;$AA61&amp;$AB61&amp;$AC61&amp;$AD61&amp;$AE61&amp;$AF61&amp;$AG61))</x:f>
        <x:v>OK</x:v>
      </x:c>
      <x:c r="M61" t="str">
        <x:f>IF(TRIM($C61)="","enunciado","")</x:f>
        <x:v>enunciado</x:v>
      </x:c>
      <x:c r="N61" t="str">
        <x:f>IF(TRIM($K61)="",IF(COUNTIF($M61:$M61,"?*")&gt;0,", ","")&amp;"parcial","")</x:f>
      </x:c>
      <x:c r="O61" t="str">
        <x:f>IF(AND(TRIM($K61)&lt;&gt;"",TRIM($K61)&lt;&gt;"EF"),IF(COUNTIF($M61:$N61,"?*")&gt;0,", ","")&amp;"parcial distinto a EF","")</x:f>
      </x:c>
      <x:c r="P61" t="str">
        <x:f>IF(AND(OR($A61="Ítems agrupados por caso clínico o problema",$A61="Subítem de caso o problema",$A61="Emparejamiento Ampliado",$A61="Opción de Emparejamiento Ampliado"),TRIM($B61)=""),IF(COUNTIF($M61:$O61,"?*")&gt;0,", ","")&amp;"grupo","")</x:f>
      </x:c>
      <x:c r="Q61" t="str">
        <x:f>IF(AND(OR($A61="Verdadero o Falso Simple",$A61="Respuesta A/B/Ambas/Ninguna",$A61="Verdadero o Falso Complejas",$A61="Selección de la mejor respuesta",$A61="Subítem de caso o problema",$A61="Opción de Emparejamiento Ampliado"),TRIM($I61)=""),IF(COUNTIF($M61:$P61,"?*")&gt;0,", ","")&amp;"respuesta_correcta","")</x:f>
      </x:c>
      <x:c r="R61" t="str">
        <x:f>IF(AND(OR($A61="Verdadero o Falso Simple",$A61="Respuesta A/B/Ambas/Ninguna",$A61="Verdadero o Falso Complejas",$A61="Selección de la mejor respuesta",$A61="Subítem de caso o problema",$A61="Opción de Emparejamiento Ampliado"),TRIM($J61)=""),IF(COUNTIF($M61:$Q61,"?*")&gt;0,", ","")&amp;"dificultad","")</x:f>
      </x:c>
      <x:c r="S61" t="str">
        <x:f>IF(AND(OR($A61="Ítems agrupados por caso clínico o problema",$A61="Emparejamiento Ampliado"),TRIM($I61)&lt;&gt;""),IF(COUNTIF($M61:$R61,"?*")&gt;0,", ","")&amp;"respuesta debe ir vacia","")</x:f>
      </x:c>
      <x:c r="T61" t="str">
        <x:f>IF(AND(OR($A61="Ítems agrupados por caso clínico o problema",$A61="Emparejamiento Ampliado"),TRIM($J61)&lt;&gt;""),IF(COUNTIF($M61:$S61,"?*")&gt;0,", ","")&amp;"dificultad debe ir vacia","")</x:f>
      </x:c>
      <x:c r="U61" t="str">
        <x:f>IF(AND($A61="Verdadero o Falso Simple",OR(COUNTIF($D61:$E61,"?*")&lt;2,COUNTIF($F61:$H61,"?*")&gt;0)),IF(COUNTIF($M61:$T61,"?*")&gt;0,", ","")&amp;"incisos A-B","")</x:f>
      </x:c>
      <x:c r="V61" t="str">
        <x:f>IF(AND($A61="Verdadero o Falso Simple",TRIM($I61)&lt;&gt;"",NOT(OR(LEFT(TRIM($I61),1)="A",LEFT(TRIM($I61),1)="B"))),IF(COUNTIF($M61:$U61,"?*")&gt;0,", ","")&amp;"respuesta A-B","")</x:f>
      </x:c>
      <x:c r="W61" t="str">
        <x:f>IF(AND($A61="Respuesta A/B/Ambas/Ninguna",COUNTIF($D61:$G61,"?*")&lt;4),IF(COUNTIF($M61:$V61,"?*")&gt;0,", ","")&amp;"opciones A-D","")</x:f>
      </x:c>
      <x:c r="X61" t="str">
        <x:f>IF(AND($A61="Respuesta A/B/Ambas/Ninguna",COUNTIF($H61:$H61,"?*")&gt;0),IF(COUNTIF($M61:$W61,"?*")&gt;0,", ","")&amp;"opcion E deshabilitada","")</x:f>
      </x:c>
      <x:c r="Y61" t="str">
        <x:f>IF(AND($A61="Respuesta A/B/Ambas/Ninguna",TRIM($I61)&lt;&gt;"",NOT(OR(LEFT(TRIM($I61),1)="A",LEFT(TRIM($I61),1)="B",LEFT(TRIM($I61),1)="C",LEFT(TRIM($I61),1)="D"))),IF(COUNTIF($M61:$X61,"?*")&gt;0,", ","")&amp;"respuesta A-D","")</x:f>
      </x:c>
      <x:c r="Z61" t="str">
        <x:f>IF(AND($A61="Verdadero o Falso Complejas",OR(LEN(TRIM(SUBSTITUTE($D61,"1.","")))=0,LEN(TRIM(SUBSTITUTE($E61,"2.","")))=0,LEN(TRIM(SUBSTITUTE($F61,"3.","")))=0,LEN(TRIM(SUBSTITUTE($G61,"4.","")))=0)),IF(COUNTIF($M61:$Y61,"?*")&gt;0,", ","")&amp;"incisos 1-4","")</x:f>
      </x:c>
      <x:c r="AA61" t="str">
        <x:f>IF(AND($A61="Verdadero o Falso Complejas",COUNTIF($H61:$H61,"?*")&gt;0),IF(COUNTIF($M61:$Z61,"?*")&gt;0,", ","")&amp;"opcion E deshabilitada","")</x:f>
      </x:c>
      <x:c r="AB61" t="str">
        <x:f>IF(AND($A61="Verdadero o Falso Complejas",TRIM($I61)&lt;&gt;"",NOT(OR(LEFT(TRIM($I61),1)="A",LEFT(TRIM($I61),1)="B",LEFT(TRIM($I61),1)="C",LEFT(TRIM($I61),1)="D",LEFT(TRIM($I61),1)="E"))),IF(COUNTIF($M61:$AA61,"?*")&gt;0,", ","")&amp;"respuesta A-E","")</x:f>
      </x:c>
      <x:c r="AC61" t="str">
        <x:f>IF(AND(OR($A61="Selección de la mejor respuesta",$A61="Subítem de caso o problema"),COUNTIF($D61:$H61,"?*")&lt;5),IF(COUNTIF($M61:$AB61,"?*")&gt;0,", ","")&amp;"incisos A-E","")</x:f>
      </x:c>
      <x:c r="AD61" t="str">
        <x:f>IF(AND(OR($A61="Selección de la mejor respuesta",$A61="Subítem de caso o problema"),TRIM($I61)&lt;&gt;"",NOT(OR(LEFT(TRIM($I61),1)="A",LEFT(TRIM($I61),1)="B",LEFT(TRIM($I61),1)="C",LEFT(TRIM($I61),1)="D",LEFT(TRIM($I61),1)="E"))),IF(COUNTIF($M61:$AC61,"?*")&gt;0,", ","")&amp;"respuesta A-E","")</x:f>
      </x:c>
      <x:c r="AE61" t="str">
        <x:f>IF(AND(OR($A61="Ítems agrupados por caso clínico o problema",$A61="Opción de Emparejamiento Ampliado"),COUNTIF($D61:$H61,"?*")&gt;0),IF(COUNTIF($M61:$AD61,"?*")&gt;0,", ","")&amp;"sin incisos","")</x:f>
      </x:c>
      <x:c r="AF61" t="str">
        <x:f>IF(AND($A61="Emparejamiento Ampliado",COUNTIF($D61:$H61,"?*")&lt;2),IF(COUNTIF($M61:$AE61,"?*")&gt;0,", ","")&amp;"minimo 2 claves","")</x:f>
      </x:c>
      <x:c r="AG61" t="str">
        <x:f>IF(AND($A61="Opción de Emparejamiento Ampliado",NOT(OR(LEFT(TRIM($I61),1)="A",LEFT(TRIM($I61),1)="B",LEFT(TRIM($I61),1)="C",LEFT(TRIM($I61),1)="D",LEFT(TRIM($I61),1)="E"))),IF(COUNTIF($M61:$AF61,"?*")&gt;0,", ","")&amp;"respuesta A-E","")</x:f>
      </x:c>
      <x:c r="AK61" s="29" t="str"/>
    </x:row>
    <x:row r="62" ht="24" customHeight="1">
      <x:c r="A62" s="11" t="s">
        <x:v>2</x:v>
      </x:c>
      <x:c r="B62" s="11" t="s">
        <x:v>2</x:v>
      </x:c>
      <x:c r="C62" s="12" t="str">
        <x:f>IF($A62="Emparejamiento Ampliado",VALIDACIONES!$I$1,IF($A62="Respuesta A/B/Ambas/Ninguna","I. "&amp;CHAR(10)&amp;"II. ",""))</x:f>
      </x:c>
      <x:c r="D62" s="11" t="str">
        <x:f>IF($A62="Verdadero o Falso Simple","Verdadero",IF($A62="Respuesta A/B/Ambas/Ninguna","A. Si la primera es verdadera",""))</x:f>
      </x:c>
      <x:c r="E62" s="11" t="str">
        <x:f>IF($A62="Verdadero o Falso Simple","Falso",IF($A62="Respuesta A/B/Ambas/Ninguna","B. Si la segunda es verdadera",""))</x:f>
      </x:c>
      <x:c r="F62" s="11" t="str">
        <x:f>IF($A62="Respuesta A/B/Ambas/Ninguna","C. Si ambas son verdaderas","")</x:f>
      </x:c>
      <x:c r="G62" s="11" t="str">
        <x:f>IF($A62="Respuesta A/B/Ambas/Ninguna","D. Si ninguna es verdadera","")</x:f>
      </x:c>
      <x:c r="H62" s="11" t="s">
        <x:v>2</x:v>
      </x:c>
      <x:c r="I62" s="11" t="str">
        <x:f>IF($A62="Verdadero o Falso Simple","A","")</x:f>
      </x:c>
      <x:c r="J62" s="11" t="s">
        <x:v>2</x:v>
      </x:c>
      <x:c r="K62" s="11" t="s">
        <x:v>4</x:v>
      </x:c>
      <x:c r="L62" s="13" t="str">
        <x:f>IF(TRIM($A62)="","",IF(COUNTIF($M62:$AG62,"?*")=0,"OK","Falta revisar: "&amp;$M62&amp;$N62&amp;$O62&amp;$P62&amp;$Q62&amp;$R62&amp;$S62&amp;$T62&amp;$U62&amp;$V62&amp;$W62&amp;$X62&amp;$Y62&amp;$Z62&amp;$AA62&amp;$AB62&amp;$AC62&amp;$AD62&amp;$AE62&amp;$AF62&amp;$AG62))</x:f>
        <x:v>OK</x:v>
      </x:c>
      <x:c r="M62" t="str">
        <x:f>IF(TRIM($C62)="","enunciado","")</x:f>
        <x:v>enunciado</x:v>
      </x:c>
      <x:c r="N62" t="str">
        <x:f>IF(TRIM($K62)="",IF(COUNTIF($M62:$M62,"?*")&gt;0,", ","")&amp;"parcial","")</x:f>
      </x:c>
      <x:c r="O62" t="str">
        <x:f>IF(AND(TRIM($K62)&lt;&gt;"",TRIM($K62)&lt;&gt;"EF"),IF(COUNTIF($M62:$N62,"?*")&gt;0,", ","")&amp;"parcial distinto a EF","")</x:f>
      </x:c>
      <x:c r="P62" t="str">
        <x:f>IF(AND(OR($A62="Ítems agrupados por caso clínico o problema",$A62="Subítem de caso o problema",$A62="Emparejamiento Ampliado",$A62="Opción de Emparejamiento Ampliado"),TRIM($B62)=""),IF(COUNTIF($M62:$O62,"?*")&gt;0,", ","")&amp;"grupo","")</x:f>
      </x:c>
      <x:c r="Q62" t="str">
        <x:f>IF(AND(OR($A62="Verdadero o Falso Simple",$A62="Respuesta A/B/Ambas/Ninguna",$A62="Verdadero o Falso Complejas",$A62="Selección de la mejor respuesta",$A62="Subítem de caso o problema",$A62="Opción de Emparejamiento Ampliado"),TRIM($I62)=""),IF(COUNTIF($M62:$P62,"?*")&gt;0,", ","")&amp;"respuesta_correcta","")</x:f>
      </x:c>
      <x:c r="R62" t="str">
        <x:f>IF(AND(OR($A62="Verdadero o Falso Simple",$A62="Respuesta A/B/Ambas/Ninguna",$A62="Verdadero o Falso Complejas",$A62="Selección de la mejor respuesta",$A62="Subítem de caso o problema",$A62="Opción de Emparejamiento Ampliado"),TRIM($J62)=""),IF(COUNTIF($M62:$Q62,"?*")&gt;0,", ","")&amp;"dificultad","")</x:f>
      </x:c>
      <x:c r="S62" t="str">
        <x:f>IF(AND(OR($A62="Ítems agrupados por caso clínico o problema",$A62="Emparejamiento Ampliado"),TRIM($I62)&lt;&gt;""),IF(COUNTIF($M62:$R62,"?*")&gt;0,", ","")&amp;"respuesta debe ir vacia","")</x:f>
      </x:c>
      <x:c r="T62" t="str">
        <x:f>IF(AND(OR($A62="Ítems agrupados por caso clínico o problema",$A62="Emparejamiento Ampliado"),TRIM($J62)&lt;&gt;""),IF(COUNTIF($M62:$S62,"?*")&gt;0,", ","")&amp;"dificultad debe ir vacia","")</x:f>
      </x:c>
      <x:c r="U62" t="str">
        <x:f>IF(AND($A62="Verdadero o Falso Simple",OR(COUNTIF($D62:$E62,"?*")&lt;2,COUNTIF($F62:$H62,"?*")&gt;0)),IF(COUNTIF($M62:$T62,"?*")&gt;0,", ","")&amp;"incisos A-B","")</x:f>
      </x:c>
      <x:c r="V62" t="str">
        <x:f>IF(AND($A62="Verdadero o Falso Simple",TRIM($I62)&lt;&gt;"",NOT(OR(LEFT(TRIM($I62),1)="A",LEFT(TRIM($I62),1)="B"))),IF(COUNTIF($M62:$U62,"?*")&gt;0,", ","")&amp;"respuesta A-B","")</x:f>
      </x:c>
      <x:c r="W62" t="str">
        <x:f>IF(AND($A62="Respuesta A/B/Ambas/Ninguna",COUNTIF($D62:$G62,"?*")&lt;4),IF(COUNTIF($M62:$V62,"?*")&gt;0,", ","")&amp;"opciones A-D","")</x:f>
      </x:c>
      <x:c r="X62" t="str">
        <x:f>IF(AND($A62="Respuesta A/B/Ambas/Ninguna",COUNTIF($H62:$H62,"?*")&gt;0),IF(COUNTIF($M62:$W62,"?*")&gt;0,", ","")&amp;"opcion E deshabilitada","")</x:f>
      </x:c>
      <x:c r="Y62" t="str">
        <x:f>IF(AND($A62="Respuesta A/B/Ambas/Ninguna",TRIM($I62)&lt;&gt;"",NOT(OR(LEFT(TRIM($I62),1)="A",LEFT(TRIM($I62),1)="B",LEFT(TRIM($I62),1)="C",LEFT(TRIM($I62),1)="D"))),IF(COUNTIF($M62:$X62,"?*")&gt;0,", ","")&amp;"respuesta A-D","")</x:f>
      </x:c>
      <x:c r="Z62" t="str">
        <x:f>IF(AND($A62="Verdadero o Falso Complejas",OR(LEN(TRIM(SUBSTITUTE($D62,"1.","")))=0,LEN(TRIM(SUBSTITUTE($E62,"2.","")))=0,LEN(TRIM(SUBSTITUTE($F62,"3.","")))=0,LEN(TRIM(SUBSTITUTE($G62,"4.","")))=0)),IF(COUNTIF($M62:$Y62,"?*")&gt;0,", ","")&amp;"incisos 1-4","")</x:f>
      </x:c>
      <x:c r="AA62" t="str">
        <x:f>IF(AND($A62="Verdadero o Falso Complejas",COUNTIF($H62:$H62,"?*")&gt;0),IF(COUNTIF($M62:$Z62,"?*")&gt;0,", ","")&amp;"opcion E deshabilitada","")</x:f>
      </x:c>
      <x:c r="AB62" t="str">
        <x:f>IF(AND($A62="Verdadero o Falso Complejas",TRIM($I62)&lt;&gt;"",NOT(OR(LEFT(TRIM($I62),1)="A",LEFT(TRIM($I62),1)="B",LEFT(TRIM($I62),1)="C",LEFT(TRIM($I62),1)="D",LEFT(TRIM($I62),1)="E"))),IF(COUNTIF($M62:$AA62,"?*")&gt;0,", ","")&amp;"respuesta A-E","")</x:f>
      </x:c>
      <x:c r="AC62" t="str">
        <x:f>IF(AND(OR($A62="Selección de la mejor respuesta",$A62="Subítem de caso o problema"),COUNTIF($D62:$H62,"?*")&lt;5),IF(COUNTIF($M62:$AB62,"?*")&gt;0,", ","")&amp;"incisos A-E","")</x:f>
      </x:c>
      <x:c r="AD62" t="str">
        <x:f>IF(AND(OR($A62="Selección de la mejor respuesta",$A62="Subítem de caso o problema"),TRIM($I62)&lt;&gt;"",NOT(OR(LEFT(TRIM($I62),1)="A",LEFT(TRIM($I62),1)="B",LEFT(TRIM($I62),1)="C",LEFT(TRIM($I62),1)="D",LEFT(TRIM($I62),1)="E"))),IF(COUNTIF($M62:$AC62,"?*")&gt;0,", ","")&amp;"respuesta A-E","")</x:f>
      </x:c>
      <x:c r="AE62" t="str">
        <x:f>IF(AND(OR($A62="Ítems agrupados por caso clínico o problema",$A62="Opción de Emparejamiento Ampliado"),COUNTIF($D62:$H62,"?*")&gt;0),IF(COUNTIF($M62:$AD62,"?*")&gt;0,", ","")&amp;"sin incisos","")</x:f>
      </x:c>
      <x:c r="AF62" t="str">
        <x:f>IF(AND($A62="Emparejamiento Ampliado",COUNTIF($D62:$H62,"?*")&lt;2),IF(COUNTIF($M62:$AE62,"?*")&gt;0,", ","")&amp;"minimo 2 claves","")</x:f>
      </x:c>
      <x:c r="AG62" t="str">
        <x:f>IF(AND($A62="Opción de Emparejamiento Ampliado",NOT(OR(LEFT(TRIM($I62),1)="A",LEFT(TRIM($I62),1)="B",LEFT(TRIM($I62),1)="C",LEFT(TRIM($I62),1)="D",LEFT(TRIM($I62),1)="E"))),IF(COUNTIF($M62:$AF62,"?*")&gt;0,", ","")&amp;"respuesta A-E","")</x:f>
      </x:c>
      <x:c r="AK62" s="29" t="str"/>
    </x:row>
    <x:row r="63" ht="24" customHeight="1">
      <x:c r="A63" s="11" t="s">
        <x:v>2</x:v>
      </x:c>
      <x:c r="B63" s="11" t="s">
        <x:v>2</x:v>
      </x:c>
      <x:c r="C63" s="12" t="str">
        <x:f>IF($A63="Emparejamiento Ampliado",VALIDACIONES!$I$1,IF($A63="Respuesta A/B/Ambas/Ninguna","I. "&amp;CHAR(10)&amp;"II. ",""))</x:f>
      </x:c>
      <x:c r="D63" s="11" t="str">
        <x:f>IF($A63="Verdadero o Falso Simple","Verdadero",IF($A63="Respuesta A/B/Ambas/Ninguna","A. Si la primera es verdadera",""))</x:f>
      </x:c>
      <x:c r="E63" s="11" t="str">
        <x:f>IF($A63="Verdadero o Falso Simple","Falso",IF($A63="Respuesta A/B/Ambas/Ninguna","B. Si la segunda es verdadera",""))</x:f>
      </x:c>
      <x:c r="F63" s="11" t="str">
        <x:f>IF($A63="Respuesta A/B/Ambas/Ninguna","C. Si ambas son verdaderas","")</x:f>
      </x:c>
      <x:c r="G63" s="11" t="str">
        <x:f>IF($A63="Respuesta A/B/Ambas/Ninguna","D. Si ninguna es verdadera","")</x:f>
      </x:c>
      <x:c r="H63" s="11" t="s">
        <x:v>2</x:v>
      </x:c>
      <x:c r="I63" s="11" t="str">
        <x:f>IF($A63="Verdadero o Falso Simple","A","")</x:f>
      </x:c>
      <x:c r="J63" s="11" t="s">
        <x:v>2</x:v>
      </x:c>
      <x:c r="K63" s="11" t="s">
        <x:v>4</x:v>
      </x:c>
      <x:c r="L63" s="13" t="str">
        <x:f>IF(TRIM($A63)="","",IF(COUNTIF($M63:$AG63,"?*")=0,"OK","Falta revisar: "&amp;$M63&amp;$N63&amp;$O63&amp;$P63&amp;$Q63&amp;$R63&amp;$S63&amp;$T63&amp;$U63&amp;$V63&amp;$W63&amp;$X63&amp;$Y63&amp;$Z63&amp;$AA63&amp;$AB63&amp;$AC63&amp;$AD63&amp;$AE63&amp;$AF63&amp;$AG63))</x:f>
        <x:v>OK</x:v>
      </x:c>
      <x:c r="M63" t="str">
        <x:f>IF(TRIM($C63)="","enunciado","")</x:f>
        <x:v>enunciado</x:v>
      </x:c>
      <x:c r="N63" t="str">
        <x:f>IF(TRIM($K63)="",IF(COUNTIF($M63:$M63,"?*")&gt;0,", ","")&amp;"parcial","")</x:f>
      </x:c>
      <x:c r="O63" t="str">
        <x:f>IF(AND(TRIM($K63)&lt;&gt;"",TRIM($K63)&lt;&gt;"EF"),IF(COUNTIF($M63:$N63,"?*")&gt;0,", ","")&amp;"parcial distinto a EF","")</x:f>
      </x:c>
      <x:c r="P63" t="str">
        <x:f>IF(AND(OR($A63="Ítems agrupados por caso clínico o problema",$A63="Subítem de caso o problema",$A63="Emparejamiento Ampliado",$A63="Opción de Emparejamiento Ampliado"),TRIM($B63)=""),IF(COUNTIF($M63:$O63,"?*")&gt;0,", ","")&amp;"grupo","")</x:f>
      </x:c>
      <x:c r="Q63" t="str">
        <x:f>IF(AND(OR($A63="Verdadero o Falso Simple",$A63="Respuesta A/B/Ambas/Ninguna",$A63="Verdadero o Falso Complejas",$A63="Selección de la mejor respuesta",$A63="Subítem de caso o problema",$A63="Opción de Emparejamiento Ampliado"),TRIM($I63)=""),IF(COUNTIF($M63:$P63,"?*")&gt;0,", ","")&amp;"respuesta_correcta","")</x:f>
      </x:c>
      <x:c r="R63" t="str">
        <x:f>IF(AND(OR($A63="Verdadero o Falso Simple",$A63="Respuesta A/B/Ambas/Ninguna",$A63="Verdadero o Falso Complejas",$A63="Selección de la mejor respuesta",$A63="Subítem de caso o problema",$A63="Opción de Emparejamiento Ampliado"),TRIM($J63)=""),IF(COUNTIF($M63:$Q63,"?*")&gt;0,", ","")&amp;"dificultad","")</x:f>
      </x:c>
      <x:c r="S63" t="str">
        <x:f>IF(AND(OR($A63="Ítems agrupados por caso clínico o problema",$A63="Emparejamiento Ampliado"),TRIM($I63)&lt;&gt;""),IF(COUNTIF($M63:$R63,"?*")&gt;0,", ","")&amp;"respuesta debe ir vacia","")</x:f>
      </x:c>
      <x:c r="T63" t="str">
        <x:f>IF(AND(OR($A63="Ítems agrupados por caso clínico o problema",$A63="Emparejamiento Ampliado"),TRIM($J63)&lt;&gt;""),IF(COUNTIF($M63:$S63,"?*")&gt;0,", ","")&amp;"dificultad debe ir vacia","")</x:f>
      </x:c>
      <x:c r="U63" t="str">
        <x:f>IF(AND($A63="Verdadero o Falso Simple",OR(COUNTIF($D63:$E63,"?*")&lt;2,COUNTIF($F63:$H63,"?*")&gt;0)),IF(COUNTIF($M63:$T63,"?*")&gt;0,", ","")&amp;"incisos A-B","")</x:f>
      </x:c>
      <x:c r="V63" t="str">
        <x:f>IF(AND($A63="Verdadero o Falso Simple",TRIM($I63)&lt;&gt;"",NOT(OR(LEFT(TRIM($I63),1)="A",LEFT(TRIM($I63),1)="B"))),IF(COUNTIF($M63:$U63,"?*")&gt;0,", ","")&amp;"respuesta A-B","")</x:f>
      </x:c>
      <x:c r="W63" t="str">
        <x:f>IF(AND($A63="Respuesta A/B/Ambas/Ninguna",COUNTIF($D63:$G63,"?*")&lt;4),IF(COUNTIF($M63:$V63,"?*")&gt;0,", ","")&amp;"opciones A-D","")</x:f>
      </x:c>
      <x:c r="X63" t="str">
        <x:f>IF(AND($A63="Respuesta A/B/Ambas/Ninguna",COUNTIF($H63:$H63,"?*")&gt;0),IF(COUNTIF($M63:$W63,"?*")&gt;0,", ","")&amp;"opcion E deshabilitada","")</x:f>
      </x:c>
      <x:c r="Y63" t="str">
        <x:f>IF(AND($A63="Respuesta A/B/Ambas/Ninguna",TRIM($I63)&lt;&gt;"",NOT(OR(LEFT(TRIM($I63),1)="A",LEFT(TRIM($I63),1)="B",LEFT(TRIM($I63),1)="C",LEFT(TRIM($I63),1)="D"))),IF(COUNTIF($M63:$X63,"?*")&gt;0,", ","")&amp;"respuesta A-D","")</x:f>
      </x:c>
      <x:c r="Z63" t="str">
        <x:f>IF(AND($A63="Verdadero o Falso Complejas",OR(LEN(TRIM(SUBSTITUTE($D63,"1.","")))=0,LEN(TRIM(SUBSTITUTE($E63,"2.","")))=0,LEN(TRIM(SUBSTITUTE($F63,"3.","")))=0,LEN(TRIM(SUBSTITUTE($G63,"4.","")))=0)),IF(COUNTIF($M63:$Y63,"?*")&gt;0,", ","")&amp;"incisos 1-4","")</x:f>
      </x:c>
      <x:c r="AA63" t="str">
        <x:f>IF(AND($A63="Verdadero o Falso Complejas",COUNTIF($H63:$H63,"?*")&gt;0),IF(COUNTIF($M63:$Z63,"?*")&gt;0,", ","")&amp;"opcion E deshabilitada","")</x:f>
      </x:c>
      <x:c r="AB63" t="str">
        <x:f>IF(AND($A63="Verdadero o Falso Complejas",TRIM($I63)&lt;&gt;"",NOT(OR(LEFT(TRIM($I63),1)="A",LEFT(TRIM($I63),1)="B",LEFT(TRIM($I63),1)="C",LEFT(TRIM($I63),1)="D",LEFT(TRIM($I63),1)="E"))),IF(COUNTIF($M63:$AA63,"?*")&gt;0,", ","")&amp;"respuesta A-E","")</x:f>
      </x:c>
      <x:c r="AC63" t="str">
        <x:f>IF(AND(OR($A63="Selección de la mejor respuesta",$A63="Subítem de caso o problema"),COUNTIF($D63:$H63,"?*")&lt;5),IF(COUNTIF($M63:$AB63,"?*")&gt;0,", ","")&amp;"incisos A-E","")</x:f>
      </x:c>
      <x:c r="AD63" t="str">
        <x:f>IF(AND(OR($A63="Selección de la mejor respuesta",$A63="Subítem de caso o problema"),TRIM($I63)&lt;&gt;"",NOT(OR(LEFT(TRIM($I63),1)="A",LEFT(TRIM($I63),1)="B",LEFT(TRIM($I63),1)="C",LEFT(TRIM($I63),1)="D",LEFT(TRIM($I63),1)="E"))),IF(COUNTIF($M63:$AC63,"?*")&gt;0,", ","")&amp;"respuesta A-E","")</x:f>
      </x:c>
      <x:c r="AE63" t="str">
        <x:f>IF(AND(OR($A63="Ítems agrupados por caso clínico o problema",$A63="Opción de Emparejamiento Ampliado"),COUNTIF($D63:$H63,"?*")&gt;0),IF(COUNTIF($M63:$AD63,"?*")&gt;0,", ","")&amp;"sin incisos","")</x:f>
      </x:c>
      <x:c r="AF63" t="str">
        <x:f>IF(AND($A63="Emparejamiento Ampliado",COUNTIF($D63:$H63,"?*")&lt;2),IF(COUNTIF($M63:$AE63,"?*")&gt;0,", ","")&amp;"minimo 2 claves","")</x:f>
      </x:c>
      <x:c r="AG63" t="str">
        <x:f>IF(AND($A63="Opción de Emparejamiento Ampliado",NOT(OR(LEFT(TRIM($I63),1)="A",LEFT(TRIM($I63),1)="B",LEFT(TRIM($I63),1)="C",LEFT(TRIM($I63),1)="D",LEFT(TRIM($I63),1)="E"))),IF(COUNTIF($M63:$AF63,"?*")&gt;0,", ","")&amp;"respuesta A-E","")</x:f>
      </x:c>
      <x:c r="AK63" s="29" t="str"/>
    </x:row>
    <x:row r="64" ht="24" customHeight="1">
      <x:c r="A64" s="11" t="s">
        <x:v>2</x:v>
      </x:c>
      <x:c r="B64" s="11" t="s">
        <x:v>2</x:v>
      </x:c>
      <x:c r="C64" s="12" t="str">
        <x:f>IF($A64="Emparejamiento Ampliado",VALIDACIONES!$I$1,IF($A64="Respuesta A/B/Ambas/Ninguna","I. "&amp;CHAR(10)&amp;"II. ",""))</x:f>
      </x:c>
      <x:c r="D64" s="11" t="str">
        <x:f>IF($A64="Verdadero o Falso Simple","Verdadero",IF($A64="Respuesta A/B/Ambas/Ninguna","A. Si la primera es verdadera",""))</x:f>
      </x:c>
      <x:c r="E64" s="11" t="str">
        <x:f>IF($A64="Verdadero o Falso Simple","Falso",IF($A64="Respuesta A/B/Ambas/Ninguna","B. Si la segunda es verdadera",""))</x:f>
      </x:c>
      <x:c r="F64" s="11" t="str">
        <x:f>IF($A64="Respuesta A/B/Ambas/Ninguna","C. Si ambas son verdaderas","")</x:f>
      </x:c>
      <x:c r="G64" s="11" t="str">
        <x:f>IF($A64="Respuesta A/B/Ambas/Ninguna","D. Si ninguna es verdadera","")</x:f>
      </x:c>
      <x:c r="H64" s="11" t="s">
        <x:v>2</x:v>
      </x:c>
      <x:c r="I64" s="11" t="str">
        <x:f>IF($A64="Verdadero o Falso Simple","A","")</x:f>
      </x:c>
      <x:c r="J64" s="11" t="s">
        <x:v>2</x:v>
      </x:c>
      <x:c r="K64" s="11" t="s">
        <x:v>4</x:v>
      </x:c>
      <x:c r="L64" s="13" t="str">
        <x:f>IF(TRIM($A64)="","",IF(COUNTIF($M64:$AG64,"?*")=0,"OK","Falta revisar: "&amp;$M64&amp;$N64&amp;$O64&amp;$P64&amp;$Q64&amp;$R64&amp;$S64&amp;$T64&amp;$U64&amp;$V64&amp;$W64&amp;$X64&amp;$Y64&amp;$Z64&amp;$AA64&amp;$AB64&amp;$AC64&amp;$AD64&amp;$AE64&amp;$AF64&amp;$AG64))</x:f>
        <x:v>OK</x:v>
      </x:c>
      <x:c r="M64" t="str">
        <x:f>IF(TRIM($C64)="","enunciado","")</x:f>
        <x:v>enunciado</x:v>
      </x:c>
      <x:c r="N64" t="str">
        <x:f>IF(TRIM($K64)="",IF(COUNTIF($M64:$M64,"?*")&gt;0,", ","")&amp;"parcial","")</x:f>
      </x:c>
      <x:c r="O64" t="str">
        <x:f>IF(AND(TRIM($K64)&lt;&gt;"",TRIM($K64)&lt;&gt;"EF"),IF(COUNTIF($M64:$N64,"?*")&gt;0,", ","")&amp;"parcial distinto a EF","")</x:f>
      </x:c>
      <x:c r="P64" t="str">
        <x:f>IF(AND(OR($A64="Ítems agrupados por caso clínico o problema",$A64="Subítem de caso o problema",$A64="Emparejamiento Ampliado",$A64="Opción de Emparejamiento Ampliado"),TRIM($B64)=""),IF(COUNTIF($M64:$O64,"?*")&gt;0,", ","")&amp;"grupo","")</x:f>
      </x:c>
      <x:c r="Q64" t="str">
        <x:f>IF(AND(OR($A64="Verdadero o Falso Simple",$A64="Respuesta A/B/Ambas/Ninguna",$A64="Verdadero o Falso Complejas",$A64="Selección de la mejor respuesta",$A64="Subítem de caso o problema",$A64="Opción de Emparejamiento Ampliado"),TRIM($I64)=""),IF(COUNTIF($M64:$P64,"?*")&gt;0,", ","")&amp;"respuesta_correcta","")</x:f>
      </x:c>
      <x:c r="R64" t="str">
        <x:f>IF(AND(OR($A64="Verdadero o Falso Simple",$A64="Respuesta A/B/Ambas/Ninguna",$A64="Verdadero o Falso Complejas",$A64="Selección de la mejor respuesta",$A64="Subítem de caso o problema",$A64="Opción de Emparejamiento Ampliado"),TRIM($J64)=""),IF(COUNTIF($M64:$Q64,"?*")&gt;0,", ","")&amp;"dificultad","")</x:f>
      </x:c>
      <x:c r="S64" t="str">
        <x:f>IF(AND(OR($A64="Ítems agrupados por caso clínico o problema",$A64="Emparejamiento Ampliado"),TRIM($I64)&lt;&gt;""),IF(COUNTIF($M64:$R64,"?*")&gt;0,", ","")&amp;"respuesta debe ir vacia","")</x:f>
      </x:c>
      <x:c r="T64" t="str">
        <x:f>IF(AND(OR($A64="Ítems agrupados por caso clínico o problema",$A64="Emparejamiento Ampliado"),TRIM($J64)&lt;&gt;""),IF(COUNTIF($M64:$S64,"?*")&gt;0,", ","")&amp;"dificultad debe ir vacia","")</x:f>
      </x:c>
      <x:c r="U64" t="str">
        <x:f>IF(AND($A64="Verdadero o Falso Simple",OR(COUNTIF($D64:$E64,"?*")&lt;2,COUNTIF($F64:$H64,"?*")&gt;0)),IF(COUNTIF($M64:$T64,"?*")&gt;0,", ","")&amp;"incisos A-B","")</x:f>
      </x:c>
      <x:c r="V64" t="str">
        <x:f>IF(AND($A64="Verdadero o Falso Simple",TRIM($I64)&lt;&gt;"",NOT(OR(LEFT(TRIM($I64),1)="A",LEFT(TRIM($I64),1)="B"))),IF(COUNTIF($M64:$U64,"?*")&gt;0,", ","")&amp;"respuesta A-B","")</x:f>
      </x:c>
      <x:c r="W64" t="str">
        <x:f>IF(AND($A64="Respuesta A/B/Ambas/Ninguna",COUNTIF($D64:$G64,"?*")&lt;4),IF(COUNTIF($M64:$V64,"?*")&gt;0,", ","")&amp;"opciones A-D","")</x:f>
      </x:c>
      <x:c r="X64" t="str">
        <x:f>IF(AND($A64="Respuesta A/B/Ambas/Ninguna",COUNTIF($H64:$H64,"?*")&gt;0),IF(COUNTIF($M64:$W64,"?*")&gt;0,", ","")&amp;"opcion E deshabilitada","")</x:f>
      </x:c>
      <x:c r="Y64" t="str">
        <x:f>IF(AND($A64="Respuesta A/B/Ambas/Ninguna",TRIM($I64)&lt;&gt;"",NOT(OR(LEFT(TRIM($I64),1)="A",LEFT(TRIM($I64),1)="B",LEFT(TRIM($I64),1)="C",LEFT(TRIM($I64),1)="D"))),IF(COUNTIF($M64:$X64,"?*")&gt;0,", ","")&amp;"respuesta A-D","")</x:f>
      </x:c>
      <x:c r="Z64" t="str">
        <x:f>IF(AND($A64="Verdadero o Falso Complejas",OR(LEN(TRIM(SUBSTITUTE($D64,"1.","")))=0,LEN(TRIM(SUBSTITUTE($E64,"2.","")))=0,LEN(TRIM(SUBSTITUTE($F64,"3.","")))=0,LEN(TRIM(SUBSTITUTE($G64,"4.","")))=0)),IF(COUNTIF($M64:$Y64,"?*")&gt;0,", ","")&amp;"incisos 1-4","")</x:f>
      </x:c>
      <x:c r="AA64" t="str">
        <x:f>IF(AND($A64="Verdadero o Falso Complejas",COUNTIF($H64:$H64,"?*")&gt;0),IF(COUNTIF($M64:$Z64,"?*")&gt;0,", ","")&amp;"opcion E deshabilitada","")</x:f>
      </x:c>
      <x:c r="AB64" t="str">
        <x:f>IF(AND($A64="Verdadero o Falso Complejas",TRIM($I64)&lt;&gt;"",NOT(OR(LEFT(TRIM($I64),1)="A",LEFT(TRIM($I64),1)="B",LEFT(TRIM($I64),1)="C",LEFT(TRIM($I64),1)="D",LEFT(TRIM($I64),1)="E"))),IF(COUNTIF($M64:$AA64,"?*")&gt;0,", ","")&amp;"respuesta A-E","")</x:f>
      </x:c>
      <x:c r="AC64" t="str">
        <x:f>IF(AND(OR($A64="Selección de la mejor respuesta",$A64="Subítem de caso o problema"),COUNTIF($D64:$H64,"?*")&lt;5),IF(COUNTIF($M64:$AB64,"?*")&gt;0,", ","")&amp;"incisos A-E","")</x:f>
      </x:c>
      <x:c r="AD64" t="str">
        <x:f>IF(AND(OR($A64="Selección de la mejor respuesta",$A64="Subítem de caso o problema"),TRIM($I64)&lt;&gt;"",NOT(OR(LEFT(TRIM($I64),1)="A",LEFT(TRIM($I64),1)="B",LEFT(TRIM($I64),1)="C",LEFT(TRIM($I64),1)="D",LEFT(TRIM($I64),1)="E"))),IF(COUNTIF($M64:$AC64,"?*")&gt;0,", ","")&amp;"respuesta A-E","")</x:f>
      </x:c>
      <x:c r="AE64" t="str">
        <x:f>IF(AND(OR($A64="Ítems agrupados por caso clínico o problema",$A64="Opción de Emparejamiento Ampliado"),COUNTIF($D64:$H64,"?*")&gt;0),IF(COUNTIF($M64:$AD64,"?*")&gt;0,", ","")&amp;"sin incisos","")</x:f>
      </x:c>
      <x:c r="AF64" t="str">
        <x:f>IF(AND($A64="Emparejamiento Ampliado",COUNTIF($D64:$H64,"?*")&lt;2),IF(COUNTIF($M64:$AE64,"?*")&gt;0,", ","")&amp;"minimo 2 claves","")</x:f>
      </x:c>
      <x:c r="AG64" t="str">
        <x:f>IF(AND($A64="Opción de Emparejamiento Ampliado",NOT(OR(LEFT(TRIM($I64),1)="A",LEFT(TRIM($I64),1)="B",LEFT(TRIM($I64),1)="C",LEFT(TRIM($I64),1)="D",LEFT(TRIM($I64),1)="E"))),IF(COUNTIF($M64:$AF64,"?*")&gt;0,", ","")&amp;"respuesta A-E","")</x:f>
      </x:c>
      <x:c r="AK64" s="29" t="str"/>
    </x:row>
    <x:row r="65" ht="24" customHeight="1">
      <x:c r="A65" s="11" t="s">
        <x:v>2</x:v>
      </x:c>
      <x:c r="B65" s="11" t="s">
        <x:v>2</x:v>
      </x:c>
      <x:c r="C65" s="12" t="str">
        <x:f>IF($A65="Emparejamiento Ampliado",VALIDACIONES!$I$1,IF($A65="Respuesta A/B/Ambas/Ninguna","I. "&amp;CHAR(10)&amp;"II. ",""))</x:f>
      </x:c>
      <x:c r="D65" s="11" t="str">
        <x:f>IF($A65="Verdadero o Falso Simple","Verdadero",IF($A65="Respuesta A/B/Ambas/Ninguna","A. Si la primera es verdadera",""))</x:f>
      </x:c>
      <x:c r="E65" s="11" t="str">
        <x:f>IF($A65="Verdadero o Falso Simple","Falso",IF($A65="Respuesta A/B/Ambas/Ninguna","B. Si la segunda es verdadera",""))</x:f>
      </x:c>
      <x:c r="F65" s="11" t="str">
        <x:f>IF($A65="Respuesta A/B/Ambas/Ninguna","C. Si ambas son verdaderas","")</x:f>
      </x:c>
      <x:c r="G65" s="11" t="str">
        <x:f>IF($A65="Respuesta A/B/Ambas/Ninguna","D. Si ninguna es verdadera","")</x:f>
      </x:c>
      <x:c r="H65" s="11" t="s">
        <x:v>2</x:v>
      </x:c>
      <x:c r="I65" s="11" t="str">
        <x:f>IF($A65="Verdadero o Falso Simple","A","")</x:f>
      </x:c>
      <x:c r="J65" s="11" t="s">
        <x:v>2</x:v>
      </x:c>
      <x:c r="K65" s="11" t="s">
        <x:v>4</x:v>
      </x:c>
      <x:c r="L65" s="13" t="str">
        <x:f>IF(TRIM($A65)="","",IF(COUNTIF($M65:$AG65,"?*")=0,"OK","Falta revisar: "&amp;$M65&amp;$N65&amp;$O65&amp;$P65&amp;$Q65&amp;$R65&amp;$S65&amp;$T65&amp;$U65&amp;$V65&amp;$W65&amp;$X65&amp;$Y65&amp;$Z65&amp;$AA65&amp;$AB65&amp;$AC65&amp;$AD65&amp;$AE65&amp;$AF65&amp;$AG65))</x:f>
        <x:v>OK</x:v>
      </x:c>
      <x:c r="M65" t="str">
        <x:f>IF(TRIM($C65)="","enunciado","")</x:f>
        <x:v>enunciado</x:v>
      </x:c>
      <x:c r="N65" t="str">
        <x:f>IF(TRIM($K65)="",IF(COUNTIF($M65:$M65,"?*")&gt;0,", ","")&amp;"parcial","")</x:f>
      </x:c>
      <x:c r="O65" t="str">
        <x:f>IF(AND(TRIM($K65)&lt;&gt;"",TRIM($K65)&lt;&gt;"EF"),IF(COUNTIF($M65:$N65,"?*")&gt;0,", ","")&amp;"parcial distinto a EF","")</x:f>
      </x:c>
      <x:c r="P65" t="str">
        <x:f>IF(AND(OR($A65="Ítems agrupados por caso clínico o problema",$A65="Subítem de caso o problema",$A65="Emparejamiento Ampliado",$A65="Opción de Emparejamiento Ampliado"),TRIM($B65)=""),IF(COUNTIF($M65:$O65,"?*")&gt;0,", ","")&amp;"grupo","")</x:f>
      </x:c>
      <x:c r="Q65" t="str">
        <x:f>IF(AND(OR($A65="Verdadero o Falso Simple",$A65="Respuesta A/B/Ambas/Ninguna",$A65="Verdadero o Falso Complejas",$A65="Selección de la mejor respuesta",$A65="Subítem de caso o problema",$A65="Opción de Emparejamiento Ampliado"),TRIM($I65)=""),IF(COUNTIF($M65:$P65,"?*")&gt;0,", ","")&amp;"respuesta_correcta","")</x:f>
      </x:c>
      <x:c r="R65" t="str">
        <x:f>IF(AND(OR($A65="Verdadero o Falso Simple",$A65="Respuesta A/B/Ambas/Ninguna",$A65="Verdadero o Falso Complejas",$A65="Selección de la mejor respuesta",$A65="Subítem de caso o problema",$A65="Opción de Emparejamiento Ampliado"),TRIM($J65)=""),IF(COUNTIF($M65:$Q65,"?*")&gt;0,", ","")&amp;"dificultad","")</x:f>
      </x:c>
      <x:c r="S65" t="str">
        <x:f>IF(AND(OR($A65="Ítems agrupados por caso clínico o problema",$A65="Emparejamiento Ampliado"),TRIM($I65)&lt;&gt;""),IF(COUNTIF($M65:$R65,"?*")&gt;0,", ","")&amp;"respuesta debe ir vacia","")</x:f>
      </x:c>
      <x:c r="T65" t="str">
        <x:f>IF(AND(OR($A65="Ítems agrupados por caso clínico o problema",$A65="Emparejamiento Ampliado"),TRIM($J65)&lt;&gt;""),IF(COUNTIF($M65:$S65,"?*")&gt;0,", ","")&amp;"dificultad debe ir vacia","")</x:f>
      </x:c>
      <x:c r="U65" t="str">
        <x:f>IF(AND($A65="Verdadero o Falso Simple",OR(COUNTIF($D65:$E65,"?*")&lt;2,COUNTIF($F65:$H65,"?*")&gt;0)),IF(COUNTIF($M65:$T65,"?*")&gt;0,", ","")&amp;"incisos A-B","")</x:f>
      </x:c>
      <x:c r="V65" t="str">
        <x:f>IF(AND($A65="Verdadero o Falso Simple",TRIM($I65)&lt;&gt;"",NOT(OR(LEFT(TRIM($I65),1)="A",LEFT(TRIM($I65),1)="B"))),IF(COUNTIF($M65:$U65,"?*")&gt;0,", ","")&amp;"respuesta A-B","")</x:f>
      </x:c>
      <x:c r="W65" t="str">
        <x:f>IF(AND($A65="Respuesta A/B/Ambas/Ninguna",COUNTIF($D65:$G65,"?*")&lt;4),IF(COUNTIF($M65:$V65,"?*")&gt;0,", ","")&amp;"opciones A-D","")</x:f>
      </x:c>
      <x:c r="X65" t="str">
        <x:f>IF(AND($A65="Respuesta A/B/Ambas/Ninguna",COUNTIF($H65:$H65,"?*")&gt;0),IF(COUNTIF($M65:$W65,"?*")&gt;0,", ","")&amp;"opcion E deshabilitada","")</x:f>
      </x:c>
      <x:c r="Y65" t="str">
        <x:f>IF(AND($A65="Respuesta A/B/Ambas/Ninguna",TRIM($I65)&lt;&gt;"",NOT(OR(LEFT(TRIM($I65),1)="A",LEFT(TRIM($I65),1)="B",LEFT(TRIM($I65),1)="C",LEFT(TRIM($I65),1)="D"))),IF(COUNTIF($M65:$X65,"?*")&gt;0,", ","")&amp;"respuesta A-D","")</x:f>
      </x:c>
      <x:c r="Z65" t="str">
        <x:f>IF(AND($A65="Verdadero o Falso Complejas",OR(LEN(TRIM(SUBSTITUTE($D65,"1.","")))=0,LEN(TRIM(SUBSTITUTE($E65,"2.","")))=0,LEN(TRIM(SUBSTITUTE($F65,"3.","")))=0,LEN(TRIM(SUBSTITUTE($G65,"4.","")))=0)),IF(COUNTIF($M65:$Y65,"?*")&gt;0,", ","")&amp;"incisos 1-4","")</x:f>
      </x:c>
      <x:c r="AA65" t="str">
        <x:f>IF(AND($A65="Verdadero o Falso Complejas",COUNTIF($H65:$H65,"?*")&gt;0),IF(COUNTIF($M65:$Z65,"?*")&gt;0,", ","")&amp;"opcion E deshabilitada","")</x:f>
      </x:c>
      <x:c r="AB65" t="str">
        <x:f>IF(AND($A65="Verdadero o Falso Complejas",TRIM($I65)&lt;&gt;"",NOT(OR(LEFT(TRIM($I65),1)="A",LEFT(TRIM($I65),1)="B",LEFT(TRIM($I65),1)="C",LEFT(TRIM($I65),1)="D",LEFT(TRIM($I65),1)="E"))),IF(COUNTIF($M65:$AA65,"?*")&gt;0,", ","")&amp;"respuesta A-E","")</x:f>
      </x:c>
      <x:c r="AC65" t="str">
        <x:f>IF(AND(OR($A65="Selección de la mejor respuesta",$A65="Subítem de caso o problema"),COUNTIF($D65:$H65,"?*")&lt;5),IF(COUNTIF($M65:$AB65,"?*")&gt;0,", ","")&amp;"incisos A-E","")</x:f>
      </x:c>
      <x:c r="AD65" t="str">
        <x:f>IF(AND(OR($A65="Selección de la mejor respuesta",$A65="Subítem de caso o problema"),TRIM($I65)&lt;&gt;"",NOT(OR(LEFT(TRIM($I65),1)="A",LEFT(TRIM($I65),1)="B",LEFT(TRIM($I65),1)="C",LEFT(TRIM($I65),1)="D",LEFT(TRIM($I65),1)="E"))),IF(COUNTIF($M65:$AC65,"?*")&gt;0,", ","")&amp;"respuesta A-E","")</x:f>
      </x:c>
      <x:c r="AE65" t="str">
        <x:f>IF(AND(OR($A65="Ítems agrupados por caso clínico o problema",$A65="Opción de Emparejamiento Ampliado"),COUNTIF($D65:$H65,"?*")&gt;0),IF(COUNTIF($M65:$AD65,"?*")&gt;0,", ","")&amp;"sin incisos","")</x:f>
      </x:c>
      <x:c r="AF65" t="str">
        <x:f>IF(AND($A65="Emparejamiento Ampliado",COUNTIF($D65:$H65,"?*")&lt;2),IF(COUNTIF($M65:$AE65,"?*")&gt;0,", ","")&amp;"minimo 2 claves","")</x:f>
      </x:c>
      <x:c r="AG65" t="str">
        <x:f>IF(AND($A65="Opción de Emparejamiento Ampliado",NOT(OR(LEFT(TRIM($I65),1)="A",LEFT(TRIM($I65),1)="B",LEFT(TRIM($I65),1)="C",LEFT(TRIM($I65),1)="D",LEFT(TRIM($I65),1)="E"))),IF(COUNTIF($M65:$AF65,"?*")&gt;0,", ","")&amp;"respuesta A-E","")</x:f>
      </x:c>
      <x:c r="AK65" s="29" t="str"/>
    </x:row>
    <x:row r="66" ht="24" customHeight="1">
      <x:c r="A66" s="11" t="s">
        <x:v>2</x:v>
      </x:c>
      <x:c r="B66" s="11" t="s">
        <x:v>2</x:v>
      </x:c>
      <x:c r="C66" s="12" t="str">
        <x:f>IF($A66="Emparejamiento Ampliado",VALIDACIONES!$I$1,IF($A66="Respuesta A/B/Ambas/Ninguna","I. "&amp;CHAR(10)&amp;"II. ",""))</x:f>
      </x:c>
      <x:c r="D66" s="11" t="str">
        <x:f>IF($A66="Verdadero o Falso Simple","Verdadero",IF($A66="Respuesta A/B/Ambas/Ninguna","A. Si la primera es verdadera",""))</x:f>
      </x:c>
      <x:c r="E66" s="11" t="str">
        <x:f>IF($A66="Verdadero o Falso Simple","Falso",IF($A66="Respuesta A/B/Ambas/Ninguna","B. Si la segunda es verdadera",""))</x:f>
      </x:c>
      <x:c r="F66" s="11" t="str">
        <x:f>IF($A66="Respuesta A/B/Ambas/Ninguna","C. Si ambas son verdaderas","")</x:f>
      </x:c>
      <x:c r="G66" s="11" t="str">
        <x:f>IF($A66="Respuesta A/B/Ambas/Ninguna","D. Si ninguna es verdadera","")</x:f>
      </x:c>
      <x:c r="H66" s="11" t="s">
        <x:v>2</x:v>
      </x:c>
      <x:c r="I66" s="11" t="str">
        <x:f>IF($A66="Verdadero o Falso Simple","A","")</x:f>
      </x:c>
      <x:c r="J66" s="11" t="s">
        <x:v>2</x:v>
      </x:c>
      <x:c r="K66" s="11" t="s">
        <x:v>4</x:v>
      </x:c>
      <x:c r="L66" s="13" t="str">
        <x:f>IF(TRIM($A66)="","",IF(COUNTIF($M66:$AG66,"?*")=0,"OK","Falta revisar: "&amp;$M66&amp;$N66&amp;$O66&amp;$P66&amp;$Q66&amp;$R66&amp;$S66&amp;$T66&amp;$U66&amp;$V66&amp;$W66&amp;$X66&amp;$Y66&amp;$Z66&amp;$AA66&amp;$AB66&amp;$AC66&amp;$AD66&amp;$AE66&amp;$AF66&amp;$AG66))</x:f>
        <x:v>OK</x:v>
      </x:c>
      <x:c r="M66" t="str">
        <x:f>IF(TRIM($C66)="","enunciado","")</x:f>
        <x:v>enunciado</x:v>
      </x:c>
      <x:c r="N66" t="str">
        <x:f>IF(TRIM($K66)="",IF(COUNTIF($M66:$M66,"?*")&gt;0,", ","")&amp;"parcial","")</x:f>
      </x:c>
      <x:c r="O66" t="str">
        <x:f>IF(AND(TRIM($K66)&lt;&gt;"",TRIM($K66)&lt;&gt;"EF"),IF(COUNTIF($M66:$N66,"?*")&gt;0,", ","")&amp;"parcial distinto a EF","")</x:f>
      </x:c>
      <x:c r="P66" t="str">
        <x:f>IF(AND(OR($A66="Ítems agrupados por caso clínico o problema",$A66="Subítem de caso o problema",$A66="Emparejamiento Ampliado",$A66="Opción de Emparejamiento Ampliado"),TRIM($B66)=""),IF(COUNTIF($M66:$O66,"?*")&gt;0,", ","")&amp;"grupo","")</x:f>
      </x:c>
      <x:c r="Q66" t="str">
        <x:f>IF(AND(OR($A66="Verdadero o Falso Simple",$A66="Respuesta A/B/Ambas/Ninguna",$A66="Verdadero o Falso Complejas",$A66="Selección de la mejor respuesta",$A66="Subítem de caso o problema",$A66="Opción de Emparejamiento Ampliado"),TRIM($I66)=""),IF(COUNTIF($M66:$P66,"?*")&gt;0,", ","")&amp;"respuesta_correcta","")</x:f>
      </x:c>
      <x:c r="R66" t="str">
        <x:f>IF(AND(OR($A66="Verdadero o Falso Simple",$A66="Respuesta A/B/Ambas/Ninguna",$A66="Verdadero o Falso Complejas",$A66="Selección de la mejor respuesta",$A66="Subítem de caso o problema",$A66="Opción de Emparejamiento Ampliado"),TRIM($J66)=""),IF(COUNTIF($M66:$Q66,"?*")&gt;0,", ","")&amp;"dificultad","")</x:f>
      </x:c>
      <x:c r="S66" t="str">
        <x:f>IF(AND(OR($A66="Ítems agrupados por caso clínico o problema",$A66="Emparejamiento Ampliado"),TRIM($I66)&lt;&gt;""),IF(COUNTIF($M66:$R66,"?*")&gt;0,", ","")&amp;"respuesta debe ir vacia","")</x:f>
      </x:c>
      <x:c r="T66" t="str">
        <x:f>IF(AND(OR($A66="Ítems agrupados por caso clínico o problema",$A66="Emparejamiento Ampliado"),TRIM($J66)&lt;&gt;""),IF(COUNTIF($M66:$S66,"?*")&gt;0,", ","")&amp;"dificultad debe ir vacia","")</x:f>
      </x:c>
      <x:c r="U66" t="str">
        <x:f>IF(AND($A66="Verdadero o Falso Simple",OR(COUNTIF($D66:$E66,"?*")&lt;2,COUNTIF($F66:$H66,"?*")&gt;0)),IF(COUNTIF($M66:$T66,"?*")&gt;0,", ","")&amp;"incisos A-B","")</x:f>
      </x:c>
      <x:c r="V66" t="str">
        <x:f>IF(AND($A66="Verdadero o Falso Simple",TRIM($I66)&lt;&gt;"",NOT(OR(LEFT(TRIM($I66),1)="A",LEFT(TRIM($I66),1)="B"))),IF(COUNTIF($M66:$U66,"?*")&gt;0,", ","")&amp;"respuesta A-B","")</x:f>
      </x:c>
      <x:c r="W66" t="str">
        <x:f>IF(AND($A66="Respuesta A/B/Ambas/Ninguna",COUNTIF($D66:$G66,"?*")&lt;4),IF(COUNTIF($M66:$V66,"?*")&gt;0,", ","")&amp;"opciones A-D","")</x:f>
      </x:c>
      <x:c r="X66" t="str">
        <x:f>IF(AND($A66="Respuesta A/B/Ambas/Ninguna",COUNTIF($H66:$H66,"?*")&gt;0),IF(COUNTIF($M66:$W66,"?*")&gt;0,", ","")&amp;"opcion E deshabilitada","")</x:f>
      </x:c>
      <x:c r="Y66" t="str">
        <x:f>IF(AND($A66="Respuesta A/B/Ambas/Ninguna",TRIM($I66)&lt;&gt;"",NOT(OR(LEFT(TRIM($I66),1)="A",LEFT(TRIM($I66),1)="B",LEFT(TRIM($I66),1)="C",LEFT(TRIM($I66),1)="D"))),IF(COUNTIF($M66:$X66,"?*")&gt;0,", ","")&amp;"respuesta A-D","")</x:f>
      </x:c>
      <x:c r="Z66" t="str">
        <x:f>IF(AND($A66="Verdadero o Falso Complejas",OR(LEN(TRIM(SUBSTITUTE($D66,"1.","")))=0,LEN(TRIM(SUBSTITUTE($E66,"2.","")))=0,LEN(TRIM(SUBSTITUTE($F66,"3.","")))=0,LEN(TRIM(SUBSTITUTE($G66,"4.","")))=0)),IF(COUNTIF($M66:$Y66,"?*")&gt;0,", ","")&amp;"incisos 1-4","")</x:f>
      </x:c>
      <x:c r="AA66" t="str">
        <x:f>IF(AND($A66="Verdadero o Falso Complejas",COUNTIF($H66:$H66,"?*")&gt;0),IF(COUNTIF($M66:$Z66,"?*")&gt;0,", ","")&amp;"opcion E deshabilitada","")</x:f>
      </x:c>
      <x:c r="AB66" t="str">
        <x:f>IF(AND($A66="Verdadero o Falso Complejas",TRIM($I66)&lt;&gt;"",NOT(OR(LEFT(TRIM($I66),1)="A",LEFT(TRIM($I66),1)="B",LEFT(TRIM($I66),1)="C",LEFT(TRIM($I66),1)="D",LEFT(TRIM($I66),1)="E"))),IF(COUNTIF($M66:$AA66,"?*")&gt;0,", ","")&amp;"respuesta A-E","")</x:f>
      </x:c>
      <x:c r="AC66" t="str">
        <x:f>IF(AND(OR($A66="Selección de la mejor respuesta",$A66="Subítem de caso o problema"),COUNTIF($D66:$H66,"?*")&lt;5),IF(COUNTIF($M66:$AB66,"?*")&gt;0,", ","")&amp;"incisos A-E","")</x:f>
      </x:c>
      <x:c r="AD66" t="str">
        <x:f>IF(AND(OR($A66="Selección de la mejor respuesta",$A66="Subítem de caso o problema"),TRIM($I66)&lt;&gt;"",NOT(OR(LEFT(TRIM($I66),1)="A",LEFT(TRIM($I66),1)="B",LEFT(TRIM($I66),1)="C",LEFT(TRIM($I66),1)="D",LEFT(TRIM($I66),1)="E"))),IF(COUNTIF($M66:$AC66,"?*")&gt;0,", ","")&amp;"respuesta A-E","")</x:f>
      </x:c>
      <x:c r="AE66" t="str">
        <x:f>IF(AND(OR($A66="Ítems agrupados por caso clínico o problema",$A66="Opción de Emparejamiento Ampliado"),COUNTIF($D66:$H66,"?*")&gt;0),IF(COUNTIF($M66:$AD66,"?*")&gt;0,", ","")&amp;"sin incisos","")</x:f>
      </x:c>
      <x:c r="AF66" t="str">
        <x:f>IF(AND($A66="Emparejamiento Ampliado",COUNTIF($D66:$H66,"?*")&lt;2),IF(COUNTIF($M66:$AE66,"?*")&gt;0,", ","")&amp;"minimo 2 claves","")</x:f>
      </x:c>
      <x:c r="AG66" t="str">
        <x:f>IF(AND($A66="Opción de Emparejamiento Ampliado",NOT(OR(LEFT(TRIM($I66),1)="A",LEFT(TRIM($I66),1)="B",LEFT(TRIM($I66),1)="C",LEFT(TRIM($I66),1)="D",LEFT(TRIM($I66),1)="E"))),IF(COUNTIF($M66:$AF66,"?*")&gt;0,", ","")&amp;"respuesta A-E","")</x:f>
      </x:c>
      <x:c r="AK66" s="29" t="str"/>
    </x:row>
    <x:row r="67" ht="24" customHeight="1">
      <x:c r="A67" s="11" t="s">
        <x:v>2</x:v>
      </x:c>
      <x:c r="B67" s="11" t="s">
        <x:v>2</x:v>
      </x:c>
      <x:c r="C67" s="12" t="str">
        <x:f>IF($A67="Emparejamiento Ampliado",VALIDACIONES!$I$1,IF($A67="Respuesta A/B/Ambas/Ninguna","I. "&amp;CHAR(10)&amp;"II. ",""))</x:f>
      </x:c>
      <x:c r="D67" s="11" t="str">
        <x:f>IF($A67="Verdadero o Falso Simple","Verdadero",IF($A67="Respuesta A/B/Ambas/Ninguna","A. Si la primera es verdadera",""))</x:f>
      </x:c>
      <x:c r="E67" s="11" t="str">
        <x:f>IF($A67="Verdadero o Falso Simple","Falso",IF($A67="Respuesta A/B/Ambas/Ninguna","B. Si la segunda es verdadera",""))</x:f>
      </x:c>
      <x:c r="F67" s="11" t="str">
        <x:f>IF($A67="Respuesta A/B/Ambas/Ninguna","C. Si ambas son verdaderas","")</x:f>
      </x:c>
      <x:c r="G67" s="11" t="str">
        <x:f>IF($A67="Respuesta A/B/Ambas/Ninguna","D. Si ninguna es verdadera","")</x:f>
      </x:c>
      <x:c r="H67" s="11" t="s">
        <x:v>2</x:v>
      </x:c>
      <x:c r="I67" s="11" t="str">
        <x:f>IF($A67="Verdadero o Falso Simple","A","")</x:f>
      </x:c>
      <x:c r="J67" s="11" t="s">
        <x:v>2</x:v>
      </x:c>
      <x:c r="K67" s="11" t="s">
        <x:v>4</x:v>
      </x:c>
      <x:c r="L67" s="13" t="str">
        <x:f>IF(TRIM($A67)="","",IF(COUNTIF($M67:$AG67,"?*")=0,"OK","Falta revisar: "&amp;$M67&amp;$N67&amp;$O67&amp;$P67&amp;$Q67&amp;$R67&amp;$S67&amp;$T67&amp;$U67&amp;$V67&amp;$W67&amp;$X67&amp;$Y67&amp;$Z67&amp;$AA67&amp;$AB67&amp;$AC67&amp;$AD67&amp;$AE67&amp;$AF67&amp;$AG67))</x:f>
        <x:v>OK</x:v>
      </x:c>
      <x:c r="M67" t="str">
        <x:f>IF(TRIM($C67)="","enunciado","")</x:f>
        <x:v>enunciado</x:v>
      </x:c>
      <x:c r="N67" t="str">
        <x:f>IF(TRIM($K67)="",IF(COUNTIF($M67:$M67,"?*")&gt;0,", ","")&amp;"parcial","")</x:f>
      </x:c>
      <x:c r="O67" t="str">
        <x:f>IF(AND(TRIM($K67)&lt;&gt;"",TRIM($K67)&lt;&gt;"EF"),IF(COUNTIF($M67:$N67,"?*")&gt;0,", ","")&amp;"parcial distinto a EF","")</x:f>
      </x:c>
      <x:c r="P67" t="str">
        <x:f>IF(AND(OR($A67="Ítems agrupados por caso clínico o problema",$A67="Subítem de caso o problema",$A67="Emparejamiento Ampliado",$A67="Opción de Emparejamiento Ampliado"),TRIM($B67)=""),IF(COUNTIF($M67:$O67,"?*")&gt;0,", ","")&amp;"grupo","")</x:f>
      </x:c>
      <x:c r="Q67" t="str">
        <x:f>IF(AND(OR($A67="Verdadero o Falso Simple",$A67="Respuesta A/B/Ambas/Ninguna",$A67="Verdadero o Falso Complejas",$A67="Selección de la mejor respuesta",$A67="Subítem de caso o problema",$A67="Opción de Emparejamiento Ampliado"),TRIM($I67)=""),IF(COUNTIF($M67:$P67,"?*")&gt;0,", ","")&amp;"respuesta_correcta","")</x:f>
      </x:c>
      <x:c r="R67" t="str">
        <x:f>IF(AND(OR($A67="Verdadero o Falso Simple",$A67="Respuesta A/B/Ambas/Ninguna",$A67="Verdadero o Falso Complejas",$A67="Selección de la mejor respuesta",$A67="Subítem de caso o problema",$A67="Opción de Emparejamiento Ampliado"),TRIM($J67)=""),IF(COUNTIF($M67:$Q67,"?*")&gt;0,", ","")&amp;"dificultad","")</x:f>
      </x:c>
      <x:c r="S67" t="str">
        <x:f>IF(AND(OR($A67="Ítems agrupados por caso clínico o problema",$A67="Emparejamiento Ampliado"),TRIM($I67)&lt;&gt;""),IF(COUNTIF($M67:$R67,"?*")&gt;0,", ","")&amp;"respuesta debe ir vacia","")</x:f>
      </x:c>
      <x:c r="T67" t="str">
        <x:f>IF(AND(OR($A67="Ítems agrupados por caso clínico o problema",$A67="Emparejamiento Ampliado"),TRIM($J67)&lt;&gt;""),IF(COUNTIF($M67:$S67,"?*")&gt;0,", ","")&amp;"dificultad debe ir vacia","")</x:f>
      </x:c>
      <x:c r="U67" t="str">
        <x:f>IF(AND($A67="Verdadero o Falso Simple",OR(COUNTIF($D67:$E67,"?*")&lt;2,COUNTIF($F67:$H67,"?*")&gt;0)),IF(COUNTIF($M67:$T67,"?*")&gt;0,", ","")&amp;"incisos A-B","")</x:f>
      </x:c>
      <x:c r="V67" t="str">
        <x:f>IF(AND($A67="Verdadero o Falso Simple",TRIM($I67)&lt;&gt;"",NOT(OR(LEFT(TRIM($I67),1)="A",LEFT(TRIM($I67),1)="B"))),IF(COUNTIF($M67:$U67,"?*")&gt;0,", ","")&amp;"respuesta A-B","")</x:f>
      </x:c>
      <x:c r="W67" t="str">
        <x:f>IF(AND($A67="Respuesta A/B/Ambas/Ninguna",COUNTIF($D67:$G67,"?*")&lt;4),IF(COUNTIF($M67:$V67,"?*")&gt;0,", ","")&amp;"opciones A-D","")</x:f>
      </x:c>
      <x:c r="X67" t="str">
        <x:f>IF(AND($A67="Respuesta A/B/Ambas/Ninguna",COUNTIF($H67:$H67,"?*")&gt;0),IF(COUNTIF($M67:$W67,"?*")&gt;0,", ","")&amp;"opcion E deshabilitada","")</x:f>
      </x:c>
      <x:c r="Y67" t="str">
        <x:f>IF(AND($A67="Respuesta A/B/Ambas/Ninguna",TRIM($I67)&lt;&gt;"",NOT(OR(LEFT(TRIM($I67),1)="A",LEFT(TRIM($I67),1)="B",LEFT(TRIM($I67),1)="C",LEFT(TRIM($I67),1)="D"))),IF(COUNTIF($M67:$X67,"?*")&gt;0,", ","")&amp;"respuesta A-D","")</x:f>
      </x:c>
      <x:c r="Z67" t="str">
        <x:f>IF(AND($A67="Verdadero o Falso Complejas",OR(LEN(TRIM(SUBSTITUTE($D67,"1.","")))=0,LEN(TRIM(SUBSTITUTE($E67,"2.","")))=0,LEN(TRIM(SUBSTITUTE($F67,"3.","")))=0,LEN(TRIM(SUBSTITUTE($G67,"4.","")))=0)),IF(COUNTIF($M67:$Y67,"?*")&gt;0,", ","")&amp;"incisos 1-4","")</x:f>
      </x:c>
      <x:c r="AA67" t="str">
        <x:f>IF(AND($A67="Verdadero o Falso Complejas",COUNTIF($H67:$H67,"?*")&gt;0),IF(COUNTIF($M67:$Z67,"?*")&gt;0,", ","")&amp;"opcion E deshabilitada","")</x:f>
      </x:c>
      <x:c r="AB67" t="str">
        <x:f>IF(AND($A67="Verdadero o Falso Complejas",TRIM($I67)&lt;&gt;"",NOT(OR(LEFT(TRIM($I67),1)="A",LEFT(TRIM($I67),1)="B",LEFT(TRIM($I67),1)="C",LEFT(TRIM($I67),1)="D",LEFT(TRIM($I67),1)="E"))),IF(COUNTIF($M67:$AA67,"?*")&gt;0,", ","")&amp;"respuesta A-E","")</x:f>
      </x:c>
      <x:c r="AC67" t="str">
        <x:f>IF(AND(OR($A67="Selección de la mejor respuesta",$A67="Subítem de caso o problema"),COUNTIF($D67:$H67,"?*")&lt;5),IF(COUNTIF($M67:$AB67,"?*")&gt;0,", ","")&amp;"incisos A-E","")</x:f>
      </x:c>
      <x:c r="AD67" t="str">
        <x:f>IF(AND(OR($A67="Selección de la mejor respuesta",$A67="Subítem de caso o problema"),TRIM($I67)&lt;&gt;"",NOT(OR(LEFT(TRIM($I67),1)="A",LEFT(TRIM($I67),1)="B",LEFT(TRIM($I67),1)="C",LEFT(TRIM($I67),1)="D",LEFT(TRIM($I67),1)="E"))),IF(COUNTIF($M67:$AC67,"?*")&gt;0,", ","")&amp;"respuesta A-E","")</x:f>
      </x:c>
      <x:c r="AE67" t="str">
        <x:f>IF(AND(OR($A67="Ítems agrupados por caso clínico o problema",$A67="Opción de Emparejamiento Ampliado"),COUNTIF($D67:$H67,"?*")&gt;0),IF(COUNTIF($M67:$AD67,"?*")&gt;0,", ","")&amp;"sin incisos","")</x:f>
      </x:c>
      <x:c r="AF67" t="str">
        <x:f>IF(AND($A67="Emparejamiento Ampliado",COUNTIF($D67:$H67,"?*")&lt;2),IF(COUNTIF($M67:$AE67,"?*")&gt;0,", ","")&amp;"minimo 2 claves","")</x:f>
      </x:c>
      <x:c r="AG67" t="str">
        <x:f>IF(AND($A67="Opción de Emparejamiento Ampliado",NOT(OR(LEFT(TRIM($I67),1)="A",LEFT(TRIM($I67),1)="B",LEFT(TRIM($I67),1)="C",LEFT(TRIM($I67),1)="D",LEFT(TRIM($I67),1)="E"))),IF(COUNTIF($M67:$AF67,"?*")&gt;0,", ","")&amp;"respuesta A-E","")</x:f>
      </x:c>
      <x:c r="AK67" s="29" t="str"/>
    </x:row>
    <x:row r="68" ht="24" customHeight="1">
      <x:c r="A68" s="11" t="s">
        <x:v>2</x:v>
      </x:c>
      <x:c r="B68" s="11" t="s">
        <x:v>2</x:v>
      </x:c>
      <x:c r="C68" s="12" t="str">
        <x:f>IF($A68="Emparejamiento Ampliado",VALIDACIONES!$I$1,IF($A68="Respuesta A/B/Ambas/Ninguna","I. "&amp;CHAR(10)&amp;"II. ",""))</x:f>
      </x:c>
      <x:c r="D68" s="11" t="str">
        <x:f>IF($A68="Verdadero o Falso Simple","Verdadero",IF($A68="Respuesta A/B/Ambas/Ninguna","A. Si la primera es verdadera",""))</x:f>
      </x:c>
      <x:c r="E68" s="11" t="str">
        <x:f>IF($A68="Verdadero o Falso Simple","Falso",IF($A68="Respuesta A/B/Ambas/Ninguna","B. Si la segunda es verdadera",""))</x:f>
      </x:c>
      <x:c r="F68" s="11" t="str">
        <x:f>IF($A68="Respuesta A/B/Ambas/Ninguna","C. Si ambas son verdaderas","")</x:f>
      </x:c>
      <x:c r="G68" s="11" t="str">
        <x:f>IF($A68="Respuesta A/B/Ambas/Ninguna","D. Si ninguna es verdadera","")</x:f>
      </x:c>
      <x:c r="H68" s="11" t="s">
        <x:v>2</x:v>
      </x:c>
      <x:c r="I68" s="11" t="str">
        <x:f>IF($A68="Verdadero o Falso Simple","A","")</x:f>
      </x:c>
      <x:c r="J68" s="11" t="s">
        <x:v>2</x:v>
      </x:c>
      <x:c r="K68" s="11" t="s">
        <x:v>4</x:v>
      </x:c>
      <x:c r="L68" s="13" t="str">
        <x:f>IF(TRIM($A68)="","",IF(COUNTIF($M68:$AG68,"?*")=0,"OK","Falta revisar: "&amp;$M68&amp;$N68&amp;$O68&amp;$P68&amp;$Q68&amp;$R68&amp;$S68&amp;$T68&amp;$U68&amp;$V68&amp;$W68&amp;$X68&amp;$Y68&amp;$Z68&amp;$AA68&amp;$AB68&amp;$AC68&amp;$AD68&amp;$AE68&amp;$AF68&amp;$AG68))</x:f>
        <x:v>OK</x:v>
      </x:c>
      <x:c r="M68" t="str">
        <x:f>IF(TRIM($C68)="","enunciado","")</x:f>
        <x:v>enunciado</x:v>
      </x:c>
      <x:c r="N68" t="str">
        <x:f>IF(TRIM($K68)="",IF(COUNTIF($M68:$M68,"?*")&gt;0,", ","")&amp;"parcial","")</x:f>
      </x:c>
      <x:c r="O68" t="str">
        <x:f>IF(AND(TRIM($K68)&lt;&gt;"",TRIM($K68)&lt;&gt;"EF"),IF(COUNTIF($M68:$N68,"?*")&gt;0,", ","")&amp;"parcial distinto a EF","")</x:f>
      </x:c>
      <x:c r="P68" t="str">
        <x:f>IF(AND(OR($A68="Ítems agrupados por caso clínico o problema",$A68="Subítem de caso o problema",$A68="Emparejamiento Ampliado",$A68="Opción de Emparejamiento Ampliado"),TRIM($B68)=""),IF(COUNTIF($M68:$O68,"?*")&gt;0,", ","")&amp;"grupo","")</x:f>
      </x:c>
      <x:c r="Q68" t="str">
        <x:f>IF(AND(OR($A68="Verdadero o Falso Simple",$A68="Respuesta A/B/Ambas/Ninguna",$A68="Verdadero o Falso Complejas",$A68="Selección de la mejor respuesta",$A68="Subítem de caso o problema",$A68="Opción de Emparejamiento Ampliado"),TRIM($I68)=""),IF(COUNTIF($M68:$P68,"?*")&gt;0,", ","")&amp;"respuesta_correcta","")</x:f>
      </x:c>
      <x:c r="R68" t="str">
        <x:f>IF(AND(OR($A68="Verdadero o Falso Simple",$A68="Respuesta A/B/Ambas/Ninguna",$A68="Verdadero o Falso Complejas",$A68="Selección de la mejor respuesta",$A68="Subítem de caso o problema",$A68="Opción de Emparejamiento Ampliado"),TRIM($J68)=""),IF(COUNTIF($M68:$Q68,"?*")&gt;0,", ","")&amp;"dificultad","")</x:f>
      </x:c>
      <x:c r="S68" t="str">
        <x:f>IF(AND(OR($A68="Ítems agrupados por caso clínico o problema",$A68="Emparejamiento Ampliado"),TRIM($I68)&lt;&gt;""),IF(COUNTIF($M68:$R68,"?*")&gt;0,", ","")&amp;"respuesta debe ir vacia","")</x:f>
      </x:c>
      <x:c r="T68" t="str">
        <x:f>IF(AND(OR($A68="Ítems agrupados por caso clínico o problema",$A68="Emparejamiento Ampliado"),TRIM($J68)&lt;&gt;""),IF(COUNTIF($M68:$S68,"?*")&gt;0,", ","")&amp;"dificultad debe ir vacia","")</x:f>
      </x:c>
      <x:c r="U68" t="str">
        <x:f>IF(AND($A68="Verdadero o Falso Simple",OR(COUNTIF($D68:$E68,"?*")&lt;2,COUNTIF($F68:$H68,"?*")&gt;0)),IF(COUNTIF($M68:$T68,"?*")&gt;0,", ","")&amp;"incisos A-B","")</x:f>
      </x:c>
      <x:c r="V68" t="str">
        <x:f>IF(AND($A68="Verdadero o Falso Simple",TRIM($I68)&lt;&gt;"",NOT(OR(LEFT(TRIM($I68),1)="A",LEFT(TRIM($I68),1)="B"))),IF(COUNTIF($M68:$U68,"?*")&gt;0,", ","")&amp;"respuesta A-B","")</x:f>
      </x:c>
      <x:c r="W68" t="str">
        <x:f>IF(AND($A68="Respuesta A/B/Ambas/Ninguna",COUNTIF($D68:$G68,"?*")&lt;4),IF(COUNTIF($M68:$V68,"?*")&gt;0,", ","")&amp;"opciones A-D","")</x:f>
      </x:c>
      <x:c r="X68" t="str">
        <x:f>IF(AND($A68="Respuesta A/B/Ambas/Ninguna",COUNTIF($H68:$H68,"?*")&gt;0),IF(COUNTIF($M68:$W68,"?*")&gt;0,", ","")&amp;"opcion E deshabilitada","")</x:f>
      </x:c>
      <x:c r="Y68" t="str">
        <x:f>IF(AND($A68="Respuesta A/B/Ambas/Ninguna",TRIM($I68)&lt;&gt;"",NOT(OR(LEFT(TRIM($I68),1)="A",LEFT(TRIM($I68),1)="B",LEFT(TRIM($I68),1)="C",LEFT(TRIM($I68),1)="D"))),IF(COUNTIF($M68:$X68,"?*")&gt;0,", ","")&amp;"respuesta A-D","")</x:f>
      </x:c>
      <x:c r="Z68" t="str">
        <x:f>IF(AND($A68="Verdadero o Falso Complejas",OR(LEN(TRIM(SUBSTITUTE($D68,"1.","")))=0,LEN(TRIM(SUBSTITUTE($E68,"2.","")))=0,LEN(TRIM(SUBSTITUTE($F68,"3.","")))=0,LEN(TRIM(SUBSTITUTE($G68,"4.","")))=0)),IF(COUNTIF($M68:$Y68,"?*")&gt;0,", ","")&amp;"incisos 1-4","")</x:f>
      </x:c>
      <x:c r="AA68" t="str">
        <x:f>IF(AND($A68="Verdadero o Falso Complejas",COUNTIF($H68:$H68,"?*")&gt;0),IF(COUNTIF($M68:$Z68,"?*")&gt;0,", ","")&amp;"opcion E deshabilitada","")</x:f>
      </x:c>
      <x:c r="AB68" t="str">
        <x:f>IF(AND($A68="Verdadero o Falso Complejas",TRIM($I68)&lt;&gt;"",NOT(OR(LEFT(TRIM($I68),1)="A",LEFT(TRIM($I68),1)="B",LEFT(TRIM($I68),1)="C",LEFT(TRIM($I68),1)="D",LEFT(TRIM($I68),1)="E"))),IF(COUNTIF($M68:$AA68,"?*")&gt;0,", ","")&amp;"respuesta A-E","")</x:f>
      </x:c>
      <x:c r="AC68" t="str">
        <x:f>IF(AND(OR($A68="Selección de la mejor respuesta",$A68="Subítem de caso o problema"),COUNTIF($D68:$H68,"?*")&lt;5),IF(COUNTIF($M68:$AB68,"?*")&gt;0,", ","")&amp;"incisos A-E","")</x:f>
      </x:c>
      <x:c r="AD68" t="str">
        <x:f>IF(AND(OR($A68="Selección de la mejor respuesta",$A68="Subítem de caso o problema"),TRIM($I68)&lt;&gt;"",NOT(OR(LEFT(TRIM($I68),1)="A",LEFT(TRIM($I68),1)="B",LEFT(TRIM($I68),1)="C",LEFT(TRIM($I68),1)="D",LEFT(TRIM($I68),1)="E"))),IF(COUNTIF($M68:$AC68,"?*")&gt;0,", ","")&amp;"respuesta A-E","")</x:f>
      </x:c>
      <x:c r="AE68" t="str">
        <x:f>IF(AND(OR($A68="Ítems agrupados por caso clínico o problema",$A68="Opción de Emparejamiento Ampliado"),COUNTIF($D68:$H68,"?*")&gt;0),IF(COUNTIF($M68:$AD68,"?*")&gt;0,", ","")&amp;"sin incisos","")</x:f>
      </x:c>
      <x:c r="AF68" t="str">
        <x:f>IF(AND($A68="Emparejamiento Ampliado",COUNTIF($D68:$H68,"?*")&lt;2),IF(COUNTIF($M68:$AE68,"?*")&gt;0,", ","")&amp;"minimo 2 claves","")</x:f>
      </x:c>
      <x:c r="AG68" t="str">
        <x:f>IF(AND($A68="Opción de Emparejamiento Ampliado",NOT(OR(LEFT(TRIM($I68),1)="A",LEFT(TRIM($I68),1)="B",LEFT(TRIM($I68),1)="C",LEFT(TRIM($I68),1)="D",LEFT(TRIM($I68),1)="E"))),IF(COUNTIF($M68:$AF68,"?*")&gt;0,", ","")&amp;"respuesta A-E","")</x:f>
      </x:c>
      <x:c r="AK68" s="29" t="str"/>
    </x:row>
    <x:row r="69" ht="24" customHeight="1">
      <x:c r="A69" s="11" t="s">
        <x:v>2</x:v>
      </x:c>
      <x:c r="B69" s="11" t="s">
        <x:v>2</x:v>
      </x:c>
      <x:c r="C69" s="12" t="str">
        <x:f>IF($A69="Emparejamiento Ampliado",VALIDACIONES!$I$1,IF($A69="Respuesta A/B/Ambas/Ninguna","I. "&amp;CHAR(10)&amp;"II. ",""))</x:f>
      </x:c>
      <x:c r="D69" s="11" t="str">
        <x:f>IF($A69="Verdadero o Falso Simple","Verdadero",IF($A69="Respuesta A/B/Ambas/Ninguna","A. Si la primera es verdadera",""))</x:f>
      </x:c>
      <x:c r="E69" s="11" t="str">
        <x:f>IF($A69="Verdadero o Falso Simple","Falso",IF($A69="Respuesta A/B/Ambas/Ninguna","B. Si la segunda es verdadera",""))</x:f>
      </x:c>
      <x:c r="F69" s="11" t="str">
        <x:f>IF($A69="Respuesta A/B/Ambas/Ninguna","C. Si ambas son verdaderas","")</x:f>
      </x:c>
      <x:c r="G69" s="11" t="str">
        <x:f>IF($A69="Respuesta A/B/Ambas/Ninguna","D. Si ninguna es verdadera","")</x:f>
      </x:c>
      <x:c r="H69" s="11" t="s">
        <x:v>2</x:v>
      </x:c>
      <x:c r="I69" s="11" t="str">
        <x:f>IF($A69="Verdadero o Falso Simple","A","")</x:f>
      </x:c>
      <x:c r="J69" s="11" t="s">
        <x:v>2</x:v>
      </x:c>
      <x:c r="K69" s="11" t="s">
        <x:v>4</x:v>
      </x:c>
      <x:c r="L69" s="13" t="str">
        <x:f>IF(TRIM($A69)="","",IF(COUNTIF($M69:$AG69,"?*")=0,"OK","Falta revisar: "&amp;$M69&amp;$N69&amp;$O69&amp;$P69&amp;$Q69&amp;$R69&amp;$S69&amp;$T69&amp;$U69&amp;$V69&amp;$W69&amp;$X69&amp;$Y69&amp;$Z69&amp;$AA69&amp;$AB69&amp;$AC69&amp;$AD69&amp;$AE69&amp;$AF69&amp;$AG69))</x:f>
        <x:v>OK</x:v>
      </x:c>
      <x:c r="M69" t="str">
        <x:f>IF(TRIM($C69)="","enunciado","")</x:f>
        <x:v>enunciado</x:v>
      </x:c>
      <x:c r="N69" t="str">
        <x:f>IF(TRIM($K69)="",IF(COUNTIF($M69:$M69,"?*")&gt;0,", ","")&amp;"parcial","")</x:f>
      </x:c>
      <x:c r="O69" t="str">
        <x:f>IF(AND(TRIM($K69)&lt;&gt;"",TRIM($K69)&lt;&gt;"EF"),IF(COUNTIF($M69:$N69,"?*")&gt;0,", ","")&amp;"parcial distinto a EF","")</x:f>
      </x:c>
      <x:c r="P69" t="str">
        <x:f>IF(AND(OR($A69="Ítems agrupados por caso clínico o problema",$A69="Subítem de caso o problema",$A69="Emparejamiento Ampliado",$A69="Opción de Emparejamiento Ampliado"),TRIM($B69)=""),IF(COUNTIF($M69:$O69,"?*")&gt;0,", ","")&amp;"grupo","")</x:f>
      </x:c>
      <x:c r="Q69" t="str">
        <x:f>IF(AND(OR($A69="Verdadero o Falso Simple",$A69="Respuesta A/B/Ambas/Ninguna",$A69="Verdadero o Falso Complejas",$A69="Selección de la mejor respuesta",$A69="Subítem de caso o problema",$A69="Opción de Emparejamiento Ampliado"),TRIM($I69)=""),IF(COUNTIF($M69:$P69,"?*")&gt;0,", ","")&amp;"respuesta_correcta","")</x:f>
      </x:c>
      <x:c r="R69" t="str">
        <x:f>IF(AND(OR($A69="Verdadero o Falso Simple",$A69="Respuesta A/B/Ambas/Ninguna",$A69="Verdadero o Falso Complejas",$A69="Selección de la mejor respuesta",$A69="Subítem de caso o problema",$A69="Opción de Emparejamiento Ampliado"),TRIM($J69)=""),IF(COUNTIF($M69:$Q69,"?*")&gt;0,", ","")&amp;"dificultad","")</x:f>
      </x:c>
      <x:c r="S69" t="str">
        <x:f>IF(AND(OR($A69="Ítems agrupados por caso clínico o problema",$A69="Emparejamiento Ampliado"),TRIM($I69)&lt;&gt;""),IF(COUNTIF($M69:$R69,"?*")&gt;0,", ","")&amp;"respuesta debe ir vacia","")</x:f>
      </x:c>
      <x:c r="T69" t="str">
        <x:f>IF(AND(OR($A69="Ítems agrupados por caso clínico o problema",$A69="Emparejamiento Ampliado"),TRIM($J69)&lt;&gt;""),IF(COUNTIF($M69:$S69,"?*")&gt;0,", ","")&amp;"dificultad debe ir vacia","")</x:f>
      </x:c>
      <x:c r="U69" t="str">
        <x:f>IF(AND($A69="Verdadero o Falso Simple",OR(COUNTIF($D69:$E69,"?*")&lt;2,COUNTIF($F69:$H69,"?*")&gt;0)),IF(COUNTIF($M69:$T69,"?*")&gt;0,", ","")&amp;"incisos A-B","")</x:f>
      </x:c>
      <x:c r="V69" t="str">
        <x:f>IF(AND($A69="Verdadero o Falso Simple",TRIM($I69)&lt;&gt;"",NOT(OR(LEFT(TRIM($I69),1)="A",LEFT(TRIM($I69),1)="B"))),IF(COUNTIF($M69:$U69,"?*")&gt;0,", ","")&amp;"respuesta A-B","")</x:f>
      </x:c>
      <x:c r="W69" t="str">
        <x:f>IF(AND($A69="Respuesta A/B/Ambas/Ninguna",COUNTIF($D69:$G69,"?*")&lt;4),IF(COUNTIF($M69:$V69,"?*")&gt;0,", ","")&amp;"opciones A-D","")</x:f>
      </x:c>
      <x:c r="X69" t="str">
        <x:f>IF(AND($A69="Respuesta A/B/Ambas/Ninguna",COUNTIF($H69:$H69,"?*")&gt;0),IF(COUNTIF($M69:$W69,"?*")&gt;0,", ","")&amp;"opcion E deshabilitada","")</x:f>
      </x:c>
      <x:c r="Y69" t="str">
        <x:f>IF(AND($A69="Respuesta A/B/Ambas/Ninguna",TRIM($I69)&lt;&gt;"",NOT(OR(LEFT(TRIM($I69),1)="A",LEFT(TRIM($I69),1)="B",LEFT(TRIM($I69),1)="C",LEFT(TRIM($I69),1)="D"))),IF(COUNTIF($M69:$X69,"?*")&gt;0,", ","")&amp;"respuesta A-D","")</x:f>
      </x:c>
      <x:c r="Z69" t="str">
        <x:f>IF(AND($A69="Verdadero o Falso Complejas",OR(LEN(TRIM(SUBSTITUTE($D69,"1.","")))=0,LEN(TRIM(SUBSTITUTE($E69,"2.","")))=0,LEN(TRIM(SUBSTITUTE($F69,"3.","")))=0,LEN(TRIM(SUBSTITUTE($G69,"4.","")))=0)),IF(COUNTIF($M69:$Y69,"?*")&gt;0,", ","")&amp;"incisos 1-4","")</x:f>
      </x:c>
      <x:c r="AA69" t="str">
        <x:f>IF(AND($A69="Verdadero o Falso Complejas",COUNTIF($H69:$H69,"?*")&gt;0),IF(COUNTIF($M69:$Z69,"?*")&gt;0,", ","")&amp;"opcion E deshabilitada","")</x:f>
      </x:c>
      <x:c r="AB69" t="str">
        <x:f>IF(AND($A69="Verdadero o Falso Complejas",TRIM($I69)&lt;&gt;"",NOT(OR(LEFT(TRIM($I69),1)="A",LEFT(TRIM($I69),1)="B",LEFT(TRIM($I69),1)="C",LEFT(TRIM($I69),1)="D",LEFT(TRIM($I69),1)="E"))),IF(COUNTIF($M69:$AA69,"?*")&gt;0,", ","")&amp;"respuesta A-E","")</x:f>
      </x:c>
      <x:c r="AC69" t="str">
        <x:f>IF(AND(OR($A69="Selección de la mejor respuesta",$A69="Subítem de caso o problema"),COUNTIF($D69:$H69,"?*")&lt;5),IF(COUNTIF($M69:$AB69,"?*")&gt;0,", ","")&amp;"incisos A-E","")</x:f>
      </x:c>
      <x:c r="AD69" t="str">
        <x:f>IF(AND(OR($A69="Selección de la mejor respuesta",$A69="Subítem de caso o problema"),TRIM($I69)&lt;&gt;"",NOT(OR(LEFT(TRIM($I69),1)="A",LEFT(TRIM($I69),1)="B",LEFT(TRIM($I69),1)="C",LEFT(TRIM($I69),1)="D",LEFT(TRIM($I69),1)="E"))),IF(COUNTIF($M69:$AC69,"?*")&gt;0,", ","")&amp;"respuesta A-E","")</x:f>
      </x:c>
      <x:c r="AE69" t="str">
        <x:f>IF(AND(OR($A69="Ítems agrupados por caso clínico o problema",$A69="Opción de Emparejamiento Ampliado"),COUNTIF($D69:$H69,"?*")&gt;0),IF(COUNTIF($M69:$AD69,"?*")&gt;0,", ","")&amp;"sin incisos","")</x:f>
      </x:c>
      <x:c r="AF69" t="str">
        <x:f>IF(AND($A69="Emparejamiento Ampliado",COUNTIF($D69:$H69,"?*")&lt;2),IF(COUNTIF($M69:$AE69,"?*")&gt;0,", ","")&amp;"minimo 2 claves","")</x:f>
      </x:c>
      <x:c r="AG69" t="str">
        <x:f>IF(AND($A69="Opción de Emparejamiento Ampliado",NOT(OR(LEFT(TRIM($I69),1)="A",LEFT(TRIM($I69),1)="B",LEFT(TRIM($I69),1)="C",LEFT(TRIM($I69),1)="D",LEFT(TRIM($I69),1)="E"))),IF(COUNTIF($M69:$AF69,"?*")&gt;0,", ","")&amp;"respuesta A-E","")</x:f>
      </x:c>
      <x:c r="AK69" s="29" t="str"/>
    </x:row>
    <x:row r="70" ht="24" customHeight="1">
      <x:c r="A70" s="11" t="s">
        <x:v>2</x:v>
      </x:c>
      <x:c r="B70" s="11" t="s">
        <x:v>2</x:v>
      </x:c>
      <x:c r="C70" s="12" t="str">
        <x:f>IF($A70="Emparejamiento Ampliado",VALIDACIONES!$I$1,IF($A70="Respuesta A/B/Ambas/Ninguna","I. "&amp;CHAR(10)&amp;"II. ",""))</x:f>
      </x:c>
      <x:c r="D70" s="11" t="str">
        <x:f>IF($A70="Verdadero o Falso Simple","Verdadero",IF($A70="Respuesta A/B/Ambas/Ninguna","A. Si la primera es verdadera",""))</x:f>
      </x:c>
      <x:c r="E70" s="11" t="str">
        <x:f>IF($A70="Verdadero o Falso Simple","Falso",IF($A70="Respuesta A/B/Ambas/Ninguna","B. Si la segunda es verdadera",""))</x:f>
      </x:c>
      <x:c r="F70" s="11" t="str">
        <x:f>IF($A70="Respuesta A/B/Ambas/Ninguna","C. Si ambas son verdaderas","")</x:f>
      </x:c>
      <x:c r="G70" s="11" t="str">
        <x:f>IF($A70="Respuesta A/B/Ambas/Ninguna","D. Si ninguna es verdadera","")</x:f>
      </x:c>
      <x:c r="H70" s="11" t="s">
        <x:v>2</x:v>
      </x:c>
      <x:c r="I70" s="11" t="str">
        <x:f>IF($A70="Verdadero o Falso Simple","A","")</x:f>
      </x:c>
      <x:c r="J70" s="11" t="s">
        <x:v>2</x:v>
      </x:c>
      <x:c r="K70" s="11" t="s">
        <x:v>4</x:v>
      </x:c>
      <x:c r="L70" s="13" t="str">
        <x:f>IF(TRIM($A70)="","",IF(COUNTIF($M70:$AG70,"?*")=0,"OK","Falta revisar: "&amp;$M70&amp;$N70&amp;$O70&amp;$P70&amp;$Q70&amp;$R70&amp;$S70&amp;$T70&amp;$U70&amp;$V70&amp;$W70&amp;$X70&amp;$Y70&amp;$Z70&amp;$AA70&amp;$AB70&amp;$AC70&amp;$AD70&amp;$AE70&amp;$AF70&amp;$AG70))</x:f>
        <x:v>OK</x:v>
      </x:c>
      <x:c r="M70" t="str">
        <x:f>IF(TRIM($C70)="","enunciado","")</x:f>
        <x:v>enunciado</x:v>
      </x:c>
      <x:c r="N70" t="str">
        <x:f>IF(TRIM($K70)="",IF(COUNTIF($M70:$M70,"?*")&gt;0,", ","")&amp;"parcial","")</x:f>
      </x:c>
      <x:c r="O70" t="str">
        <x:f>IF(AND(TRIM($K70)&lt;&gt;"",TRIM($K70)&lt;&gt;"EF"),IF(COUNTIF($M70:$N70,"?*")&gt;0,", ","")&amp;"parcial distinto a EF","")</x:f>
      </x:c>
      <x:c r="P70" t="str">
        <x:f>IF(AND(OR($A70="Ítems agrupados por caso clínico o problema",$A70="Subítem de caso o problema",$A70="Emparejamiento Ampliado",$A70="Opción de Emparejamiento Ampliado"),TRIM($B70)=""),IF(COUNTIF($M70:$O70,"?*")&gt;0,", ","")&amp;"grupo","")</x:f>
      </x:c>
      <x:c r="Q70" t="str">
        <x:f>IF(AND(OR($A70="Verdadero o Falso Simple",$A70="Respuesta A/B/Ambas/Ninguna",$A70="Verdadero o Falso Complejas",$A70="Selección de la mejor respuesta",$A70="Subítem de caso o problema",$A70="Opción de Emparejamiento Ampliado"),TRIM($I70)=""),IF(COUNTIF($M70:$P70,"?*")&gt;0,", ","")&amp;"respuesta_correcta","")</x:f>
      </x:c>
      <x:c r="R70" t="str">
        <x:f>IF(AND(OR($A70="Verdadero o Falso Simple",$A70="Respuesta A/B/Ambas/Ninguna",$A70="Verdadero o Falso Complejas",$A70="Selección de la mejor respuesta",$A70="Subítem de caso o problema",$A70="Opción de Emparejamiento Ampliado"),TRIM($J70)=""),IF(COUNTIF($M70:$Q70,"?*")&gt;0,", ","")&amp;"dificultad","")</x:f>
      </x:c>
      <x:c r="S70" t="str">
        <x:f>IF(AND(OR($A70="Ítems agrupados por caso clínico o problema",$A70="Emparejamiento Ampliado"),TRIM($I70)&lt;&gt;""),IF(COUNTIF($M70:$R70,"?*")&gt;0,", ","")&amp;"respuesta debe ir vacia","")</x:f>
      </x:c>
      <x:c r="T70" t="str">
        <x:f>IF(AND(OR($A70="Ítems agrupados por caso clínico o problema",$A70="Emparejamiento Ampliado"),TRIM($J70)&lt;&gt;""),IF(COUNTIF($M70:$S70,"?*")&gt;0,", ","")&amp;"dificultad debe ir vacia","")</x:f>
      </x:c>
      <x:c r="U70" t="str">
        <x:f>IF(AND($A70="Verdadero o Falso Simple",OR(COUNTIF($D70:$E70,"?*")&lt;2,COUNTIF($F70:$H70,"?*")&gt;0)),IF(COUNTIF($M70:$T70,"?*")&gt;0,", ","")&amp;"incisos A-B","")</x:f>
      </x:c>
      <x:c r="V70" t="str">
        <x:f>IF(AND($A70="Verdadero o Falso Simple",TRIM($I70)&lt;&gt;"",NOT(OR(LEFT(TRIM($I70),1)="A",LEFT(TRIM($I70),1)="B"))),IF(COUNTIF($M70:$U70,"?*")&gt;0,", ","")&amp;"respuesta A-B","")</x:f>
      </x:c>
      <x:c r="W70" t="str">
        <x:f>IF(AND($A70="Respuesta A/B/Ambas/Ninguna",COUNTIF($D70:$G70,"?*")&lt;4),IF(COUNTIF($M70:$V70,"?*")&gt;0,", ","")&amp;"opciones A-D","")</x:f>
      </x:c>
      <x:c r="X70" t="str">
        <x:f>IF(AND($A70="Respuesta A/B/Ambas/Ninguna",COUNTIF($H70:$H70,"?*")&gt;0),IF(COUNTIF($M70:$W70,"?*")&gt;0,", ","")&amp;"opcion E deshabilitada","")</x:f>
      </x:c>
      <x:c r="Y70" t="str">
        <x:f>IF(AND($A70="Respuesta A/B/Ambas/Ninguna",TRIM($I70)&lt;&gt;"",NOT(OR(LEFT(TRIM($I70),1)="A",LEFT(TRIM($I70),1)="B",LEFT(TRIM($I70),1)="C",LEFT(TRIM($I70),1)="D"))),IF(COUNTIF($M70:$X70,"?*")&gt;0,", ","")&amp;"respuesta A-D","")</x:f>
      </x:c>
      <x:c r="Z70" t="str">
        <x:f>IF(AND($A70="Verdadero o Falso Complejas",OR(LEN(TRIM(SUBSTITUTE($D70,"1.","")))=0,LEN(TRIM(SUBSTITUTE($E70,"2.","")))=0,LEN(TRIM(SUBSTITUTE($F70,"3.","")))=0,LEN(TRIM(SUBSTITUTE($G70,"4.","")))=0)),IF(COUNTIF($M70:$Y70,"?*")&gt;0,", ","")&amp;"incisos 1-4","")</x:f>
      </x:c>
      <x:c r="AA70" t="str">
        <x:f>IF(AND($A70="Verdadero o Falso Complejas",COUNTIF($H70:$H70,"?*")&gt;0),IF(COUNTIF($M70:$Z70,"?*")&gt;0,", ","")&amp;"opcion E deshabilitada","")</x:f>
      </x:c>
      <x:c r="AB70" t="str">
        <x:f>IF(AND($A70="Verdadero o Falso Complejas",TRIM($I70)&lt;&gt;"",NOT(OR(LEFT(TRIM($I70),1)="A",LEFT(TRIM($I70),1)="B",LEFT(TRIM($I70),1)="C",LEFT(TRIM($I70),1)="D",LEFT(TRIM($I70),1)="E"))),IF(COUNTIF($M70:$AA70,"?*")&gt;0,", ","")&amp;"respuesta A-E","")</x:f>
      </x:c>
      <x:c r="AC70" t="str">
        <x:f>IF(AND(OR($A70="Selección de la mejor respuesta",$A70="Subítem de caso o problema"),COUNTIF($D70:$H70,"?*")&lt;5),IF(COUNTIF($M70:$AB70,"?*")&gt;0,", ","")&amp;"incisos A-E","")</x:f>
      </x:c>
      <x:c r="AD70" t="str">
        <x:f>IF(AND(OR($A70="Selección de la mejor respuesta",$A70="Subítem de caso o problema"),TRIM($I70)&lt;&gt;"",NOT(OR(LEFT(TRIM($I70),1)="A",LEFT(TRIM($I70),1)="B",LEFT(TRIM($I70),1)="C",LEFT(TRIM($I70),1)="D",LEFT(TRIM($I70),1)="E"))),IF(COUNTIF($M70:$AC70,"?*")&gt;0,", ","")&amp;"respuesta A-E","")</x:f>
      </x:c>
      <x:c r="AE70" t="str">
        <x:f>IF(AND(OR($A70="Ítems agrupados por caso clínico o problema",$A70="Opción de Emparejamiento Ampliado"),COUNTIF($D70:$H70,"?*")&gt;0),IF(COUNTIF($M70:$AD70,"?*")&gt;0,", ","")&amp;"sin incisos","")</x:f>
      </x:c>
      <x:c r="AF70" t="str">
        <x:f>IF(AND($A70="Emparejamiento Ampliado",COUNTIF($D70:$H70,"?*")&lt;2),IF(COUNTIF($M70:$AE70,"?*")&gt;0,", ","")&amp;"minimo 2 claves","")</x:f>
      </x:c>
      <x:c r="AG70" t="str">
        <x:f>IF(AND($A70="Opción de Emparejamiento Ampliado",NOT(OR(LEFT(TRIM($I70),1)="A",LEFT(TRIM($I70),1)="B",LEFT(TRIM($I70),1)="C",LEFT(TRIM($I70),1)="D",LEFT(TRIM($I70),1)="E"))),IF(COUNTIF($M70:$AF70,"?*")&gt;0,", ","")&amp;"respuesta A-E","")</x:f>
      </x:c>
      <x:c r="AK70" s="29" t="str"/>
    </x:row>
    <x:row r="71" ht="24" customHeight="1">
      <x:c r="A71" s="11" t="s">
        <x:v>2</x:v>
      </x:c>
      <x:c r="B71" s="11" t="s">
        <x:v>2</x:v>
      </x:c>
      <x:c r="C71" s="12" t="str">
        <x:f>IF($A71="Emparejamiento Ampliado",VALIDACIONES!$I$1,IF($A71="Respuesta A/B/Ambas/Ninguna","I. "&amp;CHAR(10)&amp;"II. ",""))</x:f>
      </x:c>
      <x:c r="D71" s="11" t="str">
        <x:f>IF($A71="Verdadero o Falso Simple","Verdadero",IF($A71="Respuesta A/B/Ambas/Ninguna","A. Si la primera es verdadera",""))</x:f>
      </x:c>
      <x:c r="E71" s="11" t="str">
        <x:f>IF($A71="Verdadero o Falso Simple","Falso",IF($A71="Respuesta A/B/Ambas/Ninguna","B. Si la segunda es verdadera",""))</x:f>
      </x:c>
      <x:c r="F71" s="11" t="str">
        <x:f>IF($A71="Respuesta A/B/Ambas/Ninguna","C. Si ambas son verdaderas","")</x:f>
      </x:c>
      <x:c r="G71" s="11" t="str">
        <x:f>IF($A71="Respuesta A/B/Ambas/Ninguna","D. Si ninguna es verdadera","")</x:f>
      </x:c>
      <x:c r="H71" s="11" t="s">
        <x:v>2</x:v>
      </x:c>
      <x:c r="I71" s="11" t="str">
        <x:f>IF($A71="Verdadero o Falso Simple","A","")</x:f>
      </x:c>
      <x:c r="J71" s="11" t="s">
        <x:v>2</x:v>
      </x:c>
      <x:c r="K71" s="11" t="s">
        <x:v>4</x:v>
      </x:c>
      <x:c r="L71" s="13" t="str">
        <x:f>IF(TRIM($A71)="","",IF(COUNTIF($M71:$AG71,"?*")=0,"OK","Falta revisar: "&amp;$M71&amp;$N71&amp;$O71&amp;$P71&amp;$Q71&amp;$R71&amp;$S71&amp;$T71&amp;$U71&amp;$V71&amp;$W71&amp;$X71&amp;$Y71&amp;$Z71&amp;$AA71&amp;$AB71&amp;$AC71&amp;$AD71&amp;$AE71&amp;$AF71&amp;$AG71))</x:f>
        <x:v>OK</x:v>
      </x:c>
      <x:c r="M71" t="str">
        <x:f>IF(TRIM($C71)="","enunciado","")</x:f>
        <x:v>enunciado</x:v>
      </x:c>
      <x:c r="N71" t="str">
        <x:f>IF(TRIM($K71)="",IF(COUNTIF($M71:$M71,"?*")&gt;0,", ","")&amp;"parcial","")</x:f>
      </x:c>
      <x:c r="O71" t="str">
        <x:f>IF(AND(TRIM($K71)&lt;&gt;"",TRIM($K71)&lt;&gt;"EF"),IF(COUNTIF($M71:$N71,"?*")&gt;0,", ","")&amp;"parcial distinto a EF","")</x:f>
      </x:c>
      <x:c r="P71" t="str">
        <x:f>IF(AND(OR($A71="Ítems agrupados por caso clínico o problema",$A71="Subítem de caso o problema",$A71="Emparejamiento Ampliado",$A71="Opción de Emparejamiento Ampliado"),TRIM($B71)=""),IF(COUNTIF($M71:$O71,"?*")&gt;0,", ","")&amp;"grupo","")</x:f>
      </x:c>
      <x:c r="Q71" t="str">
        <x:f>IF(AND(OR($A71="Verdadero o Falso Simple",$A71="Respuesta A/B/Ambas/Ninguna",$A71="Verdadero o Falso Complejas",$A71="Selección de la mejor respuesta",$A71="Subítem de caso o problema",$A71="Opción de Emparejamiento Ampliado"),TRIM($I71)=""),IF(COUNTIF($M71:$P71,"?*")&gt;0,", ","")&amp;"respuesta_correcta","")</x:f>
      </x:c>
      <x:c r="R71" t="str">
        <x:f>IF(AND(OR($A71="Verdadero o Falso Simple",$A71="Respuesta A/B/Ambas/Ninguna",$A71="Verdadero o Falso Complejas",$A71="Selección de la mejor respuesta",$A71="Subítem de caso o problema",$A71="Opción de Emparejamiento Ampliado"),TRIM($J71)=""),IF(COUNTIF($M71:$Q71,"?*")&gt;0,", ","")&amp;"dificultad","")</x:f>
      </x:c>
      <x:c r="S71" t="str">
        <x:f>IF(AND(OR($A71="Ítems agrupados por caso clínico o problema",$A71="Emparejamiento Ampliado"),TRIM($I71)&lt;&gt;""),IF(COUNTIF($M71:$R71,"?*")&gt;0,", ","")&amp;"respuesta debe ir vacia","")</x:f>
      </x:c>
      <x:c r="T71" t="str">
        <x:f>IF(AND(OR($A71="Ítems agrupados por caso clínico o problema",$A71="Emparejamiento Ampliado"),TRIM($J71)&lt;&gt;""),IF(COUNTIF($M71:$S71,"?*")&gt;0,", ","")&amp;"dificultad debe ir vacia","")</x:f>
      </x:c>
      <x:c r="U71" t="str">
        <x:f>IF(AND($A71="Verdadero o Falso Simple",OR(COUNTIF($D71:$E71,"?*")&lt;2,COUNTIF($F71:$H71,"?*")&gt;0)),IF(COUNTIF($M71:$T71,"?*")&gt;0,", ","")&amp;"incisos A-B","")</x:f>
      </x:c>
      <x:c r="V71" t="str">
        <x:f>IF(AND($A71="Verdadero o Falso Simple",TRIM($I71)&lt;&gt;"",NOT(OR(LEFT(TRIM($I71),1)="A",LEFT(TRIM($I71),1)="B"))),IF(COUNTIF($M71:$U71,"?*")&gt;0,", ","")&amp;"respuesta A-B","")</x:f>
      </x:c>
      <x:c r="W71" t="str">
        <x:f>IF(AND($A71="Respuesta A/B/Ambas/Ninguna",COUNTIF($D71:$G71,"?*")&lt;4),IF(COUNTIF($M71:$V71,"?*")&gt;0,", ","")&amp;"opciones A-D","")</x:f>
      </x:c>
      <x:c r="X71" t="str">
        <x:f>IF(AND($A71="Respuesta A/B/Ambas/Ninguna",COUNTIF($H71:$H71,"?*")&gt;0),IF(COUNTIF($M71:$W71,"?*")&gt;0,", ","")&amp;"opcion E deshabilitada","")</x:f>
      </x:c>
      <x:c r="Y71" t="str">
        <x:f>IF(AND($A71="Respuesta A/B/Ambas/Ninguna",TRIM($I71)&lt;&gt;"",NOT(OR(LEFT(TRIM($I71),1)="A",LEFT(TRIM($I71),1)="B",LEFT(TRIM($I71),1)="C",LEFT(TRIM($I71),1)="D"))),IF(COUNTIF($M71:$X71,"?*")&gt;0,", ","")&amp;"respuesta A-D","")</x:f>
      </x:c>
      <x:c r="Z71" t="str">
        <x:f>IF(AND($A71="Verdadero o Falso Complejas",OR(LEN(TRIM(SUBSTITUTE($D71,"1.","")))=0,LEN(TRIM(SUBSTITUTE($E71,"2.","")))=0,LEN(TRIM(SUBSTITUTE($F71,"3.","")))=0,LEN(TRIM(SUBSTITUTE($G71,"4.","")))=0)),IF(COUNTIF($M71:$Y71,"?*")&gt;0,", ","")&amp;"incisos 1-4","")</x:f>
      </x:c>
      <x:c r="AA71" t="str">
        <x:f>IF(AND($A71="Verdadero o Falso Complejas",COUNTIF($H71:$H71,"?*")&gt;0),IF(COUNTIF($M71:$Z71,"?*")&gt;0,", ","")&amp;"opcion E deshabilitada","")</x:f>
      </x:c>
      <x:c r="AB71" t="str">
        <x:f>IF(AND($A71="Verdadero o Falso Complejas",TRIM($I71)&lt;&gt;"",NOT(OR(LEFT(TRIM($I71),1)="A",LEFT(TRIM($I71),1)="B",LEFT(TRIM($I71),1)="C",LEFT(TRIM($I71),1)="D",LEFT(TRIM($I71),1)="E"))),IF(COUNTIF($M71:$AA71,"?*")&gt;0,", ","")&amp;"respuesta A-E","")</x:f>
      </x:c>
      <x:c r="AC71" t="str">
        <x:f>IF(AND(OR($A71="Selección de la mejor respuesta",$A71="Subítem de caso o problema"),COUNTIF($D71:$H71,"?*")&lt;5),IF(COUNTIF($M71:$AB71,"?*")&gt;0,", ","")&amp;"incisos A-E","")</x:f>
      </x:c>
      <x:c r="AD71" t="str">
        <x:f>IF(AND(OR($A71="Selección de la mejor respuesta",$A71="Subítem de caso o problema"),TRIM($I71)&lt;&gt;"",NOT(OR(LEFT(TRIM($I71),1)="A",LEFT(TRIM($I71),1)="B",LEFT(TRIM($I71),1)="C",LEFT(TRIM($I71),1)="D",LEFT(TRIM($I71),1)="E"))),IF(COUNTIF($M71:$AC71,"?*")&gt;0,", ","")&amp;"respuesta A-E","")</x:f>
      </x:c>
      <x:c r="AE71" t="str">
        <x:f>IF(AND(OR($A71="Ítems agrupados por caso clínico o problema",$A71="Opción de Emparejamiento Ampliado"),COUNTIF($D71:$H71,"?*")&gt;0),IF(COUNTIF($M71:$AD71,"?*")&gt;0,", ","")&amp;"sin incisos","")</x:f>
      </x:c>
      <x:c r="AF71" t="str">
        <x:f>IF(AND($A71="Emparejamiento Ampliado",COUNTIF($D71:$H71,"?*")&lt;2),IF(COUNTIF($M71:$AE71,"?*")&gt;0,", ","")&amp;"minimo 2 claves","")</x:f>
      </x:c>
      <x:c r="AG71" t="str">
        <x:f>IF(AND($A71="Opción de Emparejamiento Ampliado",NOT(OR(LEFT(TRIM($I71),1)="A",LEFT(TRIM($I71),1)="B",LEFT(TRIM($I71),1)="C",LEFT(TRIM($I71),1)="D",LEFT(TRIM($I71),1)="E"))),IF(COUNTIF($M71:$AF71,"?*")&gt;0,", ","")&amp;"respuesta A-E","")</x:f>
      </x:c>
      <x:c r="AK71" s="29" t="str"/>
    </x:row>
    <x:row r="72" ht="24" customHeight="1">
      <x:c r="A72" s="11" t="s">
        <x:v>2</x:v>
      </x:c>
      <x:c r="B72" s="11" t="s">
        <x:v>2</x:v>
      </x:c>
      <x:c r="C72" s="12" t="str">
        <x:f>IF($A72="Emparejamiento Ampliado",VALIDACIONES!$I$1,IF($A72="Respuesta A/B/Ambas/Ninguna","I. "&amp;CHAR(10)&amp;"II. ",""))</x:f>
      </x:c>
      <x:c r="D72" s="11" t="str">
        <x:f>IF($A72="Verdadero o Falso Simple","Verdadero",IF($A72="Respuesta A/B/Ambas/Ninguna","A. Si la primera es verdadera",""))</x:f>
      </x:c>
      <x:c r="E72" s="11" t="str">
        <x:f>IF($A72="Verdadero o Falso Simple","Falso",IF($A72="Respuesta A/B/Ambas/Ninguna","B. Si la segunda es verdadera",""))</x:f>
      </x:c>
      <x:c r="F72" s="11" t="str">
        <x:f>IF($A72="Respuesta A/B/Ambas/Ninguna","C. Si ambas son verdaderas","")</x:f>
      </x:c>
      <x:c r="G72" s="11" t="str">
        <x:f>IF($A72="Respuesta A/B/Ambas/Ninguna","D. Si ninguna es verdadera","")</x:f>
      </x:c>
      <x:c r="H72" s="11" t="s">
        <x:v>2</x:v>
      </x:c>
      <x:c r="I72" s="11" t="str">
        <x:f>IF($A72="Verdadero o Falso Simple","A","")</x:f>
      </x:c>
      <x:c r="J72" s="11" t="s">
        <x:v>2</x:v>
      </x:c>
      <x:c r="K72" s="11" t="s">
        <x:v>4</x:v>
      </x:c>
      <x:c r="L72" s="13" t="str">
        <x:f>IF(TRIM($A72)="","",IF(COUNTIF($M72:$AG72,"?*")=0,"OK","Falta revisar: "&amp;$M72&amp;$N72&amp;$O72&amp;$P72&amp;$Q72&amp;$R72&amp;$S72&amp;$T72&amp;$U72&amp;$V72&amp;$W72&amp;$X72&amp;$Y72&amp;$Z72&amp;$AA72&amp;$AB72&amp;$AC72&amp;$AD72&amp;$AE72&amp;$AF72&amp;$AG72))</x:f>
        <x:v>OK</x:v>
      </x:c>
      <x:c r="M72" t="str">
        <x:f>IF(TRIM($C72)="","enunciado","")</x:f>
        <x:v>enunciado</x:v>
      </x:c>
      <x:c r="N72" t="str">
        <x:f>IF(TRIM($K72)="",IF(COUNTIF($M72:$M72,"?*")&gt;0,", ","")&amp;"parcial","")</x:f>
      </x:c>
      <x:c r="O72" t="str">
        <x:f>IF(AND(TRIM($K72)&lt;&gt;"",TRIM($K72)&lt;&gt;"EF"),IF(COUNTIF($M72:$N72,"?*")&gt;0,", ","")&amp;"parcial distinto a EF","")</x:f>
      </x:c>
      <x:c r="P72" t="str">
        <x:f>IF(AND(OR($A72="Ítems agrupados por caso clínico o problema",$A72="Subítem de caso o problema",$A72="Emparejamiento Ampliado",$A72="Opción de Emparejamiento Ampliado"),TRIM($B72)=""),IF(COUNTIF($M72:$O72,"?*")&gt;0,", ","")&amp;"grupo","")</x:f>
      </x:c>
      <x:c r="Q72" t="str">
        <x:f>IF(AND(OR($A72="Verdadero o Falso Simple",$A72="Respuesta A/B/Ambas/Ninguna",$A72="Verdadero o Falso Complejas",$A72="Selección de la mejor respuesta",$A72="Subítem de caso o problema",$A72="Opción de Emparejamiento Ampliado"),TRIM($I72)=""),IF(COUNTIF($M72:$P72,"?*")&gt;0,", ","")&amp;"respuesta_correcta","")</x:f>
      </x:c>
      <x:c r="R72" t="str">
        <x:f>IF(AND(OR($A72="Verdadero o Falso Simple",$A72="Respuesta A/B/Ambas/Ninguna",$A72="Verdadero o Falso Complejas",$A72="Selección de la mejor respuesta",$A72="Subítem de caso o problema",$A72="Opción de Emparejamiento Ampliado"),TRIM($J72)=""),IF(COUNTIF($M72:$Q72,"?*")&gt;0,", ","")&amp;"dificultad","")</x:f>
      </x:c>
      <x:c r="S72" t="str">
        <x:f>IF(AND(OR($A72="Ítems agrupados por caso clínico o problema",$A72="Emparejamiento Ampliado"),TRIM($I72)&lt;&gt;""),IF(COUNTIF($M72:$R72,"?*")&gt;0,", ","")&amp;"respuesta debe ir vacia","")</x:f>
      </x:c>
      <x:c r="T72" t="str">
        <x:f>IF(AND(OR($A72="Ítems agrupados por caso clínico o problema",$A72="Emparejamiento Ampliado"),TRIM($J72)&lt;&gt;""),IF(COUNTIF($M72:$S72,"?*")&gt;0,", ","")&amp;"dificultad debe ir vacia","")</x:f>
      </x:c>
      <x:c r="U72" t="str">
        <x:f>IF(AND($A72="Verdadero o Falso Simple",OR(COUNTIF($D72:$E72,"?*")&lt;2,COUNTIF($F72:$H72,"?*")&gt;0)),IF(COUNTIF($M72:$T72,"?*")&gt;0,", ","")&amp;"incisos A-B","")</x:f>
      </x:c>
      <x:c r="V72" t="str">
        <x:f>IF(AND($A72="Verdadero o Falso Simple",TRIM($I72)&lt;&gt;"",NOT(OR(LEFT(TRIM($I72),1)="A",LEFT(TRIM($I72),1)="B"))),IF(COUNTIF($M72:$U72,"?*")&gt;0,", ","")&amp;"respuesta A-B","")</x:f>
      </x:c>
      <x:c r="W72" t="str">
        <x:f>IF(AND($A72="Respuesta A/B/Ambas/Ninguna",COUNTIF($D72:$G72,"?*")&lt;4),IF(COUNTIF($M72:$V72,"?*")&gt;0,", ","")&amp;"opciones A-D","")</x:f>
      </x:c>
      <x:c r="X72" t="str">
        <x:f>IF(AND($A72="Respuesta A/B/Ambas/Ninguna",COUNTIF($H72:$H72,"?*")&gt;0),IF(COUNTIF($M72:$W72,"?*")&gt;0,", ","")&amp;"opcion E deshabilitada","")</x:f>
      </x:c>
      <x:c r="Y72" t="str">
        <x:f>IF(AND($A72="Respuesta A/B/Ambas/Ninguna",TRIM($I72)&lt;&gt;"",NOT(OR(LEFT(TRIM($I72),1)="A",LEFT(TRIM($I72),1)="B",LEFT(TRIM($I72),1)="C",LEFT(TRIM($I72),1)="D"))),IF(COUNTIF($M72:$X72,"?*")&gt;0,", ","")&amp;"respuesta A-D","")</x:f>
      </x:c>
      <x:c r="Z72" t="str">
        <x:f>IF(AND($A72="Verdadero o Falso Complejas",OR(LEN(TRIM(SUBSTITUTE($D72,"1.","")))=0,LEN(TRIM(SUBSTITUTE($E72,"2.","")))=0,LEN(TRIM(SUBSTITUTE($F72,"3.","")))=0,LEN(TRIM(SUBSTITUTE($G72,"4.","")))=0)),IF(COUNTIF($M72:$Y72,"?*")&gt;0,", ","")&amp;"incisos 1-4","")</x:f>
      </x:c>
      <x:c r="AA72" t="str">
        <x:f>IF(AND($A72="Verdadero o Falso Complejas",COUNTIF($H72:$H72,"?*")&gt;0),IF(COUNTIF($M72:$Z72,"?*")&gt;0,", ","")&amp;"opcion E deshabilitada","")</x:f>
      </x:c>
      <x:c r="AB72" t="str">
        <x:f>IF(AND($A72="Verdadero o Falso Complejas",TRIM($I72)&lt;&gt;"",NOT(OR(LEFT(TRIM($I72),1)="A",LEFT(TRIM($I72),1)="B",LEFT(TRIM($I72),1)="C",LEFT(TRIM($I72),1)="D",LEFT(TRIM($I72),1)="E"))),IF(COUNTIF($M72:$AA72,"?*")&gt;0,", ","")&amp;"respuesta A-E","")</x:f>
      </x:c>
      <x:c r="AC72" t="str">
        <x:f>IF(AND(OR($A72="Selección de la mejor respuesta",$A72="Subítem de caso o problema"),COUNTIF($D72:$H72,"?*")&lt;5),IF(COUNTIF($M72:$AB72,"?*")&gt;0,", ","")&amp;"incisos A-E","")</x:f>
      </x:c>
      <x:c r="AD72" t="str">
        <x:f>IF(AND(OR($A72="Selección de la mejor respuesta",$A72="Subítem de caso o problema"),TRIM($I72)&lt;&gt;"",NOT(OR(LEFT(TRIM($I72),1)="A",LEFT(TRIM($I72),1)="B",LEFT(TRIM($I72),1)="C",LEFT(TRIM($I72),1)="D",LEFT(TRIM($I72),1)="E"))),IF(COUNTIF($M72:$AC72,"?*")&gt;0,", ","")&amp;"respuesta A-E","")</x:f>
      </x:c>
      <x:c r="AE72" t="str">
        <x:f>IF(AND(OR($A72="Ítems agrupados por caso clínico o problema",$A72="Opción de Emparejamiento Ampliado"),COUNTIF($D72:$H72,"?*")&gt;0),IF(COUNTIF($M72:$AD72,"?*")&gt;0,", ","")&amp;"sin incisos","")</x:f>
      </x:c>
      <x:c r="AF72" t="str">
        <x:f>IF(AND($A72="Emparejamiento Ampliado",COUNTIF($D72:$H72,"?*")&lt;2),IF(COUNTIF($M72:$AE72,"?*")&gt;0,", ","")&amp;"minimo 2 claves","")</x:f>
      </x:c>
      <x:c r="AG72" t="str">
        <x:f>IF(AND($A72="Opción de Emparejamiento Ampliado",NOT(OR(LEFT(TRIM($I72),1)="A",LEFT(TRIM($I72),1)="B",LEFT(TRIM($I72),1)="C",LEFT(TRIM($I72),1)="D",LEFT(TRIM($I72),1)="E"))),IF(COUNTIF($M72:$AF72,"?*")&gt;0,", ","")&amp;"respuesta A-E","")</x:f>
      </x:c>
      <x:c r="AK72" s="29" t="str"/>
    </x:row>
    <x:row r="73" ht="24" customHeight="1">
      <x:c r="A73" s="11" t="s">
        <x:v>2</x:v>
      </x:c>
      <x:c r="B73" s="11" t="s">
        <x:v>2</x:v>
      </x:c>
      <x:c r="C73" s="12" t="str">
        <x:f>IF($A73="Emparejamiento Ampliado",VALIDACIONES!$I$1,IF($A73="Respuesta A/B/Ambas/Ninguna","I. "&amp;CHAR(10)&amp;"II. ",""))</x:f>
      </x:c>
      <x:c r="D73" s="11" t="str">
        <x:f>IF($A73="Verdadero o Falso Simple","Verdadero",IF($A73="Respuesta A/B/Ambas/Ninguna","A. Si la primera es verdadera",""))</x:f>
      </x:c>
      <x:c r="E73" s="11" t="str">
        <x:f>IF($A73="Verdadero o Falso Simple","Falso",IF($A73="Respuesta A/B/Ambas/Ninguna","B. Si la segunda es verdadera",""))</x:f>
      </x:c>
      <x:c r="F73" s="11" t="str">
        <x:f>IF($A73="Respuesta A/B/Ambas/Ninguna","C. Si ambas son verdaderas","")</x:f>
      </x:c>
      <x:c r="G73" s="11" t="str">
        <x:f>IF($A73="Respuesta A/B/Ambas/Ninguna","D. Si ninguna es verdadera","")</x:f>
      </x:c>
      <x:c r="H73" s="11" t="s">
        <x:v>2</x:v>
      </x:c>
      <x:c r="I73" s="11" t="str">
        <x:f>IF($A73="Verdadero o Falso Simple","A","")</x:f>
      </x:c>
      <x:c r="J73" s="11" t="s">
        <x:v>2</x:v>
      </x:c>
      <x:c r="K73" s="11" t="s">
        <x:v>4</x:v>
      </x:c>
      <x:c r="L73" s="13" t="str">
        <x:f>IF(TRIM($A73)="","",IF(COUNTIF($M73:$AG73,"?*")=0,"OK","Falta revisar: "&amp;$M73&amp;$N73&amp;$O73&amp;$P73&amp;$Q73&amp;$R73&amp;$S73&amp;$T73&amp;$U73&amp;$V73&amp;$W73&amp;$X73&amp;$Y73&amp;$Z73&amp;$AA73&amp;$AB73&amp;$AC73&amp;$AD73&amp;$AE73&amp;$AF73&amp;$AG73))</x:f>
        <x:v>OK</x:v>
      </x:c>
      <x:c r="M73" t="str">
        <x:f>IF(TRIM($C73)="","enunciado","")</x:f>
        <x:v>enunciado</x:v>
      </x:c>
      <x:c r="N73" t="str">
        <x:f>IF(TRIM($K73)="",IF(COUNTIF($M73:$M73,"?*")&gt;0,", ","")&amp;"parcial","")</x:f>
      </x:c>
      <x:c r="O73" t="str">
        <x:f>IF(AND(TRIM($K73)&lt;&gt;"",TRIM($K73)&lt;&gt;"EF"),IF(COUNTIF($M73:$N73,"?*")&gt;0,", ","")&amp;"parcial distinto a EF","")</x:f>
      </x:c>
      <x:c r="P73" t="str">
        <x:f>IF(AND(OR($A73="Ítems agrupados por caso clínico o problema",$A73="Subítem de caso o problema",$A73="Emparejamiento Ampliado",$A73="Opción de Emparejamiento Ampliado"),TRIM($B73)=""),IF(COUNTIF($M73:$O73,"?*")&gt;0,", ","")&amp;"grupo","")</x:f>
      </x:c>
      <x:c r="Q73" t="str">
        <x:f>IF(AND(OR($A73="Verdadero o Falso Simple",$A73="Respuesta A/B/Ambas/Ninguna",$A73="Verdadero o Falso Complejas",$A73="Selección de la mejor respuesta",$A73="Subítem de caso o problema",$A73="Opción de Emparejamiento Ampliado"),TRIM($I73)=""),IF(COUNTIF($M73:$P73,"?*")&gt;0,", ","")&amp;"respuesta_correcta","")</x:f>
      </x:c>
      <x:c r="R73" t="str">
        <x:f>IF(AND(OR($A73="Verdadero o Falso Simple",$A73="Respuesta A/B/Ambas/Ninguna",$A73="Verdadero o Falso Complejas",$A73="Selección de la mejor respuesta",$A73="Subítem de caso o problema",$A73="Opción de Emparejamiento Ampliado"),TRIM($J73)=""),IF(COUNTIF($M73:$Q73,"?*")&gt;0,", ","")&amp;"dificultad","")</x:f>
      </x:c>
      <x:c r="S73" t="str">
        <x:f>IF(AND(OR($A73="Ítems agrupados por caso clínico o problema",$A73="Emparejamiento Ampliado"),TRIM($I73)&lt;&gt;""),IF(COUNTIF($M73:$R73,"?*")&gt;0,", ","")&amp;"respuesta debe ir vacia","")</x:f>
      </x:c>
      <x:c r="T73" t="str">
        <x:f>IF(AND(OR($A73="Ítems agrupados por caso clínico o problema",$A73="Emparejamiento Ampliado"),TRIM($J73)&lt;&gt;""),IF(COUNTIF($M73:$S73,"?*")&gt;0,", ","")&amp;"dificultad debe ir vacia","")</x:f>
      </x:c>
      <x:c r="U73" t="str">
        <x:f>IF(AND($A73="Verdadero o Falso Simple",OR(COUNTIF($D73:$E73,"?*")&lt;2,COUNTIF($F73:$H73,"?*")&gt;0)),IF(COUNTIF($M73:$T73,"?*")&gt;0,", ","")&amp;"incisos A-B","")</x:f>
      </x:c>
      <x:c r="V73" t="str">
        <x:f>IF(AND($A73="Verdadero o Falso Simple",TRIM($I73)&lt;&gt;"",NOT(OR(LEFT(TRIM($I73),1)="A",LEFT(TRIM($I73),1)="B"))),IF(COUNTIF($M73:$U73,"?*")&gt;0,", ","")&amp;"respuesta A-B","")</x:f>
      </x:c>
      <x:c r="W73" t="str">
        <x:f>IF(AND($A73="Respuesta A/B/Ambas/Ninguna",COUNTIF($D73:$G73,"?*")&lt;4),IF(COUNTIF($M73:$V73,"?*")&gt;0,", ","")&amp;"opciones A-D","")</x:f>
      </x:c>
      <x:c r="X73" t="str">
        <x:f>IF(AND($A73="Respuesta A/B/Ambas/Ninguna",COUNTIF($H73:$H73,"?*")&gt;0),IF(COUNTIF($M73:$W73,"?*")&gt;0,", ","")&amp;"opcion E deshabilitada","")</x:f>
      </x:c>
      <x:c r="Y73" t="str">
        <x:f>IF(AND($A73="Respuesta A/B/Ambas/Ninguna",TRIM($I73)&lt;&gt;"",NOT(OR(LEFT(TRIM($I73),1)="A",LEFT(TRIM($I73),1)="B",LEFT(TRIM($I73),1)="C",LEFT(TRIM($I73),1)="D"))),IF(COUNTIF($M73:$X73,"?*")&gt;0,", ","")&amp;"respuesta A-D","")</x:f>
      </x:c>
      <x:c r="Z73" t="str">
        <x:f>IF(AND($A73="Verdadero o Falso Complejas",OR(LEN(TRIM(SUBSTITUTE($D73,"1.","")))=0,LEN(TRIM(SUBSTITUTE($E73,"2.","")))=0,LEN(TRIM(SUBSTITUTE($F73,"3.","")))=0,LEN(TRIM(SUBSTITUTE($G73,"4.","")))=0)),IF(COUNTIF($M73:$Y73,"?*")&gt;0,", ","")&amp;"incisos 1-4","")</x:f>
      </x:c>
      <x:c r="AA73" t="str">
        <x:f>IF(AND($A73="Verdadero o Falso Complejas",COUNTIF($H73:$H73,"?*")&gt;0),IF(COUNTIF($M73:$Z73,"?*")&gt;0,", ","")&amp;"opcion E deshabilitada","")</x:f>
      </x:c>
      <x:c r="AB73" t="str">
        <x:f>IF(AND($A73="Verdadero o Falso Complejas",TRIM($I73)&lt;&gt;"",NOT(OR(LEFT(TRIM($I73),1)="A",LEFT(TRIM($I73),1)="B",LEFT(TRIM($I73),1)="C",LEFT(TRIM($I73),1)="D",LEFT(TRIM($I73),1)="E"))),IF(COUNTIF($M73:$AA73,"?*")&gt;0,", ","")&amp;"respuesta A-E","")</x:f>
      </x:c>
      <x:c r="AC73" t="str">
        <x:f>IF(AND(OR($A73="Selección de la mejor respuesta",$A73="Subítem de caso o problema"),COUNTIF($D73:$H73,"?*")&lt;5),IF(COUNTIF($M73:$AB73,"?*")&gt;0,", ","")&amp;"incisos A-E","")</x:f>
      </x:c>
      <x:c r="AD73" t="str">
        <x:f>IF(AND(OR($A73="Selección de la mejor respuesta",$A73="Subítem de caso o problema"),TRIM($I73)&lt;&gt;"",NOT(OR(LEFT(TRIM($I73),1)="A",LEFT(TRIM($I73),1)="B",LEFT(TRIM($I73),1)="C",LEFT(TRIM($I73),1)="D",LEFT(TRIM($I73),1)="E"))),IF(COUNTIF($M73:$AC73,"?*")&gt;0,", ","")&amp;"respuesta A-E","")</x:f>
      </x:c>
      <x:c r="AE73" t="str">
        <x:f>IF(AND(OR($A73="Ítems agrupados por caso clínico o problema",$A73="Opción de Emparejamiento Ampliado"),COUNTIF($D73:$H73,"?*")&gt;0),IF(COUNTIF($M73:$AD73,"?*")&gt;0,", ","")&amp;"sin incisos","")</x:f>
      </x:c>
      <x:c r="AF73" t="str">
        <x:f>IF(AND($A73="Emparejamiento Ampliado",COUNTIF($D73:$H73,"?*")&lt;2),IF(COUNTIF($M73:$AE73,"?*")&gt;0,", ","")&amp;"minimo 2 claves","")</x:f>
      </x:c>
      <x:c r="AG73" t="str">
        <x:f>IF(AND($A73="Opción de Emparejamiento Ampliado",NOT(OR(LEFT(TRIM($I73),1)="A",LEFT(TRIM($I73),1)="B",LEFT(TRIM($I73),1)="C",LEFT(TRIM($I73),1)="D",LEFT(TRIM($I73),1)="E"))),IF(COUNTIF($M73:$AF73,"?*")&gt;0,", ","")&amp;"respuesta A-E","")</x:f>
      </x:c>
      <x:c r="AK73" s="29" t="str"/>
    </x:row>
    <x:row r="74" ht="24" customHeight="1">
      <x:c r="A74" s="11" t="s">
        <x:v>2</x:v>
      </x:c>
      <x:c r="B74" s="11" t="s">
        <x:v>2</x:v>
      </x:c>
      <x:c r="C74" s="12" t="str">
        <x:f>IF($A74="Emparejamiento Ampliado",VALIDACIONES!$I$1,IF($A74="Respuesta A/B/Ambas/Ninguna","I. "&amp;CHAR(10)&amp;"II. ",""))</x:f>
      </x:c>
      <x:c r="D74" s="11" t="str">
        <x:f>IF($A74="Verdadero o Falso Simple","Verdadero",IF($A74="Respuesta A/B/Ambas/Ninguna","A. Si la primera es verdadera",""))</x:f>
      </x:c>
      <x:c r="E74" s="11" t="str">
        <x:f>IF($A74="Verdadero o Falso Simple","Falso",IF($A74="Respuesta A/B/Ambas/Ninguna","B. Si la segunda es verdadera",""))</x:f>
      </x:c>
      <x:c r="F74" s="11" t="str">
        <x:f>IF($A74="Respuesta A/B/Ambas/Ninguna","C. Si ambas son verdaderas","")</x:f>
      </x:c>
      <x:c r="G74" s="11" t="str">
        <x:f>IF($A74="Respuesta A/B/Ambas/Ninguna","D. Si ninguna es verdadera","")</x:f>
      </x:c>
      <x:c r="H74" s="11" t="s">
        <x:v>2</x:v>
      </x:c>
      <x:c r="I74" s="11" t="str">
        <x:f>IF($A74="Verdadero o Falso Simple","A","")</x:f>
      </x:c>
      <x:c r="J74" s="11" t="s">
        <x:v>2</x:v>
      </x:c>
      <x:c r="K74" s="11" t="s">
        <x:v>4</x:v>
      </x:c>
      <x:c r="L74" s="13" t="str">
        <x:f>IF(TRIM($A74)="","",IF(COUNTIF($M74:$AG74,"?*")=0,"OK","Falta revisar: "&amp;$M74&amp;$N74&amp;$O74&amp;$P74&amp;$Q74&amp;$R74&amp;$S74&amp;$T74&amp;$U74&amp;$V74&amp;$W74&amp;$X74&amp;$Y74&amp;$Z74&amp;$AA74&amp;$AB74&amp;$AC74&amp;$AD74&amp;$AE74&amp;$AF74&amp;$AG74))</x:f>
        <x:v>OK</x:v>
      </x:c>
      <x:c r="M74" t="str">
        <x:f>IF(TRIM($C74)="","enunciado","")</x:f>
        <x:v>enunciado</x:v>
      </x:c>
      <x:c r="N74" t="str">
        <x:f>IF(TRIM($K74)="",IF(COUNTIF($M74:$M74,"?*")&gt;0,", ","")&amp;"parcial","")</x:f>
      </x:c>
      <x:c r="O74" t="str">
        <x:f>IF(AND(TRIM($K74)&lt;&gt;"",TRIM($K74)&lt;&gt;"EF"),IF(COUNTIF($M74:$N74,"?*")&gt;0,", ","")&amp;"parcial distinto a EF","")</x:f>
      </x:c>
      <x:c r="P74" t="str">
        <x:f>IF(AND(OR($A74="Ítems agrupados por caso clínico o problema",$A74="Subítem de caso o problema",$A74="Emparejamiento Ampliado",$A74="Opción de Emparejamiento Ampliado"),TRIM($B74)=""),IF(COUNTIF($M74:$O74,"?*")&gt;0,", ","")&amp;"grupo","")</x:f>
      </x:c>
      <x:c r="Q74" t="str">
        <x:f>IF(AND(OR($A74="Verdadero o Falso Simple",$A74="Respuesta A/B/Ambas/Ninguna",$A74="Verdadero o Falso Complejas",$A74="Selección de la mejor respuesta",$A74="Subítem de caso o problema",$A74="Opción de Emparejamiento Ampliado"),TRIM($I74)=""),IF(COUNTIF($M74:$P74,"?*")&gt;0,", ","")&amp;"respuesta_correcta","")</x:f>
      </x:c>
      <x:c r="R74" t="str">
        <x:f>IF(AND(OR($A74="Verdadero o Falso Simple",$A74="Respuesta A/B/Ambas/Ninguna",$A74="Verdadero o Falso Complejas",$A74="Selección de la mejor respuesta",$A74="Subítem de caso o problema",$A74="Opción de Emparejamiento Ampliado"),TRIM($J74)=""),IF(COUNTIF($M74:$Q74,"?*")&gt;0,", ","")&amp;"dificultad","")</x:f>
      </x:c>
      <x:c r="S74" t="str">
        <x:f>IF(AND(OR($A74="Ítems agrupados por caso clínico o problema",$A74="Emparejamiento Ampliado"),TRIM($I74)&lt;&gt;""),IF(COUNTIF($M74:$R74,"?*")&gt;0,", ","")&amp;"respuesta debe ir vacia","")</x:f>
      </x:c>
      <x:c r="T74" t="str">
        <x:f>IF(AND(OR($A74="Ítems agrupados por caso clínico o problema",$A74="Emparejamiento Ampliado"),TRIM($J74)&lt;&gt;""),IF(COUNTIF($M74:$S74,"?*")&gt;0,", ","")&amp;"dificultad debe ir vacia","")</x:f>
      </x:c>
      <x:c r="U74" t="str">
        <x:f>IF(AND($A74="Verdadero o Falso Simple",OR(COUNTIF($D74:$E74,"?*")&lt;2,COUNTIF($F74:$H74,"?*")&gt;0)),IF(COUNTIF($M74:$T74,"?*")&gt;0,", ","")&amp;"incisos A-B","")</x:f>
      </x:c>
      <x:c r="V74" t="str">
        <x:f>IF(AND($A74="Verdadero o Falso Simple",TRIM($I74)&lt;&gt;"",NOT(OR(LEFT(TRIM($I74),1)="A",LEFT(TRIM($I74),1)="B"))),IF(COUNTIF($M74:$U74,"?*")&gt;0,", ","")&amp;"respuesta A-B","")</x:f>
      </x:c>
      <x:c r="W74" t="str">
        <x:f>IF(AND($A74="Respuesta A/B/Ambas/Ninguna",COUNTIF($D74:$G74,"?*")&lt;4),IF(COUNTIF($M74:$V74,"?*")&gt;0,", ","")&amp;"opciones A-D","")</x:f>
      </x:c>
      <x:c r="X74" t="str">
        <x:f>IF(AND($A74="Respuesta A/B/Ambas/Ninguna",COUNTIF($H74:$H74,"?*")&gt;0),IF(COUNTIF($M74:$W74,"?*")&gt;0,", ","")&amp;"opcion E deshabilitada","")</x:f>
      </x:c>
      <x:c r="Y74" t="str">
        <x:f>IF(AND($A74="Respuesta A/B/Ambas/Ninguna",TRIM($I74)&lt;&gt;"",NOT(OR(LEFT(TRIM($I74),1)="A",LEFT(TRIM($I74),1)="B",LEFT(TRIM($I74),1)="C",LEFT(TRIM($I74),1)="D"))),IF(COUNTIF($M74:$X74,"?*")&gt;0,", ","")&amp;"respuesta A-D","")</x:f>
      </x:c>
      <x:c r="Z74" t="str">
        <x:f>IF(AND($A74="Verdadero o Falso Complejas",OR(LEN(TRIM(SUBSTITUTE($D74,"1.","")))=0,LEN(TRIM(SUBSTITUTE($E74,"2.","")))=0,LEN(TRIM(SUBSTITUTE($F74,"3.","")))=0,LEN(TRIM(SUBSTITUTE($G74,"4.","")))=0)),IF(COUNTIF($M74:$Y74,"?*")&gt;0,", ","")&amp;"incisos 1-4","")</x:f>
      </x:c>
      <x:c r="AA74" t="str">
        <x:f>IF(AND($A74="Verdadero o Falso Complejas",COUNTIF($H74:$H74,"?*")&gt;0),IF(COUNTIF($M74:$Z74,"?*")&gt;0,", ","")&amp;"opcion E deshabilitada","")</x:f>
      </x:c>
      <x:c r="AB74" t="str">
        <x:f>IF(AND($A74="Verdadero o Falso Complejas",TRIM($I74)&lt;&gt;"",NOT(OR(LEFT(TRIM($I74),1)="A",LEFT(TRIM($I74),1)="B",LEFT(TRIM($I74),1)="C",LEFT(TRIM($I74),1)="D",LEFT(TRIM($I74),1)="E"))),IF(COUNTIF($M74:$AA74,"?*")&gt;0,", ","")&amp;"respuesta A-E","")</x:f>
      </x:c>
      <x:c r="AC74" t="str">
        <x:f>IF(AND(OR($A74="Selección de la mejor respuesta",$A74="Subítem de caso o problema"),COUNTIF($D74:$H74,"?*")&lt;5),IF(COUNTIF($M74:$AB74,"?*")&gt;0,", ","")&amp;"incisos A-E","")</x:f>
      </x:c>
      <x:c r="AD74" t="str">
        <x:f>IF(AND(OR($A74="Selección de la mejor respuesta",$A74="Subítem de caso o problema"),TRIM($I74)&lt;&gt;"",NOT(OR(LEFT(TRIM($I74),1)="A",LEFT(TRIM($I74),1)="B",LEFT(TRIM($I74),1)="C",LEFT(TRIM($I74),1)="D",LEFT(TRIM($I74),1)="E"))),IF(COUNTIF($M74:$AC74,"?*")&gt;0,", ","")&amp;"respuesta A-E","")</x:f>
      </x:c>
      <x:c r="AE74" t="str">
        <x:f>IF(AND(OR($A74="Ítems agrupados por caso clínico o problema",$A74="Opción de Emparejamiento Ampliado"),COUNTIF($D74:$H74,"?*")&gt;0),IF(COUNTIF($M74:$AD74,"?*")&gt;0,", ","")&amp;"sin incisos","")</x:f>
      </x:c>
      <x:c r="AF74" t="str">
        <x:f>IF(AND($A74="Emparejamiento Ampliado",COUNTIF($D74:$H74,"?*")&lt;2),IF(COUNTIF($M74:$AE74,"?*")&gt;0,", ","")&amp;"minimo 2 claves","")</x:f>
      </x:c>
      <x:c r="AG74" t="str">
        <x:f>IF(AND($A74="Opción de Emparejamiento Ampliado",NOT(OR(LEFT(TRIM($I74),1)="A",LEFT(TRIM($I74),1)="B",LEFT(TRIM($I74),1)="C",LEFT(TRIM($I74),1)="D",LEFT(TRIM($I74),1)="E"))),IF(COUNTIF($M74:$AF74,"?*")&gt;0,", ","")&amp;"respuesta A-E","")</x:f>
      </x:c>
      <x:c r="AK74" s="29" t="str"/>
    </x:row>
    <x:row r="75" ht="24" customHeight="1">
      <x:c r="A75" s="11" t="s">
        <x:v>2</x:v>
      </x:c>
      <x:c r="B75" s="11" t="s">
        <x:v>2</x:v>
      </x:c>
      <x:c r="C75" s="12" t="str">
        <x:f>IF($A75="Emparejamiento Ampliado",VALIDACIONES!$I$1,IF($A75="Respuesta A/B/Ambas/Ninguna","I. "&amp;CHAR(10)&amp;"II. ",""))</x:f>
      </x:c>
      <x:c r="D75" s="11" t="str">
        <x:f>IF($A75="Verdadero o Falso Simple","Verdadero",IF($A75="Respuesta A/B/Ambas/Ninguna","A. Si la primera es verdadera",""))</x:f>
      </x:c>
      <x:c r="E75" s="11" t="str">
        <x:f>IF($A75="Verdadero o Falso Simple","Falso",IF($A75="Respuesta A/B/Ambas/Ninguna","B. Si la segunda es verdadera",""))</x:f>
      </x:c>
      <x:c r="F75" s="11" t="str">
        <x:f>IF($A75="Respuesta A/B/Ambas/Ninguna","C. Si ambas son verdaderas","")</x:f>
      </x:c>
      <x:c r="G75" s="11" t="str">
        <x:f>IF($A75="Respuesta A/B/Ambas/Ninguna","D. Si ninguna es verdadera","")</x:f>
      </x:c>
      <x:c r="H75" s="11" t="s">
        <x:v>2</x:v>
      </x:c>
      <x:c r="I75" s="11" t="str">
        <x:f>IF($A75="Verdadero o Falso Simple","A","")</x:f>
      </x:c>
      <x:c r="J75" s="11" t="s">
        <x:v>2</x:v>
      </x:c>
      <x:c r="K75" s="11" t="s">
        <x:v>4</x:v>
      </x:c>
      <x:c r="L75" s="13" t="str">
        <x:f>IF(TRIM($A75)="","",IF(COUNTIF($M75:$AG75,"?*")=0,"OK","Falta revisar: "&amp;$M75&amp;$N75&amp;$O75&amp;$P75&amp;$Q75&amp;$R75&amp;$S75&amp;$T75&amp;$U75&amp;$V75&amp;$W75&amp;$X75&amp;$Y75&amp;$Z75&amp;$AA75&amp;$AB75&amp;$AC75&amp;$AD75&amp;$AE75&amp;$AF75&amp;$AG75))</x:f>
        <x:v>OK</x:v>
      </x:c>
      <x:c r="M75" t="str">
        <x:f>IF(TRIM($C75)="","enunciado","")</x:f>
        <x:v>enunciado</x:v>
      </x:c>
      <x:c r="N75" t="str">
        <x:f>IF(TRIM($K75)="",IF(COUNTIF($M75:$M75,"?*")&gt;0,", ","")&amp;"parcial","")</x:f>
      </x:c>
      <x:c r="O75" t="str">
        <x:f>IF(AND(TRIM($K75)&lt;&gt;"",TRIM($K75)&lt;&gt;"EF"),IF(COUNTIF($M75:$N75,"?*")&gt;0,", ","")&amp;"parcial distinto a EF","")</x:f>
      </x:c>
      <x:c r="P75" t="str">
        <x:f>IF(AND(OR($A75="Ítems agrupados por caso clínico o problema",$A75="Subítem de caso o problema",$A75="Emparejamiento Ampliado",$A75="Opción de Emparejamiento Ampliado"),TRIM($B75)=""),IF(COUNTIF($M75:$O75,"?*")&gt;0,", ","")&amp;"grupo","")</x:f>
      </x:c>
      <x:c r="Q75" t="str">
        <x:f>IF(AND(OR($A75="Verdadero o Falso Simple",$A75="Respuesta A/B/Ambas/Ninguna",$A75="Verdadero o Falso Complejas",$A75="Selección de la mejor respuesta",$A75="Subítem de caso o problema",$A75="Opción de Emparejamiento Ampliado"),TRIM($I75)=""),IF(COUNTIF($M75:$P75,"?*")&gt;0,", ","")&amp;"respuesta_correcta","")</x:f>
      </x:c>
      <x:c r="R75" t="str">
        <x:f>IF(AND(OR($A75="Verdadero o Falso Simple",$A75="Respuesta A/B/Ambas/Ninguna",$A75="Verdadero o Falso Complejas",$A75="Selección de la mejor respuesta",$A75="Subítem de caso o problema",$A75="Opción de Emparejamiento Ampliado"),TRIM($J75)=""),IF(COUNTIF($M75:$Q75,"?*")&gt;0,", ","")&amp;"dificultad","")</x:f>
      </x:c>
      <x:c r="S75" t="str">
        <x:f>IF(AND(OR($A75="Ítems agrupados por caso clínico o problema",$A75="Emparejamiento Ampliado"),TRIM($I75)&lt;&gt;""),IF(COUNTIF($M75:$R75,"?*")&gt;0,", ","")&amp;"respuesta debe ir vacia","")</x:f>
      </x:c>
      <x:c r="T75" t="str">
        <x:f>IF(AND(OR($A75="Ítems agrupados por caso clínico o problema",$A75="Emparejamiento Ampliado"),TRIM($J75)&lt;&gt;""),IF(COUNTIF($M75:$S75,"?*")&gt;0,", ","")&amp;"dificultad debe ir vacia","")</x:f>
      </x:c>
      <x:c r="U75" t="str">
        <x:f>IF(AND($A75="Verdadero o Falso Simple",OR(COUNTIF($D75:$E75,"?*")&lt;2,COUNTIF($F75:$H75,"?*")&gt;0)),IF(COUNTIF($M75:$T75,"?*")&gt;0,", ","")&amp;"incisos A-B","")</x:f>
      </x:c>
      <x:c r="V75" t="str">
        <x:f>IF(AND($A75="Verdadero o Falso Simple",TRIM($I75)&lt;&gt;"",NOT(OR(LEFT(TRIM($I75),1)="A",LEFT(TRIM($I75),1)="B"))),IF(COUNTIF($M75:$U75,"?*")&gt;0,", ","")&amp;"respuesta A-B","")</x:f>
      </x:c>
      <x:c r="W75" t="str">
        <x:f>IF(AND($A75="Respuesta A/B/Ambas/Ninguna",COUNTIF($D75:$G75,"?*")&lt;4),IF(COUNTIF($M75:$V75,"?*")&gt;0,", ","")&amp;"opciones A-D","")</x:f>
      </x:c>
      <x:c r="X75" t="str">
        <x:f>IF(AND($A75="Respuesta A/B/Ambas/Ninguna",COUNTIF($H75:$H75,"?*")&gt;0),IF(COUNTIF($M75:$W75,"?*")&gt;0,", ","")&amp;"opcion E deshabilitada","")</x:f>
      </x:c>
      <x:c r="Y75" t="str">
        <x:f>IF(AND($A75="Respuesta A/B/Ambas/Ninguna",TRIM($I75)&lt;&gt;"",NOT(OR(LEFT(TRIM($I75),1)="A",LEFT(TRIM($I75),1)="B",LEFT(TRIM($I75),1)="C",LEFT(TRIM($I75),1)="D"))),IF(COUNTIF($M75:$X75,"?*")&gt;0,", ","")&amp;"respuesta A-D","")</x:f>
      </x:c>
      <x:c r="Z75" t="str">
        <x:f>IF(AND($A75="Verdadero o Falso Complejas",OR(LEN(TRIM(SUBSTITUTE($D75,"1.","")))=0,LEN(TRIM(SUBSTITUTE($E75,"2.","")))=0,LEN(TRIM(SUBSTITUTE($F75,"3.","")))=0,LEN(TRIM(SUBSTITUTE($G75,"4.","")))=0)),IF(COUNTIF($M75:$Y75,"?*")&gt;0,", ","")&amp;"incisos 1-4","")</x:f>
      </x:c>
      <x:c r="AA75" t="str">
        <x:f>IF(AND($A75="Verdadero o Falso Complejas",COUNTIF($H75:$H75,"?*")&gt;0),IF(COUNTIF($M75:$Z75,"?*")&gt;0,", ","")&amp;"opcion E deshabilitada","")</x:f>
      </x:c>
      <x:c r="AB75" t="str">
        <x:f>IF(AND($A75="Verdadero o Falso Complejas",TRIM($I75)&lt;&gt;"",NOT(OR(LEFT(TRIM($I75),1)="A",LEFT(TRIM($I75),1)="B",LEFT(TRIM($I75),1)="C",LEFT(TRIM($I75),1)="D",LEFT(TRIM($I75),1)="E"))),IF(COUNTIF($M75:$AA75,"?*")&gt;0,", ","")&amp;"respuesta A-E","")</x:f>
      </x:c>
      <x:c r="AC75" t="str">
        <x:f>IF(AND(OR($A75="Selección de la mejor respuesta",$A75="Subítem de caso o problema"),COUNTIF($D75:$H75,"?*")&lt;5),IF(COUNTIF($M75:$AB75,"?*")&gt;0,", ","")&amp;"incisos A-E","")</x:f>
      </x:c>
      <x:c r="AD75" t="str">
        <x:f>IF(AND(OR($A75="Selección de la mejor respuesta",$A75="Subítem de caso o problema"),TRIM($I75)&lt;&gt;"",NOT(OR(LEFT(TRIM($I75),1)="A",LEFT(TRIM($I75),1)="B",LEFT(TRIM($I75),1)="C",LEFT(TRIM($I75),1)="D",LEFT(TRIM($I75),1)="E"))),IF(COUNTIF($M75:$AC75,"?*")&gt;0,", ","")&amp;"respuesta A-E","")</x:f>
      </x:c>
      <x:c r="AE75" t="str">
        <x:f>IF(AND(OR($A75="Ítems agrupados por caso clínico o problema",$A75="Opción de Emparejamiento Ampliado"),COUNTIF($D75:$H75,"?*")&gt;0),IF(COUNTIF($M75:$AD75,"?*")&gt;0,", ","")&amp;"sin incisos","")</x:f>
      </x:c>
      <x:c r="AF75" t="str">
        <x:f>IF(AND($A75="Emparejamiento Ampliado",COUNTIF($D75:$H75,"?*")&lt;2),IF(COUNTIF($M75:$AE75,"?*")&gt;0,", ","")&amp;"minimo 2 claves","")</x:f>
      </x:c>
      <x:c r="AG75" t="str">
        <x:f>IF(AND($A75="Opción de Emparejamiento Ampliado",NOT(OR(LEFT(TRIM($I75),1)="A",LEFT(TRIM($I75),1)="B",LEFT(TRIM($I75),1)="C",LEFT(TRIM($I75),1)="D",LEFT(TRIM($I75),1)="E"))),IF(COUNTIF($M75:$AF75,"?*")&gt;0,", ","")&amp;"respuesta A-E","")</x:f>
      </x:c>
      <x:c r="AK75" s="29" t="str"/>
    </x:row>
    <x:row r="76" ht="24" customHeight="1">
      <x:c r="A76" s="11" t="s">
        <x:v>2</x:v>
      </x:c>
      <x:c r="B76" s="11" t="s">
        <x:v>2</x:v>
      </x:c>
      <x:c r="C76" s="12" t="str">
        <x:f>IF($A76="Emparejamiento Ampliado",VALIDACIONES!$I$1,IF($A76="Respuesta A/B/Ambas/Ninguna","I. "&amp;CHAR(10)&amp;"II. ",""))</x:f>
      </x:c>
      <x:c r="D76" s="11" t="str">
        <x:f>IF($A76="Verdadero o Falso Simple","Verdadero",IF($A76="Respuesta A/B/Ambas/Ninguna","A. Si la primera es verdadera",""))</x:f>
      </x:c>
      <x:c r="E76" s="11" t="str">
        <x:f>IF($A76="Verdadero o Falso Simple","Falso",IF($A76="Respuesta A/B/Ambas/Ninguna","B. Si la segunda es verdadera",""))</x:f>
      </x:c>
      <x:c r="F76" s="11" t="str">
        <x:f>IF($A76="Respuesta A/B/Ambas/Ninguna","C. Si ambas son verdaderas","")</x:f>
      </x:c>
      <x:c r="G76" s="11" t="str">
        <x:f>IF($A76="Respuesta A/B/Ambas/Ninguna","D. Si ninguna es verdadera","")</x:f>
      </x:c>
      <x:c r="H76" s="11" t="s">
        <x:v>2</x:v>
      </x:c>
      <x:c r="I76" s="11" t="str">
        <x:f>IF($A76="Verdadero o Falso Simple","A","")</x:f>
      </x:c>
      <x:c r="J76" s="11" t="s">
        <x:v>2</x:v>
      </x:c>
      <x:c r="K76" s="11" t="s">
        <x:v>4</x:v>
      </x:c>
      <x:c r="L76" s="13" t="str">
        <x:f>IF(TRIM($A76)="","",IF(COUNTIF($M76:$AG76,"?*")=0,"OK","Falta revisar: "&amp;$M76&amp;$N76&amp;$O76&amp;$P76&amp;$Q76&amp;$R76&amp;$S76&amp;$T76&amp;$U76&amp;$V76&amp;$W76&amp;$X76&amp;$Y76&amp;$Z76&amp;$AA76&amp;$AB76&amp;$AC76&amp;$AD76&amp;$AE76&amp;$AF76&amp;$AG76))</x:f>
        <x:v>OK</x:v>
      </x:c>
      <x:c r="M76" t="str">
        <x:f>IF(TRIM($C76)="","enunciado","")</x:f>
        <x:v>enunciado</x:v>
      </x:c>
      <x:c r="N76" t="str">
        <x:f>IF(TRIM($K76)="",IF(COUNTIF($M76:$M76,"?*")&gt;0,", ","")&amp;"parcial","")</x:f>
      </x:c>
      <x:c r="O76" t="str">
        <x:f>IF(AND(TRIM($K76)&lt;&gt;"",TRIM($K76)&lt;&gt;"EF"),IF(COUNTIF($M76:$N76,"?*")&gt;0,", ","")&amp;"parcial distinto a EF","")</x:f>
      </x:c>
      <x:c r="P76" t="str">
        <x:f>IF(AND(OR($A76="Ítems agrupados por caso clínico o problema",$A76="Subítem de caso o problema",$A76="Emparejamiento Ampliado",$A76="Opción de Emparejamiento Ampliado"),TRIM($B76)=""),IF(COUNTIF($M76:$O76,"?*")&gt;0,", ","")&amp;"grupo","")</x:f>
      </x:c>
      <x:c r="Q76" t="str">
        <x:f>IF(AND(OR($A76="Verdadero o Falso Simple",$A76="Respuesta A/B/Ambas/Ninguna",$A76="Verdadero o Falso Complejas",$A76="Selección de la mejor respuesta",$A76="Subítem de caso o problema",$A76="Opción de Emparejamiento Ampliado"),TRIM($I76)=""),IF(COUNTIF($M76:$P76,"?*")&gt;0,", ","")&amp;"respuesta_correcta","")</x:f>
      </x:c>
      <x:c r="R76" t="str">
        <x:f>IF(AND(OR($A76="Verdadero o Falso Simple",$A76="Respuesta A/B/Ambas/Ninguna",$A76="Verdadero o Falso Complejas",$A76="Selección de la mejor respuesta",$A76="Subítem de caso o problema",$A76="Opción de Emparejamiento Ampliado"),TRIM($J76)=""),IF(COUNTIF($M76:$Q76,"?*")&gt;0,", ","")&amp;"dificultad","")</x:f>
      </x:c>
      <x:c r="S76" t="str">
        <x:f>IF(AND(OR($A76="Ítems agrupados por caso clínico o problema",$A76="Emparejamiento Ampliado"),TRIM($I76)&lt;&gt;""),IF(COUNTIF($M76:$R76,"?*")&gt;0,", ","")&amp;"respuesta debe ir vacia","")</x:f>
      </x:c>
      <x:c r="T76" t="str">
        <x:f>IF(AND(OR($A76="Ítems agrupados por caso clínico o problema",$A76="Emparejamiento Ampliado"),TRIM($J76)&lt;&gt;""),IF(COUNTIF($M76:$S76,"?*")&gt;0,", ","")&amp;"dificultad debe ir vacia","")</x:f>
      </x:c>
      <x:c r="U76" t="str">
        <x:f>IF(AND($A76="Verdadero o Falso Simple",OR(COUNTIF($D76:$E76,"?*")&lt;2,COUNTIF($F76:$H76,"?*")&gt;0)),IF(COUNTIF($M76:$T76,"?*")&gt;0,", ","")&amp;"incisos A-B","")</x:f>
      </x:c>
      <x:c r="V76" t="str">
        <x:f>IF(AND($A76="Verdadero o Falso Simple",TRIM($I76)&lt;&gt;"",NOT(OR(LEFT(TRIM($I76),1)="A",LEFT(TRIM($I76),1)="B"))),IF(COUNTIF($M76:$U76,"?*")&gt;0,", ","")&amp;"respuesta A-B","")</x:f>
      </x:c>
      <x:c r="W76" t="str">
        <x:f>IF(AND($A76="Respuesta A/B/Ambas/Ninguna",COUNTIF($D76:$G76,"?*")&lt;4),IF(COUNTIF($M76:$V76,"?*")&gt;0,", ","")&amp;"opciones A-D","")</x:f>
      </x:c>
      <x:c r="X76" t="str">
        <x:f>IF(AND($A76="Respuesta A/B/Ambas/Ninguna",COUNTIF($H76:$H76,"?*")&gt;0),IF(COUNTIF($M76:$W76,"?*")&gt;0,", ","")&amp;"opcion E deshabilitada","")</x:f>
      </x:c>
      <x:c r="Y76" t="str">
        <x:f>IF(AND($A76="Respuesta A/B/Ambas/Ninguna",TRIM($I76)&lt;&gt;"",NOT(OR(LEFT(TRIM($I76),1)="A",LEFT(TRIM($I76),1)="B",LEFT(TRIM($I76),1)="C",LEFT(TRIM($I76),1)="D"))),IF(COUNTIF($M76:$X76,"?*")&gt;0,", ","")&amp;"respuesta A-D","")</x:f>
      </x:c>
      <x:c r="Z76" t="str">
        <x:f>IF(AND($A76="Verdadero o Falso Complejas",OR(LEN(TRIM(SUBSTITUTE($D76,"1.","")))=0,LEN(TRIM(SUBSTITUTE($E76,"2.","")))=0,LEN(TRIM(SUBSTITUTE($F76,"3.","")))=0,LEN(TRIM(SUBSTITUTE($G76,"4.","")))=0)),IF(COUNTIF($M76:$Y76,"?*")&gt;0,", ","")&amp;"incisos 1-4","")</x:f>
      </x:c>
      <x:c r="AA76" t="str">
        <x:f>IF(AND($A76="Verdadero o Falso Complejas",COUNTIF($H76:$H76,"?*")&gt;0),IF(COUNTIF($M76:$Z76,"?*")&gt;0,", ","")&amp;"opcion E deshabilitada","")</x:f>
      </x:c>
      <x:c r="AB76" t="str">
        <x:f>IF(AND($A76="Verdadero o Falso Complejas",TRIM($I76)&lt;&gt;"",NOT(OR(LEFT(TRIM($I76),1)="A",LEFT(TRIM($I76),1)="B",LEFT(TRIM($I76),1)="C",LEFT(TRIM($I76),1)="D",LEFT(TRIM($I76),1)="E"))),IF(COUNTIF($M76:$AA76,"?*")&gt;0,", ","")&amp;"respuesta A-E","")</x:f>
      </x:c>
      <x:c r="AC76" t="str">
        <x:f>IF(AND(OR($A76="Selección de la mejor respuesta",$A76="Subítem de caso o problema"),COUNTIF($D76:$H76,"?*")&lt;5),IF(COUNTIF($M76:$AB76,"?*")&gt;0,", ","")&amp;"incisos A-E","")</x:f>
      </x:c>
      <x:c r="AD76" t="str">
        <x:f>IF(AND(OR($A76="Selección de la mejor respuesta",$A76="Subítem de caso o problema"),TRIM($I76)&lt;&gt;"",NOT(OR(LEFT(TRIM($I76),1)="A",LEFT(TRIM($I76),1)="B",LEFT(TRIM($I76),1)="C",LEFT(TRIM($I76),1)="D",LEFT(TRIM($I76),1)="E"))),IF(COUNTIF($M76:$AC76,"?*")&gt;0,", ","")&amp;"respuesta A-E","")</x:f>
      </x:c>
      <x:c r="AE76" t="str">
        <x:f>IF(AND(OR($A76="Ítems agrupados por caso clínico o problema",$A76="Opción de Emparejamiento Ampliado"),COUNTIF($D76:$H76,"?*")&gt;0),IF(COUNTIF($M76:$AD76,"?*")&gt;0,", ","")&amp;"sin incisos","")</x:f>
      </x:c>
      <x:c r="AF76" t="str">
        <x:f>IF(AND($A76="Emparejamiento Ampliado",COUNTIF($D76:$H76,"?*")&lt;2),IF(COUNTIF($M76:$AE76,"?*")&gt;0,", ","")&amp;"minimo 2 claves","")</x:f>
      </x:c>
      <x:c r="AG76" t="str">
        <x:f>IF(AND($A76="Opción de Emparejamiento Ampliado",NOT(OR(LEFT(TRIM($I76),1)="A",LEFT(TRIM($I76),1)="B",LEFT(TRIM($I76),1)="C",LEFT(TRIM($I76),1)="D",LEFT(TRIM($I76),1)="E"))),IF(COUNTIF($M76:$AF76,"?*")&gt;0,", ","")&amp;"respuesta A-E","")</x:f>
      </x:c>
      <x:c r="AK76" s="29" t="str"/>
    </x:row>
    <x:row r="77" ht="24" customHeight="1">
      <x:c r="A77" s="11" t="s">
        <x:v>2</x:v>
      </x:c>
      <x:c r="B77" s="11" t="s">
        <x:v>2</x:v>
      </x:c>
      <x:c r="C77" s="12" t="str">
        <x:f>IF($A77="Emparejamiento Ampliado",VALIDACIONES!$I$1,IF($A77="Respuesta A/B/Ambas/Ninguna","I. "&amp;CHAR(10)&amp;"II. ",""))</x:f>
      </x:c>
      <x:c r="D77" s="11" t="str">
        <x:f>IF($A77="Verdadero o Falso Simple","Verdadero",IF($A77="Respuesta A/B/Ambas/Ninguna","A. Si la primera es verdadera",""))</x:f>
      </x:c>
      <x:c r="E77" s="11" t="str">
        <x:f>IF($A77="Verdadero o Falso Simple","Falso",IF($A77="Respuesta A/B/Ambas/Ninguna","B. Si la segunda es verdadera",""))</x:f>
      </x:c>
      <x:c r="F77" s="11" t="str">
        <x:f>IF($A77="Respuesta A/B/Ambas/Ninguna","C. Si ambas son verdaderas","")</x:f>
      </x:c>
      <x:c r="G77" s="11" t="str">
        <x:f>IF($A77="Respuesta A/B/Ambas/Ninguna","D. Si ninguna es verdadera","")</x:f>
      </x:c>
      <x:c r="H77" s="11" t="s">
        <x:v>2</x:v>
      </x:c>
      <x:c r="I77" s="11" t="str">
        <x:f>IF($A77="Verdadero o Falso Simple","A","")</x:f>
      </x:c>
      <x:c r="J77" s="11" t="s">
        <x:v>2</x:v>
      </x:c>
      <x:c r="K77" s="11" t="s">
        <x:v>4</x:v>
      </x:c>
      <x:c r="L77" s="13" t="str">
        <x:f>IF(TRIM($A77)="","",IF(COUNTIF($M77:$AG77,"?*")=0,"OK","Falta revisar: "&amp;$M77&amp;$N77&amp;$O77&amp;$P77&amp;$Q77&amp;$R77&amp;$S77&amp;$T77&amp;$U77&amp;$V77&amp;$W77&amp;$X77&amp;$Y77&amp;$Z77&amp;$AA77&amp;$AB77&amp;$AC77&amp;$AD77&amp;$AE77&amp;$AF77&amp;$AG77))</x:f>
        <x:v>OK</x:v>
      </x:c>
      <x:c r="M77" t="str">
        <x:f>IF(TRIM($C77)="","enunciado","")</x:f>
        <x:v>enunciado</x:v>
      </x:c>
      <x:c r="N77" t="str">
        <x:f>IF(TRIM($K77)="",IF(COUNTIF($M77:$M77,"?*")&gt;0,", ","")&amp;"parcial","")</x:f>
      </x:c>
      <x:c r="O77" t="str">
        <x:f>IF(AND(TRIM($K77)&lt;&gt;"",TRIM($K77)&lt;&gt;"EF"),IF(COUNTIF($M77:$N77,"?*")&gt;0,", ","")&amp;"parcial distinto a EF","")</x:f>
      </x:c>
      <x:c r="P77" t="str">
        <x:f>IF(AND(OR($A77="Ítems agrupados por caso clínico o problema",$A77="Subítem de caso o problema",$A77="Emparejamiento Ampliado",$A77="Opción de Emparejamiento Ampliado"),TRIM($B77)=""),IF(COUNTIF($M77:$O77,"?*")&gt;0,", ","")&amp;"grupo","")</x:f>
      </x:c>
      <x:c r="Q77" t="str">
        <x:f>IF(AND(OR($A77="Verdadero o Falso Simple",$A77="Respuesta A/B/Ambas/Ninguna",$A77="Verdadero o Falso Complejas",$A77="Selección de la mejor respuesta",$A77="Subítem de caso o problema",$A77="Opción de Emparejamiento Ampliado"),TRIM($I77)=""),IF(COUNTIF($M77:$P77,"?*")&gt;0,", ","")&amp;"respuesta_correcta","")</x:f>
      </x:c>
      <x:c r="R77" t="str">
        <x:f>IF(AND(OR($A77="Verdadero o Falso Simple",$A77="Respuesta A/B/Ambas/Ninguna",$A77="Verdadero o Falso Complejas",$A77="Selección de la mejor respuesta",$A77="Subítem de caso o problema",$A77="Opción de Emparejamiento Ampliado"),TRIM($J77)=""),IF(COUNTIF($M77:$Q77,"?*")&gt;0,", ","")&amp;"dificultad","")</x:f>
      </x:c>
      <x:c r="S77" t="str">
        <x:f>IF(AND(OR($A77="Ítems agrupados por caso clínico o problema",$A77="Emparejamiento Ampliado"),TRIM($I77)&lt;&gt;""),IF(COUNTIF($M77:$R77,"?*")&gt;0,", ","")&amp;"respuesta debe ir vacia","")</x:f>
      </x:c>
      <x:c r="T77" t="str">
        <x:f>IF(AND(OR($A77="Ítems agrupados por caso clínico o problema",$A77="Emparejamiento Ampliado"),TRIM($J77)&lt;&gt;""),IF(COUNTIF($M77:$S77,"?*")&gt;0,", ","")&amp;"dificultad debe ir vacia","")</x:f>
      </x:c>
      <x:c r="U77" t="str">
        <x:f>IF(AND($A77="Verdadero o Falso Simple",OR(COUNTIF($D77:$E77,"?*")&lt;2,COUNTIF($F77:$H77,"?*")&gt;0)),IF(COUNTIF($M77:$T77,"?*")&gt;0,", ","")&amp;"incisos A-B","")</x:f>
      </x:c>
      <x:c r="V77" t="str">
        <x:f>IF(AND($A77="Verdadero o Falso Simple",TRIM($I77)&lt;&gt;"",NOT(OR(LEFT(TRIM($I77),1)="A",LEFT(TRIM($I77),1)="B"))),IF(COUNTIF($M77:$U77,"?*")&gt;0,", ","")&amp;"respuesta A-B","")</x:f>
      </x:c>
      <x:c r="W77" t="str">
        <x:f>IF(AND($A77="Respuesta A/B/Ambas/Ninguna",COUNTIF($D77:$G77,"?*")&lt;4),IF(COUNTIF($M77:$V77,"?*")&gt;0,", ","")&amp;"opciones A-D","")</x:f>
      </x:c>
      <x:c r="X77" t="str">
        <x:f>IF(AND($A77="Respuesta A/B/Ambas/Ninguna",COUNTIF($H77:$H77,"?*")&gt;0),IF(COUNTIF($M77:$W77,"?*")&gt;0,", ","")&amp;"opcion E deshabilitada","")</x:f>
      </x:c>
      <x:c r="Y77" t="str">
        <x:f>IF(AND($A77="Respuesta A/B/Ambas/Ninguna",TRIM($I77)&lt;&gt;"",NOT(OR(LEFT(TRIM($I77),1)="A",LEFT(TRIM($I77),1)="B",LEFT(TRIM($I77),1)="C",LEFT(TRIM($I77),1)="D"))),IF(COUNTIF($M77:$X77,"?*")&gt;0,", ","")&amp;"respuesta A-D","")</x:f>
      </x:c>
      <x:c r="Z77" t="str">
        <x:f>IF(AND($A77="Verdadero o Falso Complejas",OR(LEN(TRIM(SUBSTITUTE($D77,"1.","")))=0,LEN(TRIM(SUBSTITUTE($E77,"2.","")))=0,LEN(TRIM(SUBSTITUTE($F77,"3.","")))=0,LEN(TRIM(SUBSTITUTE($G77,"4.","")))=0)),IF(COUNTIF($M77:$Y77,"?*")&gt;0,", ","")&amp;"incisos 1-4","")</x:f>
      </x:c>
      <x:c r="AA77" t="str">
        <x:f>IF(AND($A77="Verdadero o Falso Complejas",COUNTIF($H77:$H77,"?*")&gt;0),IF(COUNTIF($M77:$Z77,"?*")&gt;0,", ","")&amp;"opcion E deshabilitada","")</x:f>
      </x:c>
      <x:c r="AB77" t="str">
        <x:f>IF(AND($A77="Verdadero o Falso Complejas",TRIM($I77)&lt;&gt;"",NOT(OR(LEFT(TRIM($I77),1)="A",LEFT(TRIM($I77),1)="B",LEFT(TRIM($I77),1)="C",LEFT(TRIM($I77),1)="D",LEFT(TRIM($I77),1)="E"))),IF(COUNTIF($M77:$AA77,"?*")&gt;0,", ","")&amp;"respuesta A-E","")</x:f>
      </x:c>
      <x:c r="AC77" t="str">
        <x:f>IF(AND(OR($A77="Selección de la mejor respuesta",$A77="Subítem de caso o problema"),COUNTIF($D77:$H77,"?*")&lt;5),IF(COUNTIF($M77:$AB77,"?*")&gt;0,", ","")&amp;"incisos A-E","")</x:f>
      </x:c>
      <x:c r="AD77" t="str">
        <x:f>IF(AND(OR($A77="Selección de la mejor respuesta",$A77="Subítem de caso o problema"),TRIM($I77)&lt;&gt;"",NOT(OR(LEFT(TRIM($I77),1)="A",LEFT(TRIM($I77),1)="B",LEFT(TRIM($I77),1)="C",LEFT(TRIM($I77),1)="D",LEFT(TRIM($I77),1)="E"))),IF(COUNTIF($M77:$AC77,"?*")&gt;0,", ","")&amp;"respuesta A-E","")</x:f>
      </x:c>
      <x:c r="AE77" t="str">
        <x:f>IF(AND(OR($A77="Ítems agrupados por caso clínico o problema",$A77="Opción de Emparejamiento Ampliado"),COUNTIF($D77:$H77,"?*")&gt;0),IF(COUNTIF($M77:$AD77,"?*")&gt;0,", ","")&amp;"sin incisos","")</x:f>
      </x:c>
      <x:c r="AF77" t="str">
        <x:f>IF(AND($A77="Emparejamiento Ampliado",COUNTIF($D77:$H77,"?*")&lt;2),IF(COUNTIF($M77:$AE77,"?*")&gt;0,", ","")&amp;"minimo 2 claves","")</x:f>
      </x:c>
      <x:c r="AG77" t="str">
        <x:f>IF(AND($A77="Opción de Emparejamiento Ampliado",NOT(OR(LEFT(TRIM($I77),1)="A",LEFT(TRIM($I77),1)="B",LEFT(TRIM($I77),1)="C",LEFT(TRIM($I77),1)="D",LEFT(TRIM($I77),1)="E"))),IF(COUNTIF($M77:$AF77,"?*")&gt;0,", ","")&amp;"respuesta A-E","")</x:f>
      </x:c>
      <x:c r="AK77" s="29" t="str"/>
    </x:row>
    <x:row r="78" ht="24" customHeight="1">
      <x:c r="A78" s="11" t="s">
        <x:v>2</x:v>
      </x:c>
      <x:c r="B78" s="11" t="s">
        <x:v>2</x:v>
      </x:c>
      <x:c r="C78" s="12" t="str">
        <x:f>IF($A78="Emparejamiento Ampliado",VALIDACIONES!$I$1,IF($A78="Respuesta A/B/Ambas/Ninguna","I. "&amp;CHAR(10)&amp;"II. ",""))</x:f>
      </x:c>
      <x:c r="D78" s="11" t="str">
        <x:f>IF($A78="Verdadero o Falso Simple","Verdadero",IF($A78="Respuesta A/B/Ambas/Ninguna","A. Si la primera es verdadera",""))</x:f>
      </x:c>
      <x:c r="E78" s="11" t="str">
        <x:f>IF($A78="Verdadero o Falso Simple","Falso",IF($A78="Respuesta A/B/Ambas/Ninguna","B. Si la segunda es verdadera",""))</x:f>
      </x:c>
      <x:c r="F78" s="11" t="str">
        <x:f>IF($A78="Respuesta A/B/Ambas/Ninguna","C. Si ambas son verdaderas","")</x:f>
      </x:c>
      <x:c r="G78" s="11" t="str">
        <x:f>IF($A78="Respuesta A/B/Ambas/Ninguna","D. Si ninguna es verdadera","")</x:f>
      </x:c>
      <x:c r="H78" s="11" t="s">
        <x:v>2</x:v>
      </x:c>
      <x:c r="I78" s="11" t="str">
        <x:f>IF($A78="Verdadero o Falso Simple","A","")</x:f>
      </x:c>
      <x:c r="J78" s="11" t="s">
        <x:v>2</x:v>
      </x:c>
      <x:c r="K78" s="11" t="s">
        <x:v>4</x:v>
      </x:c>
      <x:c r="L78" s="13" t="str">
        <x:f>IF(TRIM($A78)="","",IF(COUNTIF($M78:$AG78,"?*")=0,"OK","Falta revisar: "&amp;$M78&amp;$N78&amp;$O78&amp;$P78&amp;$Q78&amp;$R78&amp;$S78&amp;$T78&amp;$U78&amp;$V78&amp;$W78&amp;$X78&amp;$Y78&amp;$Z78&amp;$AA78&amp;$AB78&amp;$AC78&amp;$AD78&amp;$AE78&amp;$AF78&amp;$AG78))</x:f>
        <x:v>OK</x:v>
      </x:c>
      <x:c r="M78" t="str">
        <x:f>IF(TRIM($C78)="","enunciado","")</x:f>
        <x:v>enunciado</x:v>
      </x:c>
      <x:c r="N78" t="str">
        <x:f>IF(TRIM($K78)="",IF(COUNTIF($M78:$M78,"?*")&gt;0,", ","")&amp;"parcial","")</x:f>
      </x:c>
      <x:c r="O78" t="str">
        <x:f>IF(AND(TRIM($K78)&lt;&gt;"",TRIM($K78)&lt;&gt;"EF"),IF(COUNTIF($M78:$N78,"?*")&gt;0,", ","")&amp;"parcial distinto a EF","")</x:f>
      </x:c>
      <x:c r="P78" t="str">
        <x:f>IF(AND(OR($A78="Ítems agrupados por caso clínico o problema",$A78="Subítem de caso o problema",$A78="Emparejamiento Ampliado",$A78="Opción de Emparejamiento Ampliado"),TRIM($B78)=""),IF(COUNTIF($M78:$O78,"?*")&gt;0,", ","")&amp;"grupo","")</x:f>
      </x:c>
      <x:c r="Q78" t="str">
        <x:f>IF(AND(OR($A78="Verdadero o Falso Simple",$A78="Respuesta A/B/Ambas/Ninguna",$A78="Verdadero o Falso Complejas",$A78="Selección de la mejor respuesta",$A78="Subítem de caso o problema",$A78="Opción de Emparejamiento Ampliado"),TRIM($I78)=""),IF(COUNTIF($M78:$P78,"?*")&gt;0,", ","")&amp;"respuesta_correcta","")</x:f>
      </x:c>
      <x:c r="R78" t="str">
        <x:f>IF(AND(OR($A78="Verdadero o Falso Simple",$A78="Respuesta A/B/Ambas/Ninguna",$A78="Verdadero o Falso Complejas",$A78="Selección de la mejor respuesta",$A78="Subítem de caso o problema",$A78="Opción de Emparejamiento Ampliado"),TRIM($J78)=""),IF(COUNTIF($M78:$Q78,"?*")&gt;0,", ","")&amp;"dificultad","")</x:f>
      </x:c>
      <x:c r="S78" t="str">
        <x:f>IF(AND(OR($A78="Ítems agrupados por caso clínico o problema",$A78="Emparejamiento Ampliado"),TRIM($I78)&lt;&gt;""),IF(COUNTIF($M78:$R78,"?*")&gt;0,", ","")&amp;"respuesta debe ir vacia","")</x:f>
      </x:c>
      <x:c r="T78" t="str">
        <x:f>IF(AND(OR($A78="Ítems agrupados por caso clínico o problema",$A78="Emparejamiento Ampliado"),TRIM($J78)&lt;&gt;""),IF(COUNTIF($M78:$S78,"?*")&gt;0,", ","")&amp;"dificultad debe ir vacia","")</x:f>
      </x:c>
      <x:c r="U78" t="str">
        <x:f>IF(AND($A78="Verdadero o Falso Simple",OR(COUNTIF($D78:$E78,"?*")&lt;2,COUNTIF($F78:$H78,"?*")&gt;0)),IF(COUNTIF($M78:$T78,"?*")&gt;0,", ","")&amp;"incisos A-B","")</x:f>
      </x:c>
      <x:c r="V78" t="str">
        <x:f>IF(AND($A78="Verdadero o Falso Simple",TRIM($I78)&lt;&gt;"",NOT(OR(LEFT(TRIM($I78),1)="A",LEFT(TRIM($I78),1)="B"))),IF(COUNTIF($M78:$U78,"?*")&gt;0,", ","")&amp;"respuesta A-B","")</x:f>
      </x:c>
      <x:c r="W78" t="str">
        <x:f>IF(AND($A78="Respuesta A/B/Ambas/Ninguna",COUNTIF($D78:$G78,"?*")&lt;4),IF(COUNTIF($M78:$V78,"?*")&gt;0,", ","")&amp;"opciones A-D","")</x:f>
      </x:c>
      <x:c r="X78" t="str">
        <x:f>IF(AND($A78="Respuesta A/B/Ambas/Ninguna",COUNTIF($H78:$H78,"?*")&gt;0),IF(COUNTIF($M78:$W78,"?*")&gt;0,", ","")&amp;"opcion E deshabilitada","")</x:f>
      </x:c>
      <x:c r="Y78" t="str">
        <x:f>IF(AND($A78="Respuesta A/B/Ambas/Ninguna",TRIM($I78)&lt;&gt;"",NOT(OR(LEFT(TRIM($I78),1)="A",LEFT(TRIM($I78),1)="B",LEFT(TRIM($I78),1)="C",LEFT(TRIM($I78),1)="D"))),IF(COUNTIF($M78:$X78,"?*")&gt;0,", ","")&amp;"respuesta A-D","")</x:f>
      </x:c>
      <x:c r="Z78" t="str">
        <x:f>IF(AND($A78="Verdadero o Falso Complejas",OR(LEN(TRIM(SUBSTITUTE($D78,"1.","")))=0,LEN(TRIM(SUBSTITUTE($E78,"2.","")))=0,LEN(TRIM(SUBSTITUTE($F78,"3.","")))=0,LEN(TRIM(SUBSTITUTE($G78,"4.","")))=0)),IF(COUNTIF($M78:$Y78,"?*")&gt;0,", ","")&amp;"incisos 1-4","")</x:f>
      </x:c>
      <x:c r="AA78" t="str">
        <x:f>IF(AND($A78="Verdadero o Falso Complejas",COUNTIF($H78:$H78,"?*")&gt;0),IF(COUNTIF($M78:$Z78,"?*")&gt;0,", ","")&amp;"opcion E deshabilitada","")</x:f>
      </x:c>
      <x:c r="AB78" t="str">
        <x:f>IF(AND($A78="Verdadero o Falso Complejas",TRIM($I78)&lt;&gt;"",NOT(OR(LEFT(TRIM($I78),1)="A",LEFT(TRIM($I78),1)="B",LEFT(TRIM($I78),1)="C",LEFT(TRIM($I78),1)="D",LEFT(TRIM($I78),1)="E"))),IF(COUNTIF($M78:$AA78,"?*")&gt;0,", ","")&amp;"respuesta A-E","")</x:f>
      </x:c>
      <x:c r="AC78" t="str">
        <x:f>IF(AND(OR($A78="Selección de la mejor respuesta",$A78="Subítem de caso o problema"),COUNTIF($D78:$H78,"?*")&lt;5),IF(COUNTIF($M78:$AB78,"?*")&gt;0,", ","")&amp;"incisos A-E","")</x:f>
      </x:c>
      <x:c r="AD78" t="str">
        <x:f>IF(AND(OR($A78="Selección de la mejor respuesta",$A78="Subítem de caso o problema"),TRIM($I78)&lt;&gt;"",NOT(OR(LEFT(TRIM($I78),1)="A",LEFT(TRIM($I78),1)="B",LEFT(TRIM($I78),1)="C",LEFT(TRIM($I78),1)="D",LEFT(TRIM($I78),1)="E"))),IF(COUNTIF($M78:$AC78,"?*")&gt;0,", ","")&amp;"respuesta A-E","")</x:f>
      </x:c>
      <x:c r="AE78" t="str">
        <x:f>IF(AND(OR($A78="Ítems agrupados por caso clínico o problema",$A78="Opción de Emparejamiento Ampliado"),COUNTIF($D78:$H78,"?*")&gt;0),IF(COUNTIF($M78:$AD78,"?*")&gt;0,", ","")&amp;"sin incisos","")</x:f>
      </x:c>
      <x:c r="AF78" t="str">
        <x:f>IF(AND($A78="Emparejamiento Ampliado",COUNTIF($D78:$H78,"?*")&lt;2),IF(COUNTIF($M78:$AE78,"?*")&gt;0,", ","")&amp;"minimo 2 claves","")</x:f>
      </x:c>
      <x:c r="AG78" t="str">
        <x:f>IF(AND($A78="Opción de Emparejamiento Ampliado",NOT(OR(LEFT(TRIM($I78),1)="A",LEFT(TRIM($I78),1)="B",LEFT(TRIM($I78),1)="C",LEFT(TRIM($I78),1)="D",LEFT(TRIM($I78),1)="E"))),IF(COUNTIF($M78:$AF78,"?*")&gt;0,", ","")&amp;"respuesta A-E","")</x:f>
      </x:c>
      <x:c r="AK78" s="29" t="str"/>
    </x:row>
    <x:row r="79" ht="24" customHeight="1">
      <x:c r="A79" s="11" t="s">
        <x:v>2</x:v>
      </x:c>
      <x:c r="B79" s="11" t="s">
        <x:v>2</x:v>
      </x:c>
      <x:c r="C79" s="12" t="str">
        <x:f>IF($A79="Emparejamiento Ampliado",VALIDACIONES!$I$1,IF($A79="Respuesta A/B/Ambas/Ninguna","I. "&amp;CHAR(10)&amp;"II. ",""))</x:f>
      </x:c>
      <x:c r="D79" s="11" t="str">
        <x:f>IF($A79="Verdadero o Falso Simple","Verdadero",IF($A79="Respuesta A/B/Ambas/Ninguna","A. Si la primera es verdadera",""))</x:f>
      </x:c>
      <x:c r="E79" s="11" t="str">
        <x:f>IF($A79="Verdadero o Falso Simple","Falso",IF($A79="Respuesta A/B/Ambas/Ninguna","B. Si la segunda es verdadera",""))</x:f>
      </x:c>
      <x:c r="F79" s="11" t="str">
        <x:f>IF($A79="Respuesta A/B/Ambas/Ninguna","C. Si ambas son verdaderas","")</x:f>
      </x:c>
      <x:c r="G79" s="11" t="str">
        <x:f>IF($A79="Respuesta A/B/Ambas/Ninguna","D. Si ninguna es verdadera","")</x:f>
      </x:c>
      <x:c r="H79" s="11" t="s">
        <x:v>2</x:v>
      </x:c>
      <x:c r="I79" s="11" t="str">
        <x:f>IF($A79="Verdadero o Falso Simple","A","")</x:f>
      </x:c>
      <x:c r="J79" s="11" t="s">
        <x:v>2</x:v>
      </x:c>
      <x:c r="K79" s="11" t="s">
        <x:v>4</x:v>
      </x:c>
      <x:c r="L79" s="13" t="str">
        <x:f>IF(TRIM($A79)="","",IF(COUNTIF($M79:$AG79,"?*")=0,"OK","Falta revisar: "&amp;$M79&amp;$N79&amp;$O79&amp;$P79&amp;$Q79&amp;$R79&amp;$S79&amp;$T79&amp;$U79&amp;$V79&amp;$W79&amp;$X79&amp;$Y79&amp;$Z79&amp;$AA79&amp;$AB79&amp;$AC79&amp;$AD79&amp;$AE79&amp;$AF79&amp;$AG79))</x:f>
        <x:v>OK</x:v>
      </x:c>
      <x:c r="M79" t="str">
        <x:f>IF(TRIM($C79)="","enunciado","")</x:f>
        <x:v>enunciado</x:v>
      </x:c>
      <x:c r="N79" t="str">
        <x:f>IF(TRIM($K79)="",IF(COUNTIF($M79:$M79,"?*")&gt;0,", ","")&amp;"parcial","")</x:f>
      </x:c>
      <x:c r="O79" t="str">
        <x:f>IF(AND(TRIM($K79)&lt;&gt;"",TRIM($K79)&lt;&gt;"EF"),IF(COUNTIF($M79:$N79,"?*")&gt;0,", ","")&amp;"parcial distinto a EF","")</x:f>
      </x:c>
      <x:c r="P79" t="str">
        <x:f>IF(AND(OR($A79="Ítems agrupados por caso clínico o problema",$A79="Subítem de caso o problema",$A79="Emparejamiento Ampliado",$A79="Opción de Emparejamiento Ampliado"),TRIM($B79)=""),IF(COUNTIF($M79:$O79,"?*")&gt;0,", ","")&amp;"grupo","")</x:f>
      </x:c>
      <x:c r="Q79" t="str">
        <x:f>IF(AND(OR($A79="Verdadero o Falso Simple",$A79="Respuesta A/B/Ambas/Ninguna",$A79="Verdadero o Falso Complejas",$A79="Selección de la mejor respuesta",$A79="Subítem de caso o problema",$A79="Opción de Emparejamiento Ampliado"),TRIM($I79)=""),IF(COUNTIF($M79:$P79,"?*")&gt;0,", ","")&amp;"respuesta_correcta","")</x:f>
      </x:c>
      <x:c r="R79" t="str">
        <x:f>IF(AND(OR($A79="Verdadero o Falso Simple",$A79="Respuesta A/B/Ambas/Ninguna",$A79="Verdadero o Falso Complejas",$A79="Selección de la mejor respuesta",$A79="Subítem de caso o problema",$A79="Opción de Emparejamiento Ampliado"),TRIM($J79)=""),IF(COUNTIF($M79:$Q79,"?*")&gt;0,", ","")&amp;"dificultad","")</x:f>
      </x:c>
      <x:c r="S79" t="str">
        <x:f>IF(AND(OR($A79="Ítems agrupados por caso clínico o problema",$A79="Emparejamiento Ampliado"),TRIM($I79)&lt;&gt;""),IF(COUNTIF($M79:$R79,"?*")&gt;0,", ","")&amp;"respuesta debe ir vacia","")</x:f>
      </x:c>
      <x:c r="T79" t="str">
        <x:f>IF(AND(OR($A79="Ítems agrupados por caso clínico o problema",$A79="Emparejamiento Ampliado"),TRIM($J79)&lt;&gt;""),IF(COUNTIF($M79:$S79,"?*")&gt;0,", ","")&amp;"dificultad debe ir vacia","")</x:f>
      </x:c>
      <x:c r="U79" t="str">
        <x:f>IF(AND($A79="Verdadero o Falso Simple",OR(COUNTIF($D79:$E79,"?*")&lt;2,COUNTIF($F79:$H79,"?*")&gt;0)),IF(COUNTIF($M79:$T79,"?*")&gt;0,", ","")&amp;"incisos A-B","")</x:f>
      </x:c>
      <x:c r="V79" t="str">
        <x:f>IF(AND($A79="Verdadero o Falso Simple",TRIM($I79)&lt;&gt;"",NOT(OR(LEFT(TRIM($I79),1)="A",LEFT(TRIM($I79),1)="B"))),IF(COUNTIF($M79:$U79,"?*")&gt;0,", ","")&amp;"respuesta A-B","")</x:f>
      </x:c>
      <x:c r="W79" t="str">
        <x:f>IF(AND($A79="Respuesta A/B/Ambas/Ninguna",COUNTIF($D79:$G79,"?*")&lt;4),IF(COUNTIF($M79:$V79,"?*")&gt;0,", ","")&amp;"opciones A-D","")</x:f>
      </x:c>
      <x:c r="X79" t="str">
        <x:f>IF(AND($A79="Respuesta A/B/Ambas/Ninguna",COUNTIF($H79:$H79,"?*")&gt;0),IF(COUNTIF($M79:$W79,"?*")&gt;0,", ","")&amp;"opcion E deshabilitada","")</x:f>
      </x:c>
      <x:c r="Y79" t="str">
        <x:f>IF(AND($A79="Respuesta A/B/Ambas/Ninguna",TRIM($I79)&lt;&gt;"",NOT(OR(LEFT(TRIM($I79),1)="A",LEFT(TRIM($I79),1)="B",LEFT(TRIM($I79),1)="C",LEFT(TRIM($I79),1)="D"))),IF(COUNTIF($M79:$X79,"?*")&gt;0,", ","")&amp;"respuesta A-D","")</x:f>
      </x:c>
      <x:c r="Z79" t="str">
        <x:f>IF(AND($A79="Verdadero o Falso Complejas",OR(LEN(TRIM(SUBSTITUTE($D79,"1.","")))=0,LEN(TRIM(SUBSTITUTE($E79,"2.","")))=0,LEN(TRIM(SUBSTITUTE($F79,"3.","")))=0,LEN(TRIM(SUBSTITUTE($G79,"4.","")))=0)),IF(COUNTIF($M79:$Y79,"?*")&gt;0,", ","")&amp;"incisos 1-4","")</x:f>
      </x:c>
      <x:c r="AA79" t="str">
        <x:f>IF(AND($A79="Verdadero o Falso Complejas",COUNTIF($H79:$H79,"?*")&gt;0),IF(COUNTIF($M79:$Z79,"?*")&gt;0,", ","")&amp;"opcion E deshabilitada","")</x:f>
      </x:c>
      <x:c r="AB79" t="str">
        <x:f>IF(AND($A79="Verdadero o Falso Complejas",TRIM($I79)&lt;&gt;"",NOT(OR(LEFT(TRIM($I79),1)="A",LEFT(TRIM($I79),1)="B",LEFT(TRIM($I79),1)="C",LEFT(TRIM($I79),1)="D",LEFT(TRIM($I79),1)="E"))),IF(COUNTIF($M79:$AA79,"?*")&gt;0,", ","")&amp;"respuesta A-E","")</x:f>
      </x:c>
      <x:c r="AC79" t="str">
        <x:f>IF(AND(OR($A79="Selección de la mejor respuesta",$A79="Subítem de caso o problema"),COUNTIF($D79:$H79,"?*")&lt;5),IF(COUNTIF($M79:$AB79,"?*")&gt;0,", ","")&amp;"incisos A-E","")</x:f>
      </x:c>
      <x:c r="AD79" t="str">
        <x:f>IF(AND(OR($A79="Selección de la mejor respuesta",$A79="Subítem de caso o problema"),TRIM($I79)&lt;&gt;"",NOT(OR(LEFT(TRIM($I79),1)="A",LEFT(TRIM($I79),1)="B",LEFT(TRIM($I79),1)="C",LEFT(TRIM($I79),1)="D",LEFT(TRIM($I79),1)="E"))),IF(COUNTIF($M79:$AC79,"?*")&gt;0,", ","")&amp;"respuesta A-E","")</x:f>
      </x:c>
      <x:c r="AE79" t="str">
        <x:f>IF(AND(OR($A79="Ítems agrupados por caso clínico o problema",$A79="Opción de Emparejamiento Ampliado"),COUNTIF($D79:$H79,"?*")&gt;0),IF(COUNTIF($M79:$AD79,"?*")&gt;0,", ","")&amp;"sin incisos","")</x:f>
      </x:c>
      <x:c r="AF79" t="str">
        <x:f>IF(AND($A79="Emparejamiento Ampliado",COUNTIF($D79:$H79,"?*")&lt;2),IF(COUNTIF($M79:$AE79,"?*")&gt;0,", ","")&amp;"minimo 2 claves","")</x:f>
      </x:c>
      <x:c r="AG79" t="str">
        <x:f>IF(AND($A79="Opción de Emparejamiento Ampliado",NOT(OR(LEFT(TRIM($I79),1)="A",LEFT(TRIM($I79),1)="B",LEFT(TRIM($I79),1)="C",LEFT(TRIM($I79),1)="D",LEFT(TRIM($I79),1)="E"))),IF(COUNTIF($M79:$AF79,"?*")&gt;0,", ","")&amp;"respuesta A-E","")</x:f>
      </x:c>
      <x:c r="AK79" s="29" t="str"/>
    </x:row>
    <x:row r="80" ht="24" customHeight="1">
      <x:c r="A80" s="11" t="s">
        <x:v>2</x:v>
      </x:c>
      <x:c r="B80" s="11" t="s">
        <x:v>2</x:v>
      </x:c>
      <x:c r="C80" s="12" t="str">
        <x:f>IF($A80="Emparejamiento Ampliado",VALIDACIONES!$I$1,IF($A80="Respuesta A/B/Ambas/Ninguna","I. "&amp;CHAR(10)&amp;"II. ",""))</x:f>
      </x:c>
      <x:c r="D80" s="11" t="str">
        <x:f>IF($A80="Verdadero o Falso Simple","Verdadero",IF($A80="Respuesta A/B/Ambas/Ninguna","A. Si la primera es verdadera",""))</x:f>
      </x:c>
      <x:c r="E80" s="11" t="str">
        <x:f>IF($A80="Verdadero o Falso Simple","Falso",IF($A80="Respuesta A/B/Ambas/Ninguna","B. Si la segunda es verdadera",""))</x:f>
      </x:c>
      <x:c r="F80" s="11" t="str">
        <x:f>IF($A80="Respuesta A/B/Ambas/Ninguna","C. Si ambas son verdaderas","")</x:f>
      </x:c>
      <x:c r="G80" s="11" t="str">
        <x:f>IF($A80="Respuesta A/B/Ambas/Ninguna","D. Si ninguna es verdadera","")</x:f>
      </x:c>
      <x:c r="H80" s="11" t="s">
        <x:v>2</x:v>
      </x:c>
      <x:c r="I80" s="11" t="str">
        <x:f>IF($A80="Verdadero o Falso Simple","A","")</x:f>
      </x:c>
      <x:c r="J80" s="11" t="s">
        <x:v>2</x:v>
      </x:c>
      <x:c r="K80" s="11" t="s">
        <x:v>4</x:v>
      </x:c>
      <x:c r="L80" s="13" t="str">
        <x:f>IF(TRIM($A80)="","",IF(COUNTIF($M80:$AG80,"?*")=0,"OK","Falta revisar: "&amp;$M80&amp;$N80&amp;$O80&amp;$P80&amp;$Q80&amp;$R80&amp;$S80&amp;$T80&amp;$U80&amp;$V80&amp;$W80&amp;$X80&amp;$Y80&amp;$Z80&amp;$AA80&amp;$AB80&amp;$AC80&amp;$AD80&amp;$AE80&amp;$AF80&amp;$AG80))</x:f>
        <x:v>OK</x:v>
      </x:c>
      <x:c r="M80" t="str">
        <x:f>IF(TRIM($C80)="","enunciado","")</x:f>
        <x:v>enunciado</x:v>
      </x:c>
      <x:c r="N80" t="str">
        <x:f>IF(TRIM($K80)="",IF(COUNTIF($M80:$M80,"?*")&gt;0,", ","")&amp;"parcial","")</x:f>
      </x:c>
      <x:c r="O80" t="str">
        <x:f>IF(AND(TRIM($K80)&lt;&gt;"",TRIM($K80)&lt;&gt;"EF"),IF(COUNTIF($M80:$N80,"?*")&gt;0,", ","")&amp;"parcial distinto a EF","")</x:f>
      </x:c>
      <x:c r="P80" t="str">
        <x:f>IF(AND(OR($A80="Ítems agrupados por caso clínico o problema",$A80="Subítem de caso o problema",$A80="Emparejamiento Ampliado",$A80="Opción de Emparejamiento Ampliado"),TRIM($B80)=""),IF(COUNTIF($M80:$O80,"?*")&gt;0,", ","")&amp;"grupo","")</x:f>
      </x:c>
      <x:c r="Q80" t="str">
        <x:f>IF(AND(OR($A80="Verdadero o Falso Simple",$A80="Respuesta A/B/Ambas/Ninguna",$A80="Verdadero o Falso Complejas",$A80="Selección de la mejor respuesta",$A80="Subítem de caso o problema",$A80="Opción de Emparejamiento Ampliado"),TRIM($I80)=""),IF(COUNTIF($M80:$P80,"?*")&gt;0,", ","")&amp;"respuesta_correcta","")</x:f>
      </x:c>
      <x:c r="R80" t="str">
        <x:f>IF(AND(OR($A80="Verdadero o Falso Simple",$A80="Respuesta A/B/Ambas/Ninguna",$A80="Verdadero o Falso Complejas",$A80="Selección de la mejor respuesta",$A80="Subítem de caso o problema",$A80="Opción de Emparejamiento Ampliado"),TRIM($J80)=""),IF(COUNTIF($M80:$Q80,"?*")&gt;0,", ","")&amp;"dificultad","")</x:f>
      </x:c>
      <x:c r="S80" t="str">
        <x:f>IF(AND(OR($A80="Ítems agrupados por caso clínico o problema",$A80="Emparejamiento Ampliado"),TRIM($I80)&lt;&gt;""),IF(COUNTIF($M80:$R80,"?*")&gt;0,", ","")&amp;"respuesta debe ir vacia","")</x:f>
      </x:c>
      <x:c r="T80" t="str">
        <x:f>IF(AND(OR($A80="Ítems agrupados por caso clínico o problema",$A80="Emparejamiento Ampliado"),TRIM($J80)&lt;&gt;""),IF(COUNTIF($M80:$S80,"?*")&gt;0,", ","")&amp;"dificultad debe ir vacia","")</x:f>
      </x:c>
      <x:c r="U80" t="str">
        <x:f>IF(AND($A80="Verdadero o Falso Simple",OR(COUNTIF($D80:$E80,"?*")&lt;2,COUNTIF($F80:$H80,"?*")&gt;0)),IF(COUNTIF($M80:$T80,"?*")&gt;0,", ","")&amp;"incisos A-B","")</x:f>
      </x:c>
      <x:c r="V80" t="str">
        <x:f>IF(AND($A80="Verdadero o Falso Simple",TRIM($I80)&lt;&gt;"",NOT(OR(LEFT(TRIM($I80),1)="A",LEFT(TRIM($I80),1)="B"))),IF(COUNTIF($M80:$U80,"?*")&gt;0,", ","")&amp;"respuesta A-B","")</x:f>
      </x:c>
      <x:c r="W80" t="str">
        <x:f>IF(AND($A80="Respuesta A/B/Ambas/Ninguna",COUNTIF($D80:$G80,"?*")&lt;4),IF(COUNTIF($M80:$V80,"?*")&gt;0,", ","")&amp;"opciones A-D","")</x:f>
      </x:c>
      <x:c r="X80" t="str">
        <x:f>IF(AND($A80="Respuesta A/B/Ambas/Ninguna",COUNTIF($H80:$H80,"?*")&gt;0),IF(COUNTIF($M80:$W80,"?*")&gt;0,", ","")&amp;"opcion E deshabilitada","")</x:f>
      </x:c>
      <x:c r="Y80" t="str">
        <x:f>IF(AND($A80="Respuesta A/B/Ambas/Ninguna",TRIM($I80)&lt;&gt;"",NOT(OR(LEFT(TRIM($I80),1)="A",LEFT(TRIM($I80),1)="B",LEFT(TRIM($I80),1)="C",LEFT(TRIM($I80),1)="D"))),IF(COUNTIF($M80:$X80,"?*")&gt;0,", ","")&amp;"respuesta A-D","")</x:f>
      </x:c>
      <x:c r="Z80" t="str">
        <x:f>IF(AND($A80="Verdadero o Falso Complejas",OR(LEN(TRIM(SUBSTITUTE($D80,"1.","")))=0,LEN(TRIM(SUBSTITUTE($E80,"2.","")))=0,LEN(TRIM(SUBSTITUTE($F80,"3.","")))=0,LEN(TRIM(SUBSTITUTE($G80,"4.","")))=0)),IF(COUNTIF($M80:$Y80,"?*")&gt;0,", ","")&amp;"incisos 1-4","")</x:f>
      </x:c>
      <x:c r="AA80" t="str">
        <x:f>IF(AND($A80="Verdadero o Falso Complejas",COUNTIF($H80:$H80,"?*")&gt;0),IF(COUNTIF($M80:$Z80,"?*")&gt;0,", ","")&amp;"opcion E deshabilitada","")</x:f>
      </x:c>
      <x:c r="AB80" t="str">
        <x:f>IF(AND($A80="Verdadero o Falso Complejas",TRIM($I80)&lt;&gt;"",NOT(OR(LEFT(TRIM($I80),1)="A",LEFT(TRIM($I80),1)="B",LEFT(TRIM($I80),1)="C",LEFT(TRIM($I80),1)="D",LEFT(TRIM($I80),1)="E"))),IF(COUNTIF($M80:$AA80,"?*")&gt;0,", ","")&amp;"respuesta A-E","")</x:f>
      </x:c>
      <x:c r="AC80" t="str">
        <x:f>IF(AND(OR($A80="Selección de la mejor respuesta",$A80="Subítem de caso o problema"),COUNTIF($D80:$H80,"?*")&lt;5),IF(COUNTIF($M80:$AB80,"?*")&gt;0,", ","")&amp;"incisos A-E","")</x:f>
      </x:c>
      <x:c r="AD80" t="str">
        <x:f>IF(AND(OR($A80="Selección de la mejor respuesta",$A80="Subítem de caso o problema"),TRIM($I80)&lt;&gt;"",NOT(OR(LEFT(TRIM($I80),1)="A",LEFT(TRIM($I80),1)="B",LEFT(TRIM($I80),1)="C",LEFT(TRIM($I80),1)="D",LEFT(TRIM($I80),1)="E"))),IF(COUNTIF($M80:$AC80,"?*")&gt;0,", ","")&amp;"respuesta A-E","")</x:f>
      </x:c>
      <x:c r="AE80" t="str">
        <x:f>IF(AND(OR($A80="Ítems agrupados por caso clínico o problema",$A80="Opción de Emparejamiento Ampliado"),COUNTIF($D80:$H80,"?*")&gt;0),IF(COUNTIF($M80:$AD80,"?*")&gt;0,", ","")&amp;"sin incisos","")</x:f>
      </x:c>
      <x:c r="AF80" t="str">
        <x:f>IF(AND($A80="Emparejamiento Ampliado",COUNTIF($D80:$H80,"?*")&lt;2),IF(COUNTIF($M80:$AE80,"?*")&gt;0,", ","")&amp;"minimo 2 claves","")</x:f>
      </x:c>
      <x:c r="AG80" t="str">
        <x:f>IF(AND($A80="Opción de Emparejamiento Ampliado",NOT(OR(LEFT(TRIM($I80),1)="A",LEFT(TRIM($I80),1)="B",LEFT(TRIM($I80),1)="C",LEFT(TRIM($I80),1)="D",LEFT(TRIM($I80),1)="E"))),IF(COUNTIF($M80:$AF80,"?*")&gt;0,", ","")&amp;"respuesta A-E","")</x:f>
      </x:c>
      <x:c r="AK80" s="29" t="str"/>
    </x:row>
    <x:row r="81" ht="24" customHeight="1">
      <x:c r="A81" s="11" t="s">
        <x:v>2</x:v>
      </x:c>
      <x:c r="B81" s="11" t="s">
        <x:v>2</x:v>
      </x:c>
      <x:c r="C81" s="12" t="str">
        <x:f>IF($A81="Emparejamiento Ampliado",VALIDACIONES!$I$1,IF($A81="Respuesta A/B/Ambas/Ninguna","I. "&amp;CHAR(10)&amp;"II. ",""))</x:f>
      </x:c>
      <x:c r="D81" s="11" t="str">
        <x:f>IF($A81="Verdadero o Falso Simple","Verdadero",IF($A81="Respuesta A/B/Ambas/Ninguna","A. Si la primera es verdadera",""))</x:f>
      </x:c>
      <x:c r="E81" s="11" t="str">
        <x:f>IF($A81="Verdadero o Falso Simple","Falso",IF($A81="Respuesta A/B/Ambas/Ninguna","B. Si la segunda es verdadera",""))</x:f>
      </x:c>
      <x:c r="F81" s="11" t="str">
        <x:f>IF($A81="Respuesta A/B/Ambas/Ninguna","C. Si ambas son verdaderas","")</x:f>
      </x:c>
      <x:c r="G81" s="11" t="str">
        <x:f>IF($A81="Respuesta A/B/Ambas/Ninguna","D. Si ninguna es verdadera","")</x:f>
      </x:c>
      <x:c r="H81" s="11" t="s">
        <x:v>2</x:v>
      </x:c>
      <x:c r="I81" s="11" t="str">
        <x:f>IF($A81="Verdadero o Falso Simple","A","")</x:f>
      </x:c>
      <x:c r="J81" s="11" t="s">
        <x:v>2</x:v>
      </x:c>
      <x:c r="K81" s="11" t="s">
        <x:v>4</x:v>
      </x:c>
      <x:c r="L81" s="13" t="str">
        <x:f>IF(TRIM($A81)="","",IF(COUNTIF($M81:$AG81,"?*")=0,"OK","Falta revisar: "&amp;$M81&amp;$N81&amp;$O81&amp;$P81&amp;$Q81&amp;$R81&amp;$S81&amp;$T81&amp;$U81&amp;$V81&amp;$W81&amp;$X81&amp;$Y81&amp;$Z81&amp;$AA81&amp;$AB81&amp;$AC81&amp;$AD81&amp;$AE81&amp;$AF81&amp;$AG81))</x:f>
        <x:v>OK</x:v>
      </x:c>
      <x:c r="M81" t="str">
        <x:f>IF(TRIM($C81)="","enunciado","")</x:f>
        <x:v>enunciado</x:v>
      </x:c>
      <x:c r="N81" t="str">
        <x:f>IF(TRIM($K81)="",IF(COUNTIF($M81:$M81,"?*")&gt;0,", ","")&amp;"parcial","")</x:f>
      </x:c>
      <x:c r="O81" t="str">
        <x:f>IF(AND(TRIM($K81)&lt;&gt;"",TRIM($K81)&lt;&gt;"EF"),IF(COUNTIF($M81:$N81,"?*")&gt;0,", ","")&amp;"parcial distinto a EF","")</x:f>
      </x:c>
      <x:c r="P81" t="str">
        <x:f>IF(AND(OR($A81="Ítems agrupados por caso clínico o problema",$A81="Subítem de caso o problema",$A81="Emparejamiento Ampliado",$A81="Opción de Emparejamiento Ampliado"),TRIM($B81)=""),IF(COUNTIF($M81:$O81,"?*")&gt;0,", ","")&amp;"grupo","")</x:f>
      </x:c>
      <x:c r="Q81" t="str">
        <x:f>IF(AND(OR($A81="Verdadero o Falso Simple",$A81="Respuesta A/B/Ambas/Ninguna",$A81="Verdadero o Falso Complejas",$A81="Selección de la mejor respuesta",$A81="Subítem de caso o problema",$A81="Opción de Emparejamiento Ampliado"),TRIM($I81)=""),IF(COUNTIF($M81:$P81,"?*")&gt;0,", ","")&amp;"respuesta_correcta","")</x:f>
      </x:c>
      <x:c r="R81" t="str">
        <x:f>IF(AND(OR($A81="Verdadero o Falso Simple",$A81="Respuesta A/B/Ambas/Ninguna",$A81="Verdadero o Falso Complejas",$A81="Selección de la mejor respuesta",$A81="Subítem de caso o problema",$A81="Opción de Emparejamiento Ampliado"),TRIM($J81)=""),IF(COUNTIF($M81:$Q81,"?*")&gt;0,", ","")&amp;"dificultad","")</x:f>
      </x:c>
      <x:c r="S81" t="str">
        <x:f>IF(AND(OR($A81="Ítems agrupados por caso clínico o problema",$A81="Emparejamiento Ampliado"),TRIM($I81)&lt;&gt;""),IF(COUNTIF($M81:$R81,"?*")&gt;0,", ","")&amp;"respuesta debe ir vacia","")</x:f>
      </x:c>
      <x:c r="T81" t="str">
        <x:f>IF(AND(OR($A81="Ítems agrupados por caso clínico o problema",$A81="Emparejamiento Ampliado"),TRIM($J81)&lt;&gt;""),IF(COUNTIF($M81:$S81,"?*")&gt;0,", ","")&amp;"dificultad debe ir vacia","")</x:f>
      </x:c>
      <x:c r="U81" t="str">
        <x:f>IF(AND($A81="Verdadero o Falso Simple",OR(COUNTIF($D81:$E81,"?*")&lt;2,COUNTIF($F81:$H81,"?*")&gt;0)),IF(COUNTIF($M81:$T81,"?*")&gt;0,", ","")&amp;"incisos A-B","")</x:f>
      </x:c>
      <x:c r="V81" t="str">
        <x:f>IF(AND($A81="Verdadero o Falso Simple",TRIM($I81)&lt;&gt;"",NOT(OR(LEFT(TRIM($I81),1)="A",LEFT(TRIM($I81),1)="B"))),IF(COUNTIF($M81:$U81,"?*")&gt;0,", ","")&amp;"respuesta A-B","")</x:f>
      </x:c>
      <x:c r="W81" t="str">
        <x:f>IF(AND($A81="Respuesta A/B/Ambas/Ninguna",COUNTIF($D81:$G81,"?*")&lt;4),IF(COUNTIF($M81:$V81,"?*")&gt;0,", ","")&amp;"opciones A-D","")</x:f>
      </x:c>
      <x:c r="X81" t="str">
        <x:f>IF(AND($A81="Respuesta A/B/Ambas/Ninguna",COUNTIF($H81:$H81,"?*")&gt;0),IF(COUNTIF($M81:$W81,"?*")&gt;0,", ","")&amp;"opcion E deshabilitada","")</x:f>
      </x:c>
      <x:c r="Y81" t="str">
        <x:f>IF(AND($A81="Respuesta A/B/Ambas/Ninguna",TRIM($I81)&lt;&gt;"",NOT(OR(LEFT(TRIM($I81),1)="A",LEFT(TRIM($I81),1)="B",LEFT(TRIM($I81),1)="C",LEFT(TRIM($I81),1)="D"))),IF(COUNTIF($M81:$X81,"?*")&gt;0,", ","")&amp;"respuesta A-D","")</x:f>
      </x:c>
      <x:c r="Z81" t="str">
        <x:f>IF(AND($A81="Verdadero o Falso Complejas",OR(LEN(TRIM(SUBSTITUTE($D81,"1.","")))=0,LEN(TRIM(SUBSTITUTE($E81,"2.","")))=0,LEN(TRIM(SUBSTITUTE($F81,"3.","")))=0,LEN(TRIM(SUBSTITUTE($G81,"4.","")))=0)),IF(COUNTIF($M81:$Y81,"?*")&gt;0,", ","")&amp;"incisos 1-4","")</x:f>
      </x:c>
      <x:c r="AA81" t="str">
        <x:f>IF(AND($A81="Verdadero o Falso Complejas",COUNTIF($H81:$H81,"?*")&gt;0),IF(COUNTIF($M81:$Z81,"?*")&gt;0,", ","")&amp;"opcion E deshabilitada","")</x:f>
      </x:c>
      <x:c r="AB81" t="str">
        <x:f>IF(AND($A81="Verdadero o Falso Complejas",TRIM($I81)&lt;&gt;"",NOT(OR(LEFT(TRIM($I81),1)="A",LEFT(TRIM($I81),1)="B",LEFT(TRIM($I81),1)="C",LEFT(TRIM($I81),1)="D",LEFT(TRIM($I81),1)="E"))),IF(COUNTIF($M81:$AA81,"?*")&gt;0,", ","")&amp;"respuesta A-E","")</x:f>
      </x:c>
      <x:c r="AC81" t="str">
        <x:f>IF(AND(OR($A81="Selección de la mejor respuesta",$A81="Subítem de caso o problema"),COUNTIF($D81:$H81,"?*")&lt;5),IF(COUNTIF($M81:$AB81,"?*")&gt;0,", ","")&amp;"incisos A-E","")</x:f>
      </x:c>
      <x:c r="AD81" t="str">
        <x:f>IF(AND(OR($A81="Selección de la mejor respuesta",$A81="Subítem de caso o problema"),TRIM($I81)&lt;&gt;"",NOT(OR(LEFT(TRIM($I81),1)="A",LEFT(TRIM($I81),1)="B",LEFT(TRIM($I81),1)="C",LEFT(TRIM($I81),1)="D",LEFT(TRIM($I81),1)="E"))),IF(COUNTIF($M81:$AC81,"?*")&gt;0,", ","")&amp;"respuesta A-E","")</x:f>
      </x:c>
      <x:c r="AE81" t="str">
        <x:f>IF(AND(OR($A81="Ítems agrupados por caso clínico o problema",$A81="Opción de Emparejamiento Ampliado"),COUNTIF($D81:$H81,"?*")&gt;0),IF(COUNTIF($M81:$AD81,"?*")&gt;0,", ","")&amp;"sin incisos","")</x:f>
      </x:c>
      <x:c r="AF81" t="str">
        <x:f>IF(AND($A81="Emparejamiento Ampliado",COUNTIF($D81:$H81,"?*")&lt;2),IF(COUNTIF($M81:$AE81,"?*")&gt;0,", ","")&amp;"minimo 2 claves","")</x:f>
      </x:c>
      <x:c r="AG81" t="str">
        <x:f>IF(AND($A81="Opción de Emparejamiento Ampliado",NOT(OR(LEFT(TRIM($I81),1)="A",LEFT(TRIM($I81),1)="B",LEFT(TRIM($I81),1)="C",LEFT(TRIM($I81),1)="D",LEFT(TRIM($I81),1)="E"))),IF(COUNTIF($M81:$AF81,"?*")&gt;0,", ","")&amp;"respuesta A-E","")</x:f>
      </x:c>
      <x:c r="AK81" s="29" t="str"/>
    </x:row>
    <x:row r="82" ht="24" customHeight="1">
      <x:c r="A82" s="11" t="s">
        <x:v>2</x:v>
      </x:c>
      <x:c r="B82" s="11" t="s">
        <x:v>2</x:v>
      </x:c>
      <x:c r="C82" s="12" t="str">
        <x:f>IF($A82="Emparejamiento Ampliado",VALIDACIONES!$I$1,IF($A82="Respuesta A/B/Ambas/Ninguna","I. "&amp;CHAR(10)&amp;"II. ",""))</x:f>
      </x:c>
      <x:c r="D82" s="11" t="str">
        <x:f>IF($A82="Verdadero o Falso Simple","Verdadero",IF($A82="Respuesta A/B/Ambas/Ninguna","A. Si la primera es verdadera",""))</x:f>
      </x:c>
      <x:c r="E82" s="11" t="str">
        <x:f>IF($A82="Verdadero o Falso Simple","Falso",IF($A82="Respuesta A/B/Ambas/Ninguna","B. Si la segunda es verdadera",""))</x:f>
      </x:c>
      <x:c r="F82" s="11" t="str">
        <x:f>IF($A82="Respuesta A/B/Ambas/Ninguna","C. Si ambas son verdaderas","")</x:f>
      </x:c>
      <x:c r="G82" s="11" t="str">
        <x:f>IF($A82="Respuesta A/B/Ambas/Ninguna","D. Si ninguna es verdadera","")</x:f>
      </x:c>
      <x:c r="H82" s="11" t="s">
        <x:v>2</x:v>
      </x:c>
      <x:c r="I82" s="11" t="str">
        <x:f>IF($A82="Verdadero o Falso Simple","A","")</x:f>
      </x:c>
      <x:c r="J82" s="11" t="s">
        <x:v>2</x:v>
      </x:c>
      <x:c r="K82" s="11" t="s">
        <x:v>4</x:v>
      </x:c>
      <x:c r="L82" s="13" t="str">
        <x:f>IF(TRIM($A82)="","",IF(COUNTIF($M82:$AG82,"?*")=0,"OK","Falta revisar: "&amp;$M82&amp;$N82&amp;$O82&amp;$P82&amp;$Q82&amp;$R82&amp;$S82&amp;$T82&amp;$U82&amp;$V82&amp;$W82&amp;$X82&amp;$Y82&amp;$Z82&amp;$AA82&amp;$AB82&amp;$AC82&amp;$AD82&amp;$AE82&amp;$AF82&amp;$AG82))</x:f>
        <x:v>OK</x:v>
      </x:c>
      <x:c r="M82" t="str">
        <x:f>IF(TRIM($C82)="","enunciado","")</x:f>
        <x:v>enunciado</x:v>
      </x:c>
      <x:c r="N82" t="str">
        <x:f>IF(TRIM($K82)="",IF(COUNTIF($M82:$M82,"?*")&gt;0,", ","")&amp;"parcial","")</x:f>
      </x:c>
      <x:c r="O82" t="str">
        <x:f>IF(AND(TRIM($K82)&lt;&gt;"",TRIM($K82)&lt;&gt;"EF"),IF(COUNTIF($M82:$N82,"?*")&gt;0,", ","")&amp;"parcial distinto a EF","")</x:f>
      </x:c>
      <x:c r="P82" t="str">
        <x:f>IF(AND(OR($A82="Ítems agrupados por caso clínico o problema",$A82="Subítem de caso o problema",$A82="Emparejamiento Ampliado",$A82="Opción de Emparejamiento Ampliado"),TRIM($B82)=""),IF(COUNTIF($M82:$O82,"?*")&gt;0,", ","")&amp;"grupo","")</x:f>
      </x:c>
      <x:c r="Q82" t="str">
        <x:f>IF(AND(OR($A82="Verdadero o Falso Simple",$A82="Respuesta A/B/Ambas/Ninguna",$A82="Verdadero o Falso Complejas",$A82="Selección de la mejor respuesta",$A82="Subítem de caso o problema",$A82="Opción de Emparejamiento Ampliado"),TRIM($I82)=""),IF(COUNTIF($M82:$P82,"?*")&gt;0,", ","")&amp;"respuesta_correcta","")</x:f>
      </x:c>
      <x:c r="R82" t="str">
        <x:f>IF(AND(OR($A82="Verdadero o Falso Simple",$A82="Respuesta A/B/Ambas/Ninguna",$A82="Verdadero o Falso Complejas",$A82="Selección de la mejor respuesta",$A82="Subítem de caso o problema",$A82="Opción de Emparejamiento Ampliado"),TRIM($J82)=""),IF(COUNTIF($M82:$Q82,"?*")&gt;0,", ","")&amp;"dificultad","")</x:f>
      </x:c>
      <x:c r="S82" t="str">
        <x:f>IF(AND(OR($A82="Ítems agrupados por caso clínico o problema",$A82="Emparejamiento Ampliado"),TRIM($I82)&lt;&gt;""),IF(COUNTIF($M82:$R82,"?*")&gt;0,", ","")&amp;"respuesta debe ir vacia","")</x:f>
      </x:c>
      <x:c r="T82" t="str">
        <x:f>IF(AND(OR($A82="Ítems agrupados por caso clínico o problema",$A82="Emparejamiento Ampliado"),TRIM($J82)&lt;&gt;""),IF(COUNTIF($M82:$S82,"?*")&gt;0,", ","")&amp;"dificultad debe ir vacia","")</x:f>
      </x:c>
      <x:c r="U82" t="str">
        <x:f>IF(AND($A82="Verdadero o Falso Simple",OR(COUNTIF($D82:$E82,"?*")&lt;2,COUNTIF($F82:$H82,"?*")&gt;0)),IF(COUNTIF($M82:$T82,"?*")&gt;0,", ","")&amp;"incisos A-B","")</x:f>
      </x:c>
      <x:c r="V82" t="str">
        <x:f>IF(AND($A82="Verdadero o Falso Simple",TRIM($I82)&lt;&gt;"",NOT(OR(LEFT(TRIM($I82),1)="A",LEFT(TRIM($I82),1)="B"))),IF(COUNTIF($M82:$U82,"?*")&gt;0,", ","")&amp;"respuesta A-B","")</x:f>
      </x:c>
      <x:c r="W82" t="str">
        <x:f>IF(AND($A82="Respuesta A/B/Ambas/Ninguna",COUNTIF($D82:$G82,"?*")&lt;4),IF(COUNTIF($M82:$V82,"?*")&gt;0,", ","")&amp;"opciones A-D","")</x:f>
      </x:c>
      <x:c r="X82" t="str">
        <x:f>IF(AND($A82="Respuesta A/B/Ambas/Ninguna",COUNTIF($H82:$H82,"?*")&gt;0),IF(COUNTIF($M82:$W82,"?*")&gt;0,", ","")&amp;"opcion E deshabilitada","")</x:f>
      </x:c>
      <x:c r="Y82" t="str">
        <x:f>IF(AND($A82="Respuesta A/B/Ambas/Ninguna",TRIM($I82)&lt;&gt;"",NOT(OR(LEFT(TRIM($I82),1)="A",LEFT(TRIM($I82),1)="B",LEFT(TRIM($I82),1)="C",LEFT(TRIM($I82),1)="D"))),IF(COUNTIF($M82:$X82,"?*")&gt;0,", ","")&amp;"respuesta A-D","")</x:f>
      </x:c>
      <x:c r="Z82" t="str">
        <x:f>IF(AND($A82="Verdadero o Falso Complejas",OR(LEN(TRIM(SUBSTITUTE($D82,"1.","")))=0,LEN(TRIM(SUBSTITUTE($E82,"2.","")))=0,LEN(TRIM(SUBSTITUTE($F82,"3.","")))=0,LEN(TRIM(SUBSTITUTE($G82,"4.","")))=0)),IF(COUNTIF($M82:$Y82,"?*")&gt;0,", ","")&amp;"incisos 1-4","")</x:f>
      </x:c>
      <x:c r="AA82" t="str">
        <x:f>IF(AND($A82="Verdadero o Falso Complejas",COUNTIF($H82:$H82,"?*")&gt;0),IF(COUNTIF($M82:$Z82,"?*")&gt;0,", ","")&amp;"opcion E deshabilitada","")</x:f>
      </x:c>
      <x:c r="AB82" t="str">
        <x:f>IF(AND($A82="Verdadero o Falso Complejas",TRIM($I82)&lt;&gt;"",NOT(OR(LEFT(TRIM($I82),1)="A",LEFT(TRIM($I82),1)="B",LEFT(TRIM($I82),1)="C",LEFT(TRIM($I82),1)="D",LEFT(TRIM($I82),1)="E"))),IF(COUNTIF($M82:$AA82,"?*")&gt;0,", ","")&amp;"respuesta A-E","")</x:f>
      </x:c>
      <x:c r="AC82" t="str">
        <x:f>IF(AND(OR($A82="Selección de la mejor respuesta",$A82="Subítem de caso o problema"),COUNTIF($D82:$H82,"?*")&lt;5),IF(COUNTIF($M82:$AB82,"?*")&gt;0,", ","")&amp;"incisos A-E","")</x:f>
      </x:c>
      <x:c r="AD82" t="str">
        <x:f>IF(AND(OR($A82="Selección de la mejor respuesta",$A82="Subítem de caso o problema"),TRIM($I82)&lt;&gt;"",NOT(OR(LEFT(TRIM($I82),1)="A",LEFT(TRIM($I82),1)="B",LEFT(TRIM($I82),1)="C",LEFT(TRIM($I82),1)="D",LEFT(TRIM($I82),1)="E"))),IF(COUNTIF($M82:$AC82,"?*")&gt;0,", ","")&amp;"respuesta A-E","")</x:f>
      </x:c>
      <x:c r="AE82" t="str">
        <x:f>IF(AND(OR($A82="Ítems agrupados por caso clínico o problema",$A82="Opción de Emparejamiento Ampliado"),COUNTIF($D82:$H82,"?*")&gt;0),IF(COUNTIF($M82:$AD82,"?*")&gt;0,", ","")&amp;"sin incisos","")</x:f>
      </x:c>
      <x:c r="AF82" t="str">
        <x:f>IF(AND($A82="Emparejamiento Ampliado",COUNTIF($D82:$H82,"?*")&lt;2),IF(COUNTIF($M82:$AE82,"?*")&gt;0,", ","")&amp;"minimo 2 claves","")</x:f>
      </x:c>
      <x:c r="AG82" t="str">
        <x:f>IF(AND($A82="Opción de Emparejamiento Ampliado",NOT(OR(LEFT(TRIM($I82),1)="A",LEFT(TRIM($I82),1)="B",LEFT(TRIM($I82),1)="C",LEFT(TRIM($I82),1)="D",LEFT(TRIM($I82),1)="E"))),IF(COUNTIF($M82:$AF82,"?*")&gt;0,", ","")&amp;"respuesta A-E","")</x:f>
      </x:c>
      <x:c r="AK82" s="29" t="str"/>
    </x:row>
    <x:row r="83" ht="24" customHeight="1">
      <x:c r="A83" s="11" t="s">
        <x:v>2</x:v>
      </x:c>
      <x:c r="B83" s="11" t="s">
        <x:v>2</x:v>
      </x:c>
      <x:c r="C83" s="12" t="str">
        <x:f>IF($A83="Emparejamiento Ampliado",VALIDACIONES!$I$1,IF($A83="Respuesta A/B/Ambas/Ninguna","I. "&amp;CHAR(10)&amp;"II. ",""))</x:f>
      </x:c>
      <x:c r="D83" s="11" t="str">
        <x:f>IF($A83="Verdadero o Falso Simple","Verdadero",IF($A83="Respuesta A/B/Ambas/Ninguna","A. Si la primera es verdadera",""))</x:f>
      </x:c>
      <x:c r="E83" s="11" t="str">
        <x:f>IF($A83="Verdadero o Falso Simple","Falso",IF($A83="Respuesta A/B/Ambas/Ninguna","B. Si la segunda es verdadera",""))</x:f>
      </x:c>
      <x:c r="F83" s="11" t="str">
        <x:f>IF($A83="Respuesta A/B/Ambas/Ninguna","C. Si ambas son verdaderas","")</x:f>
      </x:c>
      <x:c r="G83" s="11" t="str">
        <x:f>IF($A83="Respuesta A/B/Ambas/Ninguna","D. Si ninguna es verdadera","")</x:f>
      </x:c>
      <x:c r="H83" s="11" t="s">
        <x:v>2</x:v>
      </x:c>
      <x:c r="I83" s="11" t="str">
        <x:f>IF($A83="Verdadero o Falso Simple","A","")</x:f>
      </x:c>
      <x:c r="J83" s="11" t="s">
        <x:v>2</x:v>
      </x:c>
      <x:c r="K83" s="11" t="s">
        <x:v>4</x:v>
      </x:c>
      <x:c r="L83" s="13" t="str">
        <x:f>IF(TRIM($A83)="","",IF(COUNTIF($M83:$AG83,"?*")=0,"OK","Falta revisar: "&amp;$M83&amp;$N83&amp;$O83&amp;$P83&amp;$Q83&amp;$R83&amp;$S83&amp;$T83&amp;$U83&amp;$V83&amp;$W83&amp;$X83&amp;$Y83&amp;$Z83&amp;$AA83&amp;$AB83&amp;$AC83&amp;$AD83&amp;$AE83&amp;$AF83&amp;$AG83))</x:f>
        <x:v>OK</x:v>
      </x:c>
      <x:c r="M83" t="str">
        <x:f>IF(TRIM($C83)="","enunciado","")</x:f>
        <x:v>enunciado</x:v>
      </x:c>
      <x:c r="N83" t="str">
        <x:f>IF(TRIM($K83)="",IF(COUNTIF($M83:$M83,"?*")&gt;0,", ","")&amp;"parcial","")</x:f>
      </x:c>
      <x:c r="O83" t="str">
        <x:f>IF(AND(TRIM($K83)&lt;&gt;"",TRIM($K83)&lt;&gt;"EF"),IF(COUNTIF($M83:$N83,"?*")&gt;0,", ","")&amp;"parcial distinto a EF","")</x:f>
      </x:c>
      <x:c r="P83" t="str">
        <x:f>IF(AND(OR($A83="Ítems agrupados por caso clínico o problema",$A83="Subítem de caso o problema",$A83="Emparejamiento Ampliado",$A83="Opción de Emparejamiento Ampliado"),TRIM($B83)=""),IF(COUNTIF($M83:$O83,"?*")&gt;0,", ","")&amp;"grupo","")</x:f>
      </x:c>
      <x:c r="Q83" t="str">
        <x:f>IF(AND(OR($A83="Verdadero o Falso Simple",$A83="Respuesta A/B/Ambas/Ninguna",$A83="Verdadero o Falso Complejas",$A83="Selección de la mejor respuesta",$A83="Subítem de caso o problema",$A83="Opción de Emparejamiento Ampliado"),TRIM($I83)=""),IF(COUNTIF($M83:$P83,"?*")&gt;0,", ","")&amp;"respuesta_correcta","")</x:f>
      </x:c>
      <x:c r="R83" t="str">
        <x:f>IF(AND(OR($A83="Verdadero o Falso Simple",$A83="Respuesta A/B/Ambas/Ninguna",$A83="Verdadero o Falso Complejas",$A83="Selección de la mejor respuesta",$A83="Subítem de caso o problema",$A83="Opción de Emparejamiento Ampliado"),TRIM($J83)=""),IF(COUNTIF($M83:$Q83,"?*")&gt;0,", ","")&amp;"dificultad","")</x:f>
      </x:c>
      <x:c r="S83" t="str">
        <x:f>IF(AND(OR($A83="Ítems agrupados por caso clínico o problema",$A83="Emparejamiento Ampliado"),TRIM($I83)&lt;&gt;""),IF(COUNTIF($M83:$R83,"?*")&gt;0,", ","")&amp;"respuesta debe ir vacia","")</x:f>
      </x:c>
      <x:c r="T83" t="str">
        <x:f>IF(AND(OR($A83="Ítems agrupados por caso clínico o problema",$A83="Emparejamiento Ampliado"),TRIM($J83)&lt;&gt;""),IF(COUNTIF($M83:$S83,"?*")&gt;0,", ","")&amp;"dificultad debe ir vacia","")</x:f>
      </x:c>
      <x:c r="U83" t="str">
        <x:f>IF(AND($A83="Verdadero o Falso Simple",OR(COUNTIF($D83:$E83,"?*")&lt;2,COUNTIF($F83:$H83,"?*")&gt;0)),IF(COUNTIF($M83:$T83,"?*")&gt;0,", ","")&amp;"incisos A-B","")</x:f>
      </x:c>
      <x:c r="V83" t="str">
        <x:f>IF(AND($A83="Verdadero o Falso Simple",TRIM($I83)&lt;&gt;"",NOT(OR(LEFT(TRIM($I83),1)="A",LEFT(TRIM($I83),1)="B"))),IF(COUNTIF($M83:$U83,"?*")&gt;0,", ","")&amp;"respuesta A-B","")</x:f>
      </x:c>
      <x:c r="W83" t="str">
        <x:f>IF(AND($A83="Respuesta A/B/Ambas/Ninguna",COUNTIF($D83:$G83,"?*")&lt;4),IF(COUNTIF($M83:$V83,"?*")&gt;0,", ","")&amp;"opciones A-D","")</x:f>
      </x:c>
      <x:c r="X83" t="str">
        <x:f>IF(AND($A83="Respuesta A/B/Ambas/Ninguna",COUNTIF($H83:$H83,"?*")&gt;0),IF(COUNTIF($M83:$W83,"?*")&gt;0,", ","")&amp;"opcion E deshabilitada","")</x:f>
      </x:c>
      <x:c r="Y83" t="str">
        <x:f>IF(AND($A83="Respuesta A/B/Ambas/Ninguna",TRIM($I83)&lt;&gt;"",NOT(OR(LEFT(TRIM($I83),1)="A",LEFT(TRIM($I83),1)="B",LEFT(TRIM($I83),1)="C",LEFT(TRIM($I83),1)="D"))),IF(COUNTIF($M83:$X83,"?*")&gt;0,", ","")&amp;"respuesta A-D","")</x:f>
      </x:c>
      <x:c r="Z83" t="str">
        <x:f>IF(AND($A83="Verdadero o Falso Complejas",OR(LEN(TRIM(SUBSTITUTE($D83,"1.","")))=0,LEN(TRIM(SUBSTITUTE($E83,"2.","")))=0,LEN(TRIM(SUBSTITUTE($F83,"3.","")))=0,LEN(TRIM(SUBSTITUTE($G83,"4.","")))=0)),IF(COUNTIF($M83:$Y83,"?*")&gt;0,", ","")&amp;"incisos 1-4","")</x:f>
      </x:c>
      <x:c r="AA83" t="str">
        <x:f>IF(AND($A83="Verdadero o Falso Complejas",COUNTIF($H83:$H83,"?*")&gt;0),IF(COUNTIF($M83:$Z83,"?*")&gt;0,", ","")&amp;"opcion E deshabilitada","")</x:f>
      </x:c>
      <x:c r="AB83" t="str">
        <x:f>IF(AND($A83="Verdadero o Falso Complejas",TRIM($I83)&lt;&gt;"",NOT(OR(LEFT(TRIM($I83),1)="A",LEFT(TRIM($I83),1)="B",LEFT(TRIM($I83),1)="C",LEFT(TRIM($I83),1)="D",LEFT(TRIM($I83),1)="E"))),IF(COUNTIF($M83:$AA83,"?*")&gt;0,", ","")&amp;"respuesta A-E","")</x:f>
      </x:c>
      <x:c r="AC83" t="str">
        <x:f>IF(AND(OR($A83="Selección de la mejor respuesta",$A83="Subítem de caso o problema"),COUNTIF($D83:$H83,"?*")&lt;5),IF(COUNTIF($M83:$AB83,"?*")&gt;0,", ","")&amp;"incisos A-E","")</x:f>
      </x:c>
      <x:c r="AD83" t="str">
        <x:f>IF(AND(OR($A83="Selección de la mejor respuesta",$A83="Subítem de caso o problema"),TRIM($I83)&lt;&gt;"",NOT(OR(LEFT(TRIM($I83),1)="A",LEFT(TRIM($I83),1)="B",LEFT(TRIM($I83),1)="C",LEFT(TRIM($I83),1)="D",LEFT(TRIM($I83),1)="E"))),IF(COUNTIF($M83:$AC83,"?*")&gt;0,", ","")&amp;"respuesta A-E","")</x:f>
      </x:c>
      <x:c r="AE83" t="str">
        <x:f>IF(AND(OR($A83="Ítems agrupados por caso clínico o problema",$A83="Opción de Emparejamiento Ampliado"),COUNTIF($D83:$H83,"?*")&gt;0),IF(COUNTIF($M83:$AD83,"?*")&gt;0,", ","")&amp;"sin incisos","")</x:f>
      </x:c>
      <x:c r="AF83" t="str">
        <x:f>IF(AND($A83="Emparejamiento Ampliado",COUNTIF($D83:$H83,"?*")&lt;2),IF(COUNTIF($M83:$AE83,"?*")&gt;0,", ","")&amp;"minimo 2 claves","")</x:f>
      </x:c>
      <x:c r="AG83" t="str">
        <x:f>IF(AND($A83="Opción de Emparejamiento Ampliado",NOT(OR(LEFT(TRIM($I83),1)="A",LEFT(TRIM($I83),1)="B",LEFT(TRIM($I83),1)="C",LEFT(TRIM($I83),1)="D",LEFT(TRIM($I83),1)="E"))),IF(COUNTIF($M83:$AF83,"?*")&gt;0,", ","")&amp;"respuesta A-E","")</x:f>
      </x:c>
      <x:c r="AK83" s="29" t="str"/>
    </x:row>
    <x:row r="84" ht="24" customHeight="1">
      <x:c r="A84" s="11" t="s">
        <x:v>2</x:v>
      </x:c>
      <x:c r="B84" s="11" t="s">
        <x:v>2</x:v>
      </x:c>
      <x:c r="C84" s="12" t="str">
        <x:f>IF($A84="Emparejamiento Ampliado",VALIDACIONES!$I$1,IF($A84="Respuesta A/B/Ambas/Ninguna","I. "&amp;CHAR(10)&amp;"II. ",""))</x:f>
      </x:c>
      <x:c r="D84" s="11" t="str">
        <x:f>IF($A84="Verdadero o Falso Simple","Verdadero",IF($A84="Respuesta A/B/Ambas/Ninguna","A. Si la primera es verdadera",""))</x:f>
      </x:c>
      <x:c r="E84" s="11" t="str">
        <x:f>IF($A84="Verdadero o Falso Simple","Falso",IF($A84="Respuesta A/B/Ambas/Ninguna","B. Si la segunda es verdadera",""))</x:f>
      </x:c>
      <x:c r="F84" s="11" t="str">
        <x:f>IF($A84="Respuesta A/B/Ambas/Ninguna","C. Si ambas son verdaderas","")</x:f>
      </x:c>
      <x:c r="G84" s="11" t="str">
        <x:f>IF($A84="Respuesta A/B/Ambas/Ninguna","D. Si ninguna es verdadera","")</x:f>
      </x:c>
      <x:c r="H84" s="11" t="s">
        <x:v>2</x:v>
      </x:c>
      <x:c r="I84" s="11" t="str">
        <x:f>IF($A84="Verdadero o Falso Simple","A","")</x:f>
      </x:c>
      <x:c r="J84" s="11" t="s">
        <x:v>2</x:v>
      </x:c>
      <x:c r="K84" s="11" t="s">
        <x:v>4</x:v>
      </x:c>
      <x:c r="L84" s="13" t="str">
        <x:f>IF(TRIM($A84)="","",IF(COUNTIF($M84:$AG84,"?*")=0,"OK","Falta revisar: "&amp;$M84&amp;$N84&amp;$O84&amp;$P84&amp;$Q84&amp;$R84&amp;$S84&amp;$T84&amp;$U84&amp;$V84&amp;$W84&amp;$X84&amp;$Y84&amp;$Z84&amp;$AA84&amp;$AB84&amp;$AC84&amp;$AD84&amp;$AE84&amp;$AF84&amp;$AG84))</x:f>
        <x:v>OK</x:v>
      </x:c>
      <x:c r="M84" t="str">
        <x:f>IF(TRIM($C84)="","enunciado","")</x:f>
        <x:v>enunciado</x:v>
      </x:c>
      <x:c r="N84" t="str">
        <x:f>IF(TRIM($K84)="",IF(COUNTIF($M84:$M84,"?*")&gt;0,", ","")&amp;"parcial","")</x:f>
      </x:c>
      <x:c r="O84" t="str">
        <x:f>IF(AND(TRIM($K84)&lt;&gt;"",TRIM($K84)&lt;&gt;"EF"),IF(COUNTIF($M84:$N84,"?*")&gt;0,", ","")&amp;"parcial distinto a EF","")</x:f>
      </x:c>
      <x:c r="P84" t="str">
        <x:f>IF(AND(OR($A84="Ítems agrupados por caso clínico o problema",$A84="Subítem de caso o problema",$A84="Emparejamiento Ampliado",$A84="Opción de Emparejamiento Ampliado"),TRIM($B84)=""),IF(COUNTIF($M84:$O84,"?*")&gt;0,", ","")&amp;"grupo","")</x:f>
      </x:c>
      <x:c r="Q84" t="str">
        <x:f>IF(AND(OR($A84="Verdadero o Falso Simple",$A84="Respuesta A/B/Ambas/Ninguna",$A84="Verdadero o Falso Complejas",$A84="Selección de la mejor respuesta",$A84="Subítem de caso o problema",$A84="Opción de Emparejamiento Ampliado"),TRIM($I84)=""),IF(COUNTIF($M84:$P84,"?*")&gt;0,", ","")&amp;"respuesta_correcta","")</x:f>
      </x:c>
      <x:c r="R84" t="str">
        <x:f>IF(AND(OR($A84="Verdadero o Falso Simple",$A84="Respuesta A/B/Ambas/Ninguna",$A84="Verdadero o Falso Complejas",$A84="Selección de la mejor respuesta",$A84="Subítem de caso o problema",$A84="Opción de Emparejamiento Ampliado"),TRIM($J84)=""),IF(COUNTIF($M84:$Q84,"?*")&gt;0,", ","")&amp;"dificultad","")</x:f>
      </x:c>
      <x:c r="S84" t="str">
        <x:f>IF(AND(OR($A84="Ítems agrupados por caso clínico o problema",$A84="Emparejamiento Ampliado"),TRIM($I84)&lt;&gt;""),IF(COUNTIF($M84:$R84,"?*")&gt;0,", ","")&amp;"respuesta debe ir vacia","")</x:f>
      </x:c>
      <x:c r="T84" t="str">
        <x:f>IF(AND(OR($A84="Ítems agrupados por caso clínico o problema",$A84="Emparejamiento Ampliado"),TRIM($J84)&lt;&gt;""),IF(COUNTIF($M84:$S84,"?*")&gt;0,", ","")&amp;"dificultad debe ir vacia","")</x:f>
      </x:c>
      <x:c r="U84" t="str">
        <x:f>IF(AND($A84="Verdadero o Falso Simple",OR(COUNTIF($D84:$E84,"?*")&lt;2,COUNTIF($F84:$H84,"?*")&gt;0)),IF(COUNTIF($M84:$T84,"?*")&gt;0,", ","")&amp;"incisos A-B","")</x:f>
      </x:c>
      <x:c r="V84" t="str">
        <x:f>IF(AND($A84="Verdadero o Falso Simple",TRIM($I84)&lt;&gt;"",NOT(OR(LEFT(TRIM($I84),1)="A",LEFT(TRIM($I84),1)="B"))),IF(COUNTIF($M84:$U84,"?*")&gt;0,", ","")&amp;"respuesta A-B","")</x:f>
      </x:c>
      <x:c r="W84" t="str">
        <x:f>IF(AND($A84="Respuesta A/B/Ambas/Ninguna",COUNTIF($D84:$G84,"?*")&lt;4),IF(COUNTIF($M84:$V84,"?*")&gt;0,", ","")&amp;"opciones A-D","")</x:f>
      </x:c>
      <x:c r="X84" t="str">
        <x:f>IF(AND($A84="Respuesta A/B/Ambas/Ninguna",COUNTIF($H84:$H84,"?*")&gt;0),IF(COUNTIF($M84:$W84,"?*")&gt;0,", ","")&amp;"opcion E deshabilitada","")</x:f>
      </x:c>
      <x:c r="Y84" t="str">
        <x:f>IF(AND($A84="Respuesta A/B/Ambas/Ninguna",TRIM($I84)&lt;&gt;"",NOT(OR(LEFT(TRIM($I84),1)="A",LEFT(TRIM($I84),1)="B",LEFT(TRIM($I84),1)="C",LEFT(TRIM($I84),1)="D"))),IF(COUNTIF($M84:$X84,"?*")&gt;0,", ","")&amp;"respuesta A-D","")</x:f>
      </x:c>
      <x:c r="Z84" t="str">
        <x:f>IF(AND($A84="Verdadero o Falso Complejas",OR(LEN(TRIM(SUBSTITUTE($D84,"1.","")))=0,LEN(TRIM(SUBSTITUTE($E84,"2.","")))=0,LEN(TRIM(SUBSTITUTE($F84,"3.","")))=0,LEN(TRIM(SUBSTITUTE($G84,"4.","")))=0)),IF(COUNTIF($M84:$Y84,"?*")&gt;0,", ","")&amp;"incisos 1-4","")</x:f>
      </x:c>
      <x:c r="AA84" t="str">
        <x:f>IF(AND($A84="Verdadero o Falso Complejas",COUNTIF($H84:$H84,"?*")&gt;0),IF(COUNTIF($M84:$Z84,"?*")&gt;0,", ","")&amp;"opcion E deshabilitada","")</x:f>
      </x:c>
      <x:c r="AB84" t="str">
        <x:f>IF(AND($A84="Verdadero o Falso Complejas",TRIM($I84)&lt;&gt;"",NOT(OR(LEFT(TRIM($I84),1)="A",LEFT(TRIM($I84),1)="B",LEFT(TRIM($I84),1)="C",LEFT(TRIM($I84),1)="D",LEFT(TRIM($I84),1)="E"))),IF(COUNTIF($M84:$AA84,"?*")&gt;0,", ","")&amp;"respuesta A-E","")</x:f>
      </x:c>
      <x:c r="AC84" t="str">
        <x:f>IF(AND(OR($A84="Selección de la mejor respuesta",$A84="Subítem de caso o problema"),COUNTIF($D84:$H84,"?*")&lt;5),IF(COUNTIF($M84:$AB84,"?*")&gt;0,", ","")&amp;"incisos A-E","")</x:f>
      </x:c>
      <x:c r="AD84" t="str">
        <x:f>IF(AND(OR($A84="Selección de la mejor respuesta",$A84="Subítem de caso o problema"),TRIM($I84)&lt;&gt;"",NOT(OR(LEFT(TRIM($I84),1)="A",LEFT(TRIM($I84),1)="B",LEFT(TRIM($I84),1)="C",LEFT(TRIM($I84),1)="D",LEFT(TRIM($I84),1)="E"))),IF(COUNTIF($M84:$AC84,"?*")&gt;0,", ","")&amp;"respuesta A-E","")</x:f>
      </x:c>
      <x:c r="AE84" t="str">
        <x:f>IF(AND(OR($A84="Ítems agrupados por caso clínico o problema",$A84="Opción de Emparejamiento Ampliado"),COUNTIF($D84:$H84,"?*")&gt;0),IF(COUNTIF($M84:$AD84,"?*")&gt;0,", ","")&amp;"sin incisos","")</x:f>
      </x:c>
      <x:c r="AF84" t="str">
        <x:f>IF(AND($A84="Emparejamiento Ampliado",COUNTIF($D84:$H84,"?*")&lt;2),IF(COUNTIF($M84:$AE84,"?*")&gt;0,", ","")&amp;"minimo 2 claves","")</x:f>
      </x:c>
      <x:c r="AG84" t="str">
        <x:f>IF(AND($A84="Opción de Emparejamiento Ampliado",NOT(OR(LEFT(TRIM($I84),1)="A",LEFT(TRIM($I84),1)="B",LEFT(TRIM($I84),1)="C",LEFT(TRIM($I84),1)="D",LEFT(TRIM($I84),1)="E"))),IF(COUNTIF($M84:$AF84,"?*")&gt;0,", ","")&amp;"respuesta A-E","")</x:f>
      </x:c>
      <x:c r="AK84" s="29" t="str"/>
    </x:row>
    <x:row r="85" ht="24" customHeight="1">
      <x:c r="A85" s="11" t="s">
        <x:v>2</x:v>
      </x:c>
      <x:c r="B85" s="11" t="s">
        <x:v>2</x:v>
      </x:c>
      <x:c r="C85" s="12" t="str">
        <x:f>IF($A85="Emparejamiento Ampliado",VALIDACIONES!$I$1,IF($A85="Respuesta A/B/Ambas/Ninguna","I. "&amp;CHAR(10)&amp;"II. ",""))</x:f>
      </x:c>
      <x:c r="D85" s="11" t="str">
        <x:f>IF($A85="Verdadero o Falso Simple","Verdadero",IF($A85="Respuesta A/B/Ambas/Ninguna","A. Si la primera es verdadera",""))</x:f>
      </x:c>
      <x:c r="E85" s="11" t="str">
        <x:f>IF($A85="Verdadero o Falso Simple","Falso",IF($A85="Respuesta A/B/Ambas/Ninguna","B. Si la segunda es verdadera",""))</x:f>
      </x:c>
      <x:c r="F85" s="11" t="str">
        <x:f>IF($A85="Respuesta A/B/Ambas/Ninguna","C. Si ambas son verdaderas","")</x:f>
      </x:c>
      <x:c r="G85" s="11" t="str">
        <x:f>IF($A85="Respuesta A/B/Ambas/Ninguna","D. Si ninguna es verdadera","")</x:f>
      </x:c>
      <x:c r="H85" s="11" t="s">
        <x:v>2</x:v>
      </x:c>
      <x:c r="I85" s="11" t="str">
        <x:f>IF($A85="Verdadero o Falso Simple","A","")</x:f>
      </x:c>
      <x:c r="J85" s="11" t="s">
        <x:v>2</x:v>
      </x:c>
      <x:c r="K85" s="11" t="s">
        <x:v>4</x:v>
      </x:c>
      <x:c r="L85" s="13" t="str">
        <x:f>IF(TRIM($A85)="","",IF(COUNTIF($M85:$AG85,"?*")=0,"OK","Falta revisar: "&amp;$M85&amp;$N85&amp;$O85&amp;$P85&amp;$Q85&amp;$R85&amp;$S85&amp;$T85&amp;$U85&amp;$V85&amp;$W85&amp;$X85&amp;$Y85&amp;$Z85&amp;$AA85&amp;$AB85&amp;$AC85&amp;$AD85&amp;$AE85&amp;$AF85&amp;$AG85))</x:f>
        <x:v>OK</x:v>
      </x:c>
      <x:c r="M85" t="str">
        <x:f>IF(TRIM($C85)="","enunciado","")</x:f>
        <x:v>enunciado</x:v>
      </x:c>
      <x:c r="N85" t="str">
        <x:f>IF(TRIM($K85)="",IF(COUNTIF($M85:$M85,"?*")&gt;0,", ","")&amp;"parcial","")</x:f>
      </x:c>
      <x:c r="O85" t="str">
        <x:f>IF(AND(TRIM($K85)&lt;&gt;"",TRIM($K85)&lt;&gt;"EF"),IF(COUNTIF($M85:$N85,"?*")&gt;0,", ","")&amp;"parcial distinto a EF","")</x:f>
      </x:c>
      <x:c r="P85" t="str">
        <x:f>IF(AND(OR($A85="Ítems agrupados por caso clínico o problema",$A85="Subítem de caso o problema",$A85="Emparejamiento Ampliado",$A85="Opción de Emparejamiento Ampliado"),TRIM($B85)=""),IF(COUNTIF($M85:$O85,"?*")&gt;0,", ","")&amp;"grupo","")</x:f>
      </x:c>
      <x:c r="Q85" t="str">
        <x:f>IF(AND(OR($A85="Verdadero o Falso Simple",$A85="Respuesta A/B/Ambas/Ninguna",$A85="Verdadero o Falso Complejas",$A85="Selección de la mejor respuesta",$A85="Subítem de caso o problema",$A85="Opción de Emparejamiento Ampliado"),TRIM($I85)=""),IF(COUNTIF($M85:$P85,"?*")&gt;0,", ","")&amp;"respuesta_correcta","")</x:f>
      </x:c>
      <x:c r="R85" t="str">
        <x:f>IF(AND(OR($A85="Verdadero o Falso Simple",$A85="Respuesta A/B/Ambas/Ninguna",$A85="Verdadero o Falso Complejas",$A85="Selección de la mejor respuesta",$A85="Subítem de caso o problema",$A85="Opción de Emparejamiento Ampliado"),TRIM($J85)=""),IF(COUNTIF($M85:$Q85,"?*")&gt;0,", ","")&amp;"dificultad","")</x:f>
      </x:c>
      <x:c r="S85" t="str">
        <x:f>IF(AND(OR($A85="Ítems agrupados por caso clínico o problema",$A85="Emparejamiento Ampliado"),TRIM($I85)&lt;&gt;""),IF(COUNTIF($M85:$R85,"?*")&gt;0,", ","")&amp;"respuesta debe ir vacia","")</x:f>
      </x:c>
      <x:c r="T85" t="str">
        <x:f>IF(AND(OR($A85="Ítems agrupados por caso clínico o problema",$A85="Emparejamiento Ampliado"),TRIM($J85)&lt;&gt;""),IF(COUNTIF($M85:$S85,"?*")&gt;0,", ","")&amp;"dificultad debe ir vacia","")</x:f>
      </x:c>
      <x:c r="U85" t="str">
        <x:f>IF(AND($A85="Verdadero o Falso Simple",OR(COUNTIF($D85:$E85,"?*")&lt;2,COUNTIF($F85:$H85,"?*")&gt;0)),IF(COUNTIF($M85:$T85,"?*")&gt;0,", ","")&amp;"incisos A-B","")</x:f>
      </x:c>
      <x:c r="V85" t="str">
        <x:f>IF(AND($A85="Verdadero o Falso Simple",TRIM($I85)&lt;&gt;"",NOT(OR(LEFT(TRIM($I85),1)="A",LEFT(TRIM($I85),1)="B"))),IF(COUNTIF($M85:$U85,"?*")&gt;0,", ","")&amp;"respuesta A-B","")</x:f>
      </x:c>
      <x:c r="W85" t="str">
        <x:f>IF(AND($A85="Respuesta A/B/Ambas/Ninguna",COUNTIF($D85:$G85,"?*")&lt;4),IF(COUNTIF($M85:$V85,"?*")&gt;0,", ","")&amp;"opciones A-D","")</x:f>
      </x:c>
      <x:c r="X85" t="str">
        <x:f>IF(AND($A85="Respuesta A/B/Ambas/Ninguna",COUNTIF($H85:$H85,"?*")&gt;0),IF(COUNTIF($M85:$W85,"?*")&gt;0,", ","")&amp;"opcion E deshabilitada","")</x:f>
      </x:c>
      <x:c r="Y85" t="str">
        <x:f>IF(AND($A85="Respuesta A/B/Ambas/Ninguna",TRIM($I85)&lt;&gt;"",NOT(OR(LEFT(TRIM($I85),1)="A",LEFT(TRIM($I85),1)="B",LEFT(TRIM($I85),1)="C",LEFT(TRIM($I85),1)="D"))),IF(COUNTIF($M85:$X85,"?*")&gt;0,", ","")&amp;"respuesta A-D","")</x:f>
      </x:c>
      <x:c r="Z85" t="str">
        <x:f>IF(AND($A85="Verdadero o Falso Complejas",OR(LEN(TRIM(SUBSTITUTE($D85,"1.","")))=0,LEN(TRIM(SUBSTITUTE($E85,"2.","")))=0,LEN(TRIM(SUBSTITUTE($F85,"3.","")))=0,LEN(TRIM(SUBSTITUTE($G85,"4.","")))=0)),IF(COUNTIF($M85:$Y85,"?*")&gt;0,", ","")&amp;"incisos 1-4","")</x:f>
      </x:c>
      <x:c r="AA85" t="str">
        <x:f>IF(AND($A85="Verdadero o Falso Complejas",COUNTIF($H85:$H85,"?*")&gt;0),IF(COUNTIF($M85:$Z85,"?*")&gt;0,", ","")&amp;"opcion E deshabilitada","")</x:f>
      </x:c>
      <x:c r="AB85" t="str">
        <x:f>IF(AND($A85="Verdadero o Falso Complejas",TRIM($I85)&lt;&gt;"",NOT(OR(LEFT(TRIM($I85),1)="A",LEFT(TRIM($I85),1)="B",LEFT(TRIM($I85),1)="C",LEFT(TRIM($I85),1)="D",LEFT(TRIM($I85),1)="E"))),IF(COUNTIF($M85:$AA85,"?*")&gt;0,", ","")&amp;"respuesta A-E","")</x:f>
      </x:c>
      <x:c r="AC85" t="str">
        <x:f>IF(AND(OR($A85="Selección de la mejor respuesta",$A85="Subítem de caso o problema"),COUNTIF($D85:$H85,"?*")&lt;5),IF(COUNTIF($M85:$AB85,"?*")&gt;0,", ","")&amp;"incisos A-E","")</x:f>
      </x:c>
      <x:c r="AD85" t="str">
        <x:f>IF(AND(OR($A85="Selección de la mejor respuesta",$A85="Subítem de caso o problema"),TRIM($I85)&lt;&gt;"",NOT(OR(LEFT(TRIM($I85),1)="A",LEFT(TRIM($I85),1)="B",LEFT(TRIM($I85),1)="C",LEFT(TRIM($I85),1)="D",LEFT(TRIM($I85),1)="E"))),IF(COUNTIF($M85:$AC85,"?*")&gt;0,", ","")&amp;"respuesta A-E","")</x:f>
      </x:c>
      <x:c r="AE85" t="str">
        <x:f>IF(AND(OR($A85="Ítems agrupados por caso clínico o problema",$A85="Opción de Emparejamiento Ampliado"),COUNTIF($D85:$H85,"?*")&gt;0),IF(COUNTIF($M85:$AD85,"?*")&gt;0,", ","")&amp;"sin incisos","")</x:f>
      </x:c>
      <x:c r="AF85" t="str">
        <x:f>IF(AND($A85="Emparejamiento Ampliado",COUNTIF($D85:$H85,"?*")&lt;2),IF(COUNTIF($M85:$AE85,"?*")&gt;0,", ","")&amp;"minimo 2 claves","")</x:f>
      </x:c>
      <x:c r="AG85" t="str">
        <x:f>IF(AND($A85="Opción de Emparejamiento Ampliado",NOT(OR(LEFT(TRIM($I85),1)="A",LEFT(TRIM($I85),1)="B",LEFT(TRIM($I85),1)="C",LEFT(TRIM($I85),1)="D",LEFT(TRIM($I85),1)="E"))),IF(COUNTIF($M85:$AF85,"?*")&gt;0,", ","")&amp;"respuesta A-E","")</x:f>
      </x:c>
      <x:c r="AK85" s="29" t="str"/>
    </x:row>
    <x:row r="86" ht="24" customHeight="1">
      <x:c r="A86" s="11" t="s">
        <x:v>2</x:v>
      </x:c>
      <x:c r="B86" s="11" t="s">
        <x:v>2</x:v>
      </x:c>
      <x:c r="C86" s="12" t="str">
        <x:f>IF($A86="Emparejamiento Ampliado",VALIDACIONES!$I$1,IF($A86="Respuesta A/B/Ambas/Ninguna","I. "&amp;CHAR(10)&amp;"II. ",""))</x:f>
      </x:c>
      <x:c r="D86" s="11" t="str">
        <x:f>IF($A86="Verdadero o Falso Simple","Verdadero",IF($A86="Respuesta A/B/Ambas/Ninguna","A. Si la primera es verdadera",""))</x:f>
      </x:c>
      <x:c r="E86" s="11" t="str">
        <x:f>IF($A86="Verdadero o Falso Simple","Falso",IF($A86="Respuesta A/B/Ambas/Ninguna","B. Si la segunda es verdadera",""))</x:f>
      </x:c>
      <x:c r="F86" s="11" t="str">
        <x:f>IF($A86="Respuesta A/B/Ambas/Ninguna","C. Si ambas son verdaderas","")</x:f>
      </x:c>
      <x:c r="G86" s="11" t="str">
        <x:f>IF($A86="Respuesta A/B/Ambas/Ninguna","D. Si ninguna es verdadera","")</x:f>
      </x:c>
      <x:c r="H86" s="11" t="s">
        <x:v>2</x:v>
      </x:c>
      <x:c r="I86" s="11" t="str">
        <x:f>IF($A86="Verdadero o Falso Simple","A","")</x:f>
      </x:c>
      <x:c r="J86" s="11" t="s">
        <x:v>2</x:v>
      </x:c>
      <x:c r="K86" s="11" t="s">
        <x:v>4</x:v>
      </x:c>
      <x:c r="L86" s="13" t="str">
        <x:f>IF(TRIM($A86)="","",IF(COUNTIF($M86:$AG86,"?*")=0,"OK","Falta revisar: "&amp;$M86&amp;$N86&amp;$O86&amp;$P86&amp;$Q86&amp;$R86&amp;$S86&amp;$T86&amp;$U86&amp;$V86&amp;$W86&amp;$X86&amp;$Y86&amp;$Z86&amp;$AA86&amp;$AB86&amp;$AC86&amp;$AD86&amp;$AE86&amp;$AF86&amp;$AG86))</x:f>
        <x:v>OK</x:v>
      </x:c>
      <x:c r="M86" t="str">
        <x:f>IF(TRIM($C86)="","enunciado","")</x:f>
        <x:v>enunciado</x:v>
      </x:c>
      <x:c r="N86" t="str">
        <x:f>IF(TRIM($K86)="",IF(COUNTIF($M86:$M86,"?*")&gt;0,", ","")&amp;"parcial","")</x:f>
      </x:c>
      <x:c r="O86" t="str">
        <x:f>IF(AND(TRIM($K86)&lt;&gt;"",TRIM($K86)&lt;&gt;"EF"),IF(COUNTIF($M86:$N86,"?*")&gt;0,", ","")&amp;"parcial distinto a EF","")</x:f>
      </x:c>
      <x:c r="P86" t="str">
        <x:f>IF(AND(OR($A86="Ítems agrupados por caso clínico o problema",$A86="Subítem de caso o problema",$A86="Emparejamiento Ampliado",$A86="Opción de Emparejamiento Ampliado"),TRIM($B86)=""),IF(COUNTIF($M86:$O86,"?*")&gt;0,", ","")&amp;"grupo","")</x:f>
      </x:c>
      <x:c r="Q86" t="str">
        <x:f>IF(AND(OR($A86="Verdadero o Falso Simple",$A86="Respuesta A/B/Ambas/Ninguna",$A86="Verdadero o Falso Complejas",$A86="Selección de la mejor respuesta",$A86="Subítem de caso o problema",$A86="Opción de Emparejamiento Ampliado"),TRIM($I86)=""),IF(COUNTIF($M86:$P86,"?*")&gt;0,", ","")&amp;"respuesta_correcta","")</x:f>
      </x:c>
      <x:c r="R86" t="str">
        <x:f>IF(AND(OR($A86="Verdadero o Falso Simple",$A86="Respuesta A/B/Ambas/Ninguna",$A86="Verdadero o Falso Complejas",$A86="Selección de la mejor respuesta",$A86="Subítem de caso o problema",$A86="Opción de Emparejamiento Ampliado"),TRIM($J86)=""),IF(COUNTIF($M86:$Q86,"?*")&gt;0,", ","")&amp;"dificultad","")</x:f>
      </x:c>
      <x:c r="S86" t="str">
        <x:f>IF(AND(OR($A86="Ítems agrupados por caso clínico o problema",$A86="Emparejamiento Ampliado"),TRIM($I86)&lt;&gt;""),IF(COUNTIF($M86:$R86,"?*")&gt;0,", ","")&amp;"respuesta debe ir vacia","")</x:f>
      </x:c>
      <x:c r="T86" t="str">
        <x:f>IF(AND(OR($A86="Ítems agrupados por caso clínico o problema",$A86="Emparejamiento Ampliado"),TRIM($J86)&lt;&gt;""),IF(COUNTIF($M86:$S86,"?*")&gt;0,", ","")&amp;"dificultad debe ir vacia","")</x:f>
      </x:c>
      <x:c r="U86" t="str">
        <x:f>IF(AND($A86="Verdadero o Falso Simple",OR(COUNTIF($D86:$E86,"?*")&lt;2,COUNTIF($F86:$H86,"?*")&gt;0)),IF(COUNTIF($M86:$T86,"?*")&gt;0,", ","")&amp;"incisos A-B","")</x:f>
      </x:c>
      <x:c r="V86" t="str">
        <x:f>IF(AND($A86="Verdadero o Falso Simple",TRIM($I86)&lt;&gt;"",NOT(OR(LEFT(TRIM($I86),1)="A",LEFT(TRIM($I86),1)="B"))),IF(COUNTIF($M86:$U86,"?*")&gt;0,", ","")&amp;"respuesta A-B","")</x:f>
      </x:c>
      <x:c r="W86" t="str">
        <x:f>IF(AND($A86="Respuesta A/B/Ambas/Ninguna",COUNTIF($D86:$G86,"?*")&lt;4),IF(COUNTIF($M86:$V86,"?*")&gt;0,", ","")&amp;"opciones A-D","")</x:f>
      </x:c>
      <x:c r="X86" t="str">
        <x:f>IF(AND($A86="Respuesta A/B/Ambas/Ninguna",COUNTIF($H86:$H86,"?*")&gt;0),IF(COUNTIF($M86:$W86,"?*")&gt;0,", ","")&amp;"opcion E deshabilitada","")</x:f>
      </x:c>
      <x:c r="Y86" t="str">
        <x:f>IF(AND($A86="Respuesta A/B/Ambas/Ninguna",TRIM($I86)&lt;&gt;"",NOT(OR(LEFT(TRIM($I86),1)="A",LEFT(TRIM($I86),1)="B",LEFT(TRIM($I86),1)="C",LEFT(TRIM($I86),1)="D"))),IF(COUNTIF($M86:$X86,"?*")&gt;0,", ","")&amp;"respuesta A-D","")</x:f>
      </x:c>
      <x:c r="Z86" t="str">
        <x:f>IF(AND($A86="Verdadero o Falso Complejas",OR(LEN(TRIM(SUBSTITUTE($D86,"1.","")))=0,LEN(TRIM(SUBSTITUTE($E86,"2.","")))=0,LEN(TRIM(SUBSTITUTE($F86,"3.","")))=0,LEN(TRIM(SUBSTITUTE($G86,"4.","")))=0)),IF(COUNTIF($M86:$Y86,"?*")&gt;0,", ","")&amp;"incisos 1-4","")</x:f>
      </x:c>
      <x:c r="AA86" t="str">
        <x:f>IF(AND($A86="Verdadero o Falso Complejas",COUNTIF($H86:$H86,"?*")&gt;0),IF(COUNTIF($M86:$Z86,"?*")&gt;0,", ","")&amp;"opcion E deshabilitada","")</x:f>
      </x:c>
      <x:c r="AB86" t="str">
        <x:f>IF(AND($A86="Verdadero o Falso Complejas",TRIM($I86)&lt;&gt;"",NOT(OR(LEFT(TRIM($I86),1)="A",LEFT(TRIM($I86),1)="B",LEFT(TRIM($I86),1)="C",LEFT(TRIM($I86),1)="D",LEFT(TRIM($I86),1)="E"))),IF(COUNTIF($M86:$AA86,"?*")&gt;0,", ","")&amp;"respuesta A-E","")</x:f>
      </x:c>
      <x:c r="AC86" t="str">
        <x:f>IF(AND(OR($A86="Selección de la mejor respuesta",$A86="Subítem de caso o problema"),COUNTIF($D86:$H86,"?*")&lt;5),IF(COUNTIF($M86:$AB86,"?*")&gt;0,", ","")&amp;"incisos A-E","")</x:f>
      </x:c>
      <x:c r="AD86" t="str">
        <x:f>IF(AND(OR($A86="Selección de la mejor respuesta",$A86="Subítem de caso o problema"),TRIM($I86)&lt;&gt;"",NOT(OR(LEFT(TRIM($I86),1)="A",LEFT(TRIM($I86),1)="B",LEFT(TRIM($I86),1)="C",LEFT(TRIM($I86),1)="D",LEFT(TRIM($I86),1)="E"))),IF(COUNTIF($M86:$AC86,"?*")&gt;0,", ","")&amp;"respuesta A-E","")</x:f>
      </x:c>
      <x:c r="AE86" t="str">
        <x:f>IF(AND(OR($A86="Ítems agrupados por caso clínico o problema",$A86="Opción de Emparejamiento Ampliado"),COUNTIF($D86:$H86,"?*")&gt;0),IF(COUNTIF($M86:$AD86,"?*")&gt;0,", ","")&amp;"sin incisos","")</x:f>
      </x:c>
      <x:c r="AF86" t="str">
        <x:f>IF(AND($A86="Emparejamiento Ampliado",COUNTIF($D86:$H86,"?*")&lt;2),IF(COUNTIF($M86:$AE86,"?*")&gt;0,", ","")&amp;"minimo 2 claves","")</x:f>
      </x:c>
      <x:c r="AG86" t="str">
        <x:f>IF(AND($A86="Opción de Emparejamiento Ampliado",NOT(OR(LEFT(TRIM($I86),1)="A",LEFT(TRIM($I86),1)="B",LEFT(TRIM($I86),1)="C",LEFT(TRIM($I86),1)="D",LEFT(TRIM($I86),1)="E"))),IF(COUNTIF($M86:$AF86,"?*")&gt;0,", ","")&amp;"respuesta A-E","")</x:f>
      </x:c>
      <x:c r="AK86" s="29" t="str"/>
    </x:row>
    <x:row r="87" ht="24" customHeight="1">
      <x:c r="A87" s="11" t="s">
        <x:v>2</x:v>
      </x:c>
      <x:c r="B87" s="11" t="s">
        <x:v>2</x:v>
      </x:c>
      <x:c r="C87" s="12" t="str">
        <x:f>IF($A87="Emparejamiento Ampliado",VALIDACIONES!$I$1,IF($A87="Respuesta A/B/Ambas/Ninguna","I. "&amp;CHAR(10)&amp;"II. ",""))</x:f>
      </x:c>
      <x:c r="D87" s="11" t="str">
        <x:f>IF($A87="Verdadero o Falso Simple","Verdadero",IF($A87="Respuesta A/B/Ambas/Ninguna","A. Si la primera es verdadera",""))</x:f>
      </x:c>
      <x:c r="E87" s="11" t="str">
        <x:f>IF($A87="Verdadero o Falso Simple","Falso",IF($A87="Respuesta A/B/Ambas/Ninguna","B. Si la segunda es verdadera",""))</x:f>
      </x:c>
      <x:c r="F87" s="11" t="str">
        <x:f>IF($A87="Respuesta A/B/Ambas/Ninguna","C. Si ambas son verdaderas","")</x:f>
      </x:c>
      <x:c r="G87" s="11" t="str">
        <x:f>IF($A87="Respuesta A/B/Ambas/Ninguna","D. Si ninguna es verdadera","")</x:f>
      </x:c>
      <x:c r="H87" s="11" t="s">
        <x:v>2</x:v>
      </x:c>
      <x:c r="I87" s="11" t="str">
        <x:f>IF($A87="Verdadero o Falso Simple","A","")</x:f>
      </x:c>
      <x:c r="J87" s="11" t="s">
        <x:v>2</x:v>
      </x:c>
      <x:c r="K87" s="11" t="s">
        <x:v>4</x:v>
      </x:c>
      <x:c r="L87" s="13" t="str">
        <x:f>IF(TRIM($A87)="","",IF(COUNTIF($M87:$AG87,"?*")=0,"OK","Falta revisar: "&amp;$M87&amp;$N87&amp;$O87&amp;$P87&amp;$Q87&amp;$R87&amp;$S87&amp;$T87&amp;$U87&amp;$V87&amp;$W87&amp;$X87&amp;$Y87&amp;$Z87&amp;$AA87&amp;$AB87&amp;$AC87&amp;$AD87&amp;$AE87&amp;$AF87&amp;$AG87))</x:f>
        <x:v>OK</x:v>
      </x:c>
      <x:c r="M87" t="str">
        <x:f>IF(TRIM($C87)="","enunciado","")</x:f>
        <x:v>enunciado</x:v>
      </x:c>
      <x:c r="N87" t="str">
        <x:f>IF(TRIM($K87)="",IF(COUNTIF($M87:$M87,"?*")&gt;0,", ","")&amp;"parcial","")</x:f>
      </x:c>
      <x:c r="O87" t="str">
        <x:f>IF(AND(TRIM($K87)&lt;&gt;"",TRIM($K87)&lt;&gt;"EF"),IF(COUNTIF($M87:$N87,"?*")&gt;0,", ","")&amp;"parcial distinto a EF","")</x:f>
      </x:c>
      <x:c r="P87" t="str">
        <x:f>IF(AND(OR($A87="Ítems agrupados por caso clínico o problema",$A87="Subítem de caso o problema",$A87="Emparejamiento Ampliado",$A87="Opción de Emparejamiento Ampliado"),TRIM($B87)=""),IF(COUNTIF($M87:$O87,"?*")&gt;0,", ","")&amp;"grupo","")</x:f>
      </x:c>
      <x:c r="Q87" t="str">
        <x:f>IF(AND(OR($A87="Verdadero o Falso Simple",$A87="Respuesta A/B/Ambas/Ninguna",$A87="Verdadero o Falso Complejas",$A87="Selección de la mejor respuesta",$A87="Subítem de caso o problema",$A87="Opción de Emparejamiento Ampliado"),TRIM($I87)=""),IF(COUNTIF($M87:$P87,"?*")&gt;0,", ","")&amp;"respuesta_correcta","")</x:f>
      </x:c>
      <x:c r="R87" t="str">
        <x:f>IF(AND(OR($A87="Verdadero o Falso Simple",$A87="Respuesta A/B/Ambas/Ninguna",$A87="Verdadero o Falso Complejas",$A87="Selección de la mejor respuesta",$A87="Subítem de caso o problema",$A87="Opción de Emparejamiento Ampliado"),TRIM($J87)=""),IF(COUNTIF($M87:$Q87,"?*")&gt;0,", ","")&amp;"dificultad","")</x:f>
      </x:c>
      <x:c r="S87" t="str">
        <x:f>IF(AND(OR($A87="Ítems agrupados por caso clínico o problema",$A87="Emparejamiento Ampliado"),TRIM($I87)&lt;&gt;""),IF(COUNTIF($M87:$R87,"?*")&gt;0,", ","")&amp;"respuesta debe ir vacia","")</x:f>
      </x:c>
      <x:c r="T87" t="str">
        <x:f>IF(AND(OR($A87="Ítems agrupados por caso clínico o problema",$A87="Emparejamiento Ampliado"),TRIM($J87)&lt;&gt;""),IF(COUNTIF($M87:$S87,"?*")&gt;0,", ","")&amp;"dificultad debe ir vacia","")</x:f>
      </x:c>
      <x:c r="U87" t="str">
        <x:f>IF(AND($A87="Verdadero o Falso Simple",OR(COUNTIF($D87:$E87,"?*")&lt;2,COUNTIF($F87:$H87,"?*")&gt;0)),IF(COUNTIF($M87:$T87,"?*")&gt;0,", ","")&amp;"incisos A-B","")</x:f>
      </x:c>
      <x:c r="V87" t="str">
        <x:f>IF(AND($A87="Verdadero o Falso Simple",TRIM($I87)&lt;&gt;"",NOT(OR(LEFT(TRIM($I87),1)="A",LEFT(TRIM($I87),1)="B"))),IF(COUNTIF($M87:$U87,"?*")&gt;0,", ","")&amp;"respuesta A-B","")</x:f>
      </x:c>
      <x:c r="W87" t="str">
        <x:f>IF(AND($A87="Respuesta A/B/Ambas/Ninguna",COUNTIF($D87:$G87,"?*")&lt;4),IF(COUNTIF($M87:$V87,"?*")&gt;0,", ","")&amp;"opciones A-D","")</x:f>
      </x:c>
      <x:c r="X87" t="str">
        <x:f>IF(AND($A87="Respuesta A/B/Ambas/Ninguna",COUNTIF($H87:$H87,"?*")&gt;0),IF(COUNTIF($M87:$W87,"?*")&gt;0,", ","")&amp;"opcion E deshabilitada","")</x:f>
      </x:c>
      <x:c r="Y87" t="str">
        <x:f>IF(AND($A87="Respuesta A/B/Ambas/Ninguna",TRIM($I87)&lt;&gt;"",NOT(OR(LEFT(TRIM($I87),1)="A",LEFT(TRIM($I87),1)="B",LEFT(TRIM($I87),1)="C",LEFT(TRIM($I87),1)="D"))),IF(COUNTIF($M87:$X87,"?*")&gt;0,", ","")&amp;"respuesta A-D","")</x:f>
      </x:c>
      <x:c r="Z87" t="str">
        <x:f>IF(AND($A87="Verdadero o Falso Complejas",OR(LEN(TRIM(SUBSTITUTE($D87,"1.","")))=0,LEN(TRIM(SUBSTITUTE($E87,"2.","")))=0,LEN(TRIM(SUBSTITUTE($F87,"3.","")))=0,LEN(TRIM(SUBSTITUTE($G87,"4.","")))=0)),IF(COUNTIF($M87:$Y87,"?*")&gt;0,", ","")&amp;"incisos 1-4","")</x:f>
      </x:c>
      <x:c r="AA87" t="str">
        <x:f>IF(AND($A87="Verdadero o Falso Complejas",COUNTIF($H87:$H87,"?*")&gt;0),IF(COUNTIF($M87:$Z87,"?*")&gt;0,", ","")&amp;"opcion E deshabilitada","")</x:f>
      </x:c>
      <x:c r="AB87" t="str">
        <x:f>IF(AND($A87="Verdadero o Falso Complejas",TRIM($I87)&lt;&gt;"",NOT(OR(LEFT(TRIM($I87),1)="A",LEFT(TRIM($I87),1)="B",LEFT(TRIM($I87),1)="C",LEFT(TRIM($I87),1)="D",LEFT(TRIM($I87),1)="E"))),IF(COUNTIF($M87:$AA87,"?*")&gt;0,", ","")&amp;"respuesta A-E","")</x:f>
      </x:c>
      <x:c r="AC87" t="str">
        <x:f>IF(AND(OR($A87="Selección de la mejor respuesta",$A87="Subítem de caso o problema"),COUNTIF($D87:$H87,"?*")&lt;5),IF(COUNTIF($M87:$AB87,"?*")&gt;0,", ","")&amp;"incisos A-E","")</x:f>
      </x:c>
      <x:c r="AD87" t="str">
        <x:f>IF(AND(OR($A87="Selección de la mejor respuesta",$A87="Subítem de caso o problema"),TRIM($I87)&lt;&gt;"",NOT(OR(LEFT(TRIM($I87),1)="A",LEFT(TRIM($I87),1)="B",LEFT(TRIM($I87),1)="C",LEFT(TRIM($I87),1)="D",LEFT(TRIM($I87),1)="E"))),IF(COUNTIF($M87:$AC87,"?*")&gt;0,", ","")&amp;"respuesta A-E","")</x:f>
      </x:c>
      <x:c r="AE87" t="str">
        <x:f>IF(AND(OR($A87="Ítems agrupados por caso clínico o problema",$A87="Opción de Emparejamiento Ampliado"),COUNTIF($D87:$H87,"?*")&gt;0),IF(COUNTIF($M87:$AD87,"?*")&gt;0,", ","")&amp;"sin incisos","")</x:f>
      </x:c>
      <x:c r="AF87" t="str">
        <x:f>IF(AND($A87="Emparejamiento Ampliado",COUNTIF($D87:$H87,"?*")&lt;2),IF(COUNTIF($M87:$AE87,"?*")&gt;0,", ","")&amp;"minimo 2 claves","")</x:f>
      </x:c>
      <x:c r="AG87" t="str">
        <x:f>IF(AND($A87="Opción de Emparejamiento Ampliado",NOT(OR(LEFT(TRIM($I87),1)="A",LEFT(TRIM($I87),1)="B",LEFT(TRIM($I87),1)="C",LEFT(TRIM($I87),1)="D",LEFT(TRIM($I87),1)="E"))),IF(COUNTIF($M87:$AF87,"?*")&gt;0,", ","")&amp;"respuesta A-E","")</x:f>
      </x:c>
      <x:c r="AK87" s="29" t="str"/>
    </x:row>
    <x:row r="88" ht="24" customHeight="1">
      <x:c r="A88" s="11" t="s">
        <x:v>2</x:v>
      </x:c>
      <x:c r="B88" s="11" t="s">
        <x:v>2</x:v>
      </x:c>
      <x:c r="C88" s="12" t="str">
        <x:f>IF($A88="Emparejamiento Ampliado",VALIDACIONES!$I$1,IF($A88="Respuesta A/B/Ambas/Ninguna","I. "&amp;CHAR(10)&amp;"II. ",""))</x:f>
      </x:c>
      <x:c r="D88" s="11" t="str">
        <x:f>IF($A88="Verdadero o Falso Simple","Verdadero",IF($A88="Respuesta A/B/Ambas/Ninguna","A. Si la primera es verdadera",""))</x:f>
      </x:c>
      <x:c r="E88" s="11" t="str">
        <x:f>IF($A88="Verdadero o Falso Simple","Falso",IF($A88="Respuesta A/B/Ambas/Ninguna","B. Si la segunda es verdadera",""))</x:f>
      </x:c>
      <x:c r="F88" s="11" t="str">
        <x:f>IF($A88="Respuesta A/B/Ambas/Ninguna","C. Si ambas son verdaderas","")</x:f>
      </x:c>
      <x:c r="G88" s="11" t="str">
        <x:f>IF($A88="Respuesta A/B/Ambas/Ninguna","D. Si ninguna es verdadera","")</x:f>
      </x:c>
      <x:c r="H88" s="11" t="s">
        <x:v>2</x:v>
      </x:c>
      <x:c r="I88" s="11" t="str">
        <x:f>IF($A88="Verdadero o Falso Simple","A","")</x:f>
      </x:c>
      <x:c r="J88" s="11" t="s">
        <x:v>2</x:v>
      </x:c>
      <x:c r="K88" s="11" t="s">
        <x:v>4</x:v>
      </x:c>
      <x:c r="L88" s="13" t="str">
        <x:f>IF(TRIM($A88)="","",IF(COUNTIF($M88:$AG88,"?*")=0,"OK","Falta revisar: "&amp;$M88&amp;$N88&amp;$O88&amp;$P88&amp;$Q88&amp;$R88&amp;$S88&amp;$T88&amp;$U88&amp;$V88&amp;$W88&amp;$X88&amp;$Y88&amp;$Z88&amp;$AA88&amp;$AB88&amp;$AC88&amp;$AD88&amp;$AE88&amp;$AF88&amp;$AG88))</x:f>
        <x:v>OK</x:v>
      </x:c>
      <x:c r="M88" t="str">
        <x:f>IF(TRIM($C88)="","enunciado","")</x:f>
        <x:v>enunciado</x:v>
      </x:c>
      <x:c r="N88" t="str">
        <x:f>IF(TRIM($K88)="",IF(COUNTIF($M88:$M88,"?*")&gt;0,", ","")&amp;"parcial","")</x:f>
      </x:c>
      <x:c r="O88" t="str">
        <x:f>IF(AND(TRIM($K88)&lt;&gt;"",TRIM($K88)&lt;&gt;"EF"),IF(COUNTIF($M88:$N88,"?*")&gt;0,", ","")&amp;"parcial distinto a EF","")</x:f>
      </x:c>
      <x:c r="P88" t="str">
        <x:f>IF(AND(OR($A88="Ítems agrupados por caso clínico o problema",$A88="Subítem de caso o problema",$A88="Emparejamiento Ampliado",$A88="Opción de Emparejamiento Ampliado"),TRIM($B88)=""),IF(COUNTIF($M88:$O88,"?*")&gt;0,", ","")&amp;"grupo","")</x:f>
      </x:c>
      <x:c r="Q88" t="str">
        <x:f>IF(AND(OR($A88="Verdadero o Falso Simple",$A88="Respuesta A/B/Ambas/Ninguna",$A88="Verdadero o Falso Complejas",$A88="Selección de la mejor respuesta",$A88="Subítem de caso o problema",$A88="Opción de Emparejamiento Ampliado"),TRIM($I88)=""),IF(COUNTIF($M88:$P88,"?*")&gt;0,", ","")&amp;"respuesta_correcta","")</x:f>
      </x:c>
      <x:c r="R88" t="str">
        <x:f>IF(AND(OR($A88="Verdadero o Falso Simple",$A88="Respuesta A/B/Ambas/Ninguna",$A88="Verdadero o Falso Complejas",$A88="Selección de la mejor respuesta",$A88="Subítem de caso o problema",$A88="Opción de Emparejamiento Ampliado"),TRIM($J88)=""),IF(COUNTIF($M88:$Q88,"?*")&gt;0,", ","")&amp;"dificultad","")</x:f>
      </x:c>
      <x:c r="S88" t="str">
        <x:f>IF(AND(OR($A88="Ítems agrupados por caso clínico o problema",$A88="Emparejamiento Ampliado"),TRIM($I88)&lt;&gt;""),IF(COUNTIF($M88:$R88,"?*")&gt;0,", ","")&amp;"respuesta debe ir vacia","")</x:f>
      </x:c>
      <x:c r="T88" t="str">
        <x:f>IF(AND(OR($A88="Ítems agrupados por caso clínico o problema",$A88="Emparejamiento Ampliado"),TRIM($J88)&lt;&gt;""),IF(COUNTIF($M88:$S88,"?*")&gt;0,", ","")&amp;"dificultad debe ir vacia","")</x:f>
      </x:c>
      <x:c r="U88" t="str">
        <x:f>IF(AND($A88="Verdadero o Falso Simple",OR(COUNTIF($D88:$E88,"?*")&lt;2,COUNTIF($F88:$H88,"?*")&gt;0)),IF(COUNTIF($M88:$T88,"?*")&gt;0,", ","")&amp;"incisos A-B","")</x:f>
      </x:c>
      <x:c r="V88" t="str">
        <x:f>IF(AND($A88="Verdadero o Falso Simple",TRIM($I88)&lt;&gt;"",NOT(OR(LEFT(TRIM($I88),1)="A",LEFT(TRIM($I88),1)="B"))),IF(COUNTIF($M88:$U88,"?*")&gt;0,", ","")&amp;"respuesta A-B","")</x:f>
      </x:c>
      <x:c r="W88" t="str">
        <x:f>IF(AND($A88="Respuesta A/B/Ambas/Ninguna",COUNTIF($D88:$G88,"?*")&lt;4),IF(COUNTIF($M88:$V88,"?*")&gt;0,", ","")&amp;"opciones A-D","")</x:f>
      </x:c>
      <x:c r="X88" t="str">
        <x:f>IF(AND($A88="Respuesta A/B/Ambas/Ninguna",COUNTIF($H88:$H88,"?*")&gt;0),IF(COUNTIF($M88:$W88,"?*")&gt;0,", ","")&amp;"opcion E deshabilitada","")</x:f>
      </x:c>
      <x:c r="Y88" t="str">
        <x:f>IF(AND($A88="Respuesta A/B/Ambas/Ninguna",TRIM($I88)&lt;&gt;"",NOT(OR(LEFT(TRIM($I88),1)="A",LEFT(TRIM($I88),1)="B",LEFT(TRIM($I88),1)="C",LEFT(TRIM($I88),1)="D"))),IF(COUNTIF($M88:$X88,"?*")&gt;0,", ","")&amp;"respuesta A-D","")</x:f>
      </x:c>
      <x:c r="Z88" t="str">
        <x:f>IF(AND($A88="Verdadero o Falso Complejas",OR(LEN(TRIM(SUBSTITUTE($D88,"1.","")))=0,LEN(TRIM(SUBSTITUTE($E88,"2.","")))=0,LEN(TRIM(SUBSTITUTE($F88,"3.","")))=0,LEN(TRIM(SUBSTITUTE($G88,"4.","")))=0)),IF(COUNTIF($M88:$Y88,"?*")&gt;0,", ","")&amp;"incisos 1-4","")</x:f>
      </x:c>
      <x:c r="AA88" t="str">
        <x:f>IF(AND($A88="Verdadero o Falso Complejas",COUNTIF($H88:$H88,"?*")&gt;0),IF(COUNTIF($M88:$Z88,"?*")&gt;0,", ","")&amp;"opcion E deshabilitada","")</x:f>
      </x:c>
      <x:c r="AB88" t="str">
        <x:f>IF(AND($A88="Verdadero o Falso Complejas",TRIM($I88)&lt;&gt;"",NOT(OR(LEFT(TRIM($I88),1)="A",LEFT(TRIM($I88),1)="B",LEFT(TRIM($I88),1)="C",LEFT(TRIM($I88),1)="D",LEFT(TRIM($I88),1)="E"))),IF(COUNTIF($M88:$AA88,"?*")&gt;0,", ","")&amp;"respuesta A-E","")</x:f>
      </x:c>
      <x:c r="AC88" t="str">
        <x:f>IF(AND(OR($A88="Selección de la mejor respuesta",$A88="Subítem de caso o problema"),COUNTIF($D88:$H88,"?*")&lt;5),IF(COUNTIF($M88:$AB88,"?*")&gt;0,", ","")&amp;"incisos A-E","")</x:f>
      </x:c>
      <x:c r="AD88" t="str">
        <x:f>IF(AND(OR($A88="Selección de la mejor respuesta",$A88="Subítem de caso o problema"),TRIM($I88)&lt;&gt;"",NOT(OR(LEFT(TRIM($I88),1)="A",LEFT(TRIM($I88),1)="B",LEFT(TRIM($I88),1)="C",LEFT(TRIM($I88),1)="D",LEFT(TRIM($I88),1)="E"))),IF(COUNTIF($M88:$AC88,"?*")&gt;0,", ","")&amp;"respuesta A-E","")</x:f>
      </x:c>
      <x:c r="AE88" t="str">
        <x:f>IF(AND(OR($A88="Ítems agrupados por caso clínico o problema",$A88="Opción de Emparejamiento Ampliado"),COUNTIF($D88:$H88,"?*")&gt;0),IF(COUNTIF($M88:$AD88,"?*")&gt;0,", ","")&amp;"sin incisos","")</x:f>
      </x:c>
      <x:c r="AF88" t="str">
        <x:f>IF(AND($A88="Emparejamiento Ampliado",COUNTIF($D88:$H88,"?*")&lt;2),IF(COUNTIF($M88:$AE88,"?*")&gt;0,", ","")&amp;"minimo 2 claves","")</x:f>
      </x:c>
      <x:c r="AG88" t="str">
        <x:f>IF(AND($A88="Opción de Emparejamiento Ampliado",NOT(OR(LEFT(TRIM($I88),1)="A",LEFT(TRIM($I88),1)="B",LEFT(TRIM($I88),1)="C",LEFT(TRIM($I88),1)="D",LEFT(TRIM($I88),1)="E"))),IF(COUNTIF($M88:$AF88,"?*")&gt;0,", ","")&amp;"respuesta A-E","")</x:f>
      </x:c>
      <x:c r="AK88" s="29" t="str"/>
    </x:row>
    <x:row r="89" ht="24" customHeight="1">
      <x:c r="A89" s="11" t="s">
        <x:v>2</x:v>
      </x:c>
      <x:c r="B89" s="11" t="s">
        <x:v>2</x:v>
      </x:c>
      <x:c r="C89" s="12" t="str">
        <x:f>IF($A89="Emparejamiento Ampliado",VALIDACIONES!$I$1,IF($A89="Respuesta A/B/Ambas/Ninguna","I. "&amp;CHAR(10)&amp;"II. ",""))</x:f>
      </x:c>
      <x:c r="D89" s="11" t="str">
        <x:f>IF($A89="Verdadero o Falso Simple","Verdadero",IF($A89="Respuesta A/B/Ambas/Ninguna","A. Si la primera es verdadera",""))</x:f>
      </x:c>
      <x:c r="E89" s="11" t="str">
        <x:f>IF($A89="Verdadero o Falso Simple","Falso",IF($A89="Respuesta A/B/Ambas/Ninguna","B. Si la segunda es verdadera",""))</x:f>
      </x:c>
      <x:c r="F89" s="11" t="str">
        <x:f>IF($A89="Respuesta A/B/Ambas/Ninguna","C. Si ambas son verdaderas","")</x:f>
      </x:c>
      <x:c r="G89" s="11" t="str">
        <x:f>IF($A89="Respuesta A/B/Ambas/Ninguna","D. Si ninguna es verdadera","")</x:f>
      </x:c>
      <x:c r="H89" s="11" t="s">
        <x:v>2</x:v>
      </x:c>
      <x:c r="I89" s="11" t="str">
        <x:f>IF($A89="Verdadero o Falso Simple","A","")</x:f>
      </x:c>
      <x:c r="J89" s="11" t="s">
        <x:v>2</x:v>
      </x:c>
      <x:c r="K89" s="11" t="s">
        <x:v>4</x:v>
      </x:c>
      <x:c r="L89" s="13" t="str">
        <x:f>IF(TRIM($A89)="","",IF(COUNTIF($M89:$AG89,"?*")=0,"OK","Falta revisar: "&amp;$M89&amp;$N89&amp;$O89&amp;$P89&amp;$Q89&amp;$R89&amp;$S89&amp;$T89&amp;$U89&amp;$V89&amp;$W89&amp;$X89&amp;$Y89&amp;$Z89&amp;$AA89&amp;$AB89&amp;$AC89&amp;$AD89&amp;$AE89&amp;$AF89&amp;$AG89))</x:f>
        <x:v>OK</x:v>
      </x:c>
      <x:c r="M89" t="str">
        <x:f>IF(TRIM($C89)="","enunciado","")</x:f>
        <x:v>enunciado</x:v>
      </x:c>
      <x:c r="N89" t="str">
        <x:f>IF(TRIM($K89)="",IF(COUNTIF($M89:$M89,"?*")&gt;0,", ","")&amp;"parcial","")</x:f>
      </x:c>
      <x:c r="O89" t="str">
        <x:f>IF(AND(TRIM($K89)&lt;&gt;"",TRIM($K89)&lt;&gt;"EF"),IF(COUNTIF($M89:$N89,"?*")&gt;0,", ","")&amp;"parcial distinto a EF","")</x:f>
      </x:c>
      <x:c r="P89" t="str">
        <x:f>IF(AND(OR($A89="Ítems agrupados por caso clínico o problema",$A89="Subítem de caso o problema",$A89="Emparejamiento Ampliado",$A89="Opción de Emparejamiento Ampliado"),TRIM($B89)=""),IF(COUNTIF($M89:$O89,"?*")&gt;0,", ","")&amp;"grupo","")</x:f>
      </x:c>
      <x:c r="Q89" t="str">
        <x:f>IF(AND(OR($A89="Verdadero o Falso Simple",$A89="Respuesta A/B/Ambas/Ninguna",$A89="Verdadero o Falso Complejas",$A89="Selección de la mejor respuesta",$A89="Subítem de caso o problema",$A89="Opción de Emparejamiento Ampliado"),TRIM($I89)=""),IF(COUNTIF($M89:$P89,"?*")&gt;0,", ","")&amp;"respuesta_correcta","")</x:f>
      </x:c>
      <x:c r="R89" t="str">
        <x:f>IF(AND(OR($A89="Verdadero o Falso Simple",$A89="Respuesta A/B/Ambas/Ninguna",$A89="Verdadero o Falso Complejas",$A89="Selección de la mejor respuesta",$A89="Subítem de caso o problema",$A89="Opción de Emparejamiento Ampliado"),TRIM($J89)=""),IF(COUNTIF($M89:$Q89,"?*")&gt;0,", ","")&amp;"dificultad","")</x:f>
      </x:c>
      <x:c r="S89" t="str">
        <x:f>IF(AND(OR($A89="Ítems agrupados por caso clínico o problema",$A89="Emparejamiento Ampliado"),TRIM($I89)&lt;&gt;""),IF(COUNTIF($M89:$R89,"?*")&gt;0,", ","")&amp;"respuesta debe ir vacia","")</x:f>
      </x:c>
      <x:c r="T89" t="str">
        <x:f>IF(AND(OR($A89="Ítems agrupados por caso clínico o problema",$A89="Emparejamiento Ampliado"),TRIM($J89)&lt;&gt;""),IF(COUNTIF($M89:$S89,"?*")&gt;0,", ","")&amp;"dificultad debe ir vacia","")</x:f>
      </x:c>
      <x:c r="U89" t="str">
        <x:f>IF(AND($A89="Verdadero o Falso Simple",OR(COUNTIF($D89:$E89,"?*")&lt;2,COUNTIF($F89:$H89,"?*")&gt;0)),IF(COUNTIF($M89:$T89,"?*")&gt;0,", ","")&amp;"incisos A-B","")</x:f>
      </x:c>
      <x:c r="V89" t="str">
        <x:f>IF(AND($A89="Verdadero o Falso Simple",TRIM($I89)&lt;&gt;"",NOT(OR(LEFT(TRIM($I89),1)="A",LEFT(TRIM($I89),1)="B"))),IF(COUNTIF($M89:$U89,"?*")&gt;0,", ","")&amp;"respuesta A-B","")</x:f>
      </x:c>
      <x:c r="W89" t="str">
        <x:f>IF(AND($A89="Respuesta A/B/Ambas/Ninguna",COUNTIF($D89:$G89,"?*")&lt;4),IF(COUNTIF($M89:$V89,"?*")&gt;0,", ","")&amp;"opciones A-D","")</x:f>
      </x:c>
      <x:c r="X89" t="str">
        <x:f>IF(AND($A89="Respuesta A/B/Ambas/Ninguna",COUNTIF($H89:$H89,"?*")&gt;0),IF(COUNTIF($M89:$W89,"?*")&gt;0,", ","")&amp;"opcion E deshabilitada","")</x:f>
      </x:c>
      <x:c r="Y89" t="str">
        <x:f>IF(AND($A89="Respuesta A/B/Ambas/Ninguna",TRIM($I89)&lt;&gt;"",NOT(OR(LEFT(TRIM($I89),1)="A",LEFT(TRIM($I89),1)="B",LEFT(TRIM($I89),1)="C",LEFT(TRIM($I89),1)="D"))),IF(COUNTIF($M89:$X89,"?*")&gt;0,", ","")&amp;"respuesta A-D","")</x:f>
      </x:c>
      <x:c r="Z89" t="str">
        <x:f>IF(AND($A89="Verdadero o Falso Complejas",OR(LEN(TRIM(SUBSTITUTE($D89,"1.","")))=0,LEN(TRIM(SUBSTITUTE($E89,"2.","")))=0,LEN(TRIM(SUBSTITUTE($F89,"3.","")))=0,LEN(TRIM(SUBSTITUTE($G89,"4.","")))=0)),IF(COUNTIF($M89:$Y89,"?*")&gt;0,", ","")&amp;"incisos 1-4","")</x:f>
      </x:c>
      <x:c r="AA89" t="str">
        <x:f>IF(AND($A89="Verdadero o Falso Complejas",COUNTIF($H89:$H89,"?*")&gt;0),IF(COUNTIF($M89:$Z89,"?*")&gt;0,", ","")&amp;"opcion E deshabilitada","")</x:f>
      </x:c>
      <x:c r="AB89" t="str">
        <x:f>IF(AND($A89="Verdadero o Falso Complejas",TRIM($I89)&lt;&gt;"",NOT(OR(LEFT(TRIM($I89),1)="A",LEFT(TRIM($I89),1)="B",LEFT(TRIM($I89),1)="C",LEFT(TRIM($I89),1)="D",LEFT(TRIM($I89),1)="E"))),IF(COUNTIF($M89:$AA89,"?*")&gt;0,", ","")&amp;"respuesta A-E","")</x:f>
      </x:c>
      <x:c r="AC89" t="str">
        <x:f>IF(AND(OR($A89="Selección de la mejor respuesta",$A89="Subítem de caso o problema"),COUNTIF($D89:$H89,"?*")&lt;5),IF(COUNTIF($M89:$AB89,"?*")&gt;0,", ","")&amp;"incisos A-E","")</x:f>
      </x:c>
      <x:c r="AD89" t="str">
        <x:f>IF(AND(OR($A89="Selección de la mejor respuesta",$A89="Subítem de caso o problema"),TRIM($I89)&lt;&gt;"",NOT(OR(LEFT(TRIM($I89),1)="A",LEFT(TRIM($I89),1)="B",LEFT(TRIM($I89),1)="C",LEFT(TRIM($I89),1)="D",LEFT(TRIM($I89),1)="E"))),IF(COUNTIF($M89:$AC89,"?*")&gt;0,", ","")&amp;"respuesta A-E","")</x:f>
      </x:c>
      <x:c r="AE89" t="str">
        <x:f>IF(AND(OR($A89="Ítems agrupados por caso clínico o problema",$A89="Opción de Emparejamiento Ampliado"),COUNTIF($D89:$H89,"?*")&gt;0),IF(COUNTIF($M89:$AD89,"?*")&gt;0,", ","")&amp;"sin incisos","")</x:f>
      </x:c>
      <x:c r="AF89" t="str">
        <x:f>IF(AND($A89="Emparejamiento Ampliado",COUNTIF($D89:$H89,"?*")&lt;2),IF(COUNTIF($M89:$AE89,"?*")&gt;0,", ","")&amp;"minimo 2 claves","")</x:f>
      </x:c>
      <x:c r="AG89" t="str">
        <x:f>IF(AND($A89="Opción de Emparejamiento Ampliado",NOT(OR(LEFT(TRIM($I89),1)="A",LEFT(TRIM($I89),1)="B",LEFT(TRIM($I89),1)="C",LEFT(TRIM($I89),1)="D",LEFT(TRIM($I89),1)="E"))),IF(COUNTIF($M89:$AF89,"?*")&gt;0,", ","")&amp;"respuesta A-E","")</x:f>
      </x:c>
      <x:c r="AK89" s="29" t="str"/>
    </x:row>
    <x:row r="90" ht="24" customHeight="1">
      <x:c r="A90" s="11" t="s">
        <x:v>2</x:v>
      </x:c>
      <x:c r="B90" s="11" t="s">
        <x:v>2</x:v>
      </x:c>
      <x:c r="C90" s="12" t="str">
        <x:f>IF($A90="Emparejamiento Ampliado",VALIDACIONES!$I$1,IF($A90="Respuesta A/B/Ambas/Ninguna","I. "&amp;CHAR(10)&amp;"II. ",""))</x:f>
      </x:c>
      <x:c r="D90" s="11" t="str">
        <x:f>IF($A90="Verdadero o Falso Simple","Verdadero",IF($A90="Respuesta A/B/Ambas/Ninguna","A. Si la primera es verdadera",""))</x:f>
      </x:c>
      <x:c r="E90" s="11" t="str">
        <x:f>IF($A90="Verdadero o Falso Simple","Falso",IF($A90="Respuesta A/B/Ambas/Ninguna","B. Si la segunda es verdadera",""))</x:f>
      </x:c>
      <x:c r="F90" s="11" t="str">
        <x:f>IF($A90="Respuesta A/B/Ambas/Ninguna","C. Si ambas son verdaderas","")</x:f>
      </x:c>
      <x:c r="G90" s="11" t="str">
        <x:f>IF($A90="Respuesta A/B/Ambas/Ninguna","D. Si ninguna es verdadera","")</x:f>
      </x:c>
      <x:c r="H90" s="11" t="s">
        <x:v>2</x:v>
      </x:c>
      <x:c r="I90" s="11" t="str">
        <x:f>IF($A90="Verdadero o Falso Simple","A","")</x:f>
      </x:c>
      <x:c r="J90" s="11" t="s">
        <x:v>2</x:v>
      </x:c>
      <x:c r="K90" s="11" t="s">
        <x:v>4</x:v>
      </x:c>
      <x:c r="L90" s="13" t="str">
        <x:f>IF(TRIM($A90)="","",IF(COUNTIF($M90:$AG90,"?*")=0,"OK","Falta revisar: "&amp;$M90&amp;$N90&amp;$O90&amp;$P90&amp;$Q90&amp;$R90&amp;$S90&amp;$T90&amp;$U90&amp;$V90&amp;$W90&amp;$X90&amp;$Y90&amp;$Z90&amp;$AA90&amp;$AB90&amp;$AC90&amp;$AD90&amp;$AE90&amp;$AF90&amp;$AG90))</x:f>
        <x:v>OK</x:v>
      </x:c>
      <x:c r="M90" t="str">
        <x:f>IF(TRIM($C90)="","enunciado","")</x:f>
        <x:v>enunciado</x:v>
      </x:c>
      <x:c r="N90" t="str">
        <x:f>IF(TRIM($K90)="",IF(COUNTIF($M90:$M90,"?*")&gt;0,", ","")&amp;"parcial","")</x:f>
      </x:c>
      <x:c r="O90" t="str">
        <x:f>IF(AND(TRIM($K90)&lt;&gt;"",TRIM($K90)&lt;&gt;"EF"),IF(COUNTIF($M90:$N90,"?*")&gt;0,", ","")&amp;"parcial distinto a EF","")</x:f>
      </x:c>
      <x:c r="P90" t="str">
        <x:f>IF(AND(OR($A90="Ítems agrupados por caso clínico o problema",$A90="Subítem de caso o problema",$A90="Emparejamiento Ampliado",$A90="Opción de Emparejamiento Ampliado"),TRIM($B90)=""),IF(COUNTIF($M90:$O90,"?*")&gt;0,", ","")&amp;"grupo","")</x:f>
      </x:c>
      <x:c r="Q90" t="str">
        <x:f>IF(AND(OR($A90="Verdadero o Falso Simple",$A90="Respuesta A/B/Ambas/Ninguna",$A90="Verdadero o Falso Complejas",$A90="Selección de la mejor respuesta",$A90="Subítem de caso o problema",$A90="Opción de Emparejamiento Ampliado"),TRIM($I90)=""),IF(COUNTIF($M90:$P90,"?*")&gt;0,", ","")&amp;"respuesta_correcta","")</x:f>
      </x:c>
      <x:c r="R90" t="str">
        <x:f>IF(AND(OR($A90="Verdadero o Falso Simple",$A90="Respuesta A/B/Ambas/Ninguna",$A90="Verdadero o Falso Complejas",$A90="Selección de la mejor respuesta",$A90="Subítem de caso o problema",$A90="Opción de Emparejamiento Ampliado"),TRIM($J90)=""),IF(COUNTIF($M90:$Q90,"?*")&gt;0,", ","")&amp;"dificultad","")</x:f>
      </x:c>
      <x:c r="S90" t="str">
        <x:f>IF(AND(OR($A90="Ítems agrupados por caso clínico o problema",$A90="Emparejamiento Ampliado"),TRIM($I90)&lt;&gt;""),IF(COUNTIF($M90:$R90,"?*")&gt;0,", ","")&amp;"respuesta debe ir vacia","")</x:f>
      </x:c>
      <x:c r="T90" t="str">
        <x:f>IF(AND(OR($A90="Ítems agrupados por caso clínico o problema",$A90="Emparejamiento Ampliado"),TRIM($J90)&lt;&gt;""),IF(COUNTIF($M90:$S90,"?*")&gt;0,", ","")&amp;"dificultad debe ir vacia","")</x:f>
      </x:c>
      <x:c r="U90" t="str">
        <x:f>IF(AND($A90="Verdadero o Falso Simple",OR(COUNTIF($D90:$E90,"?*")&lt;2,COUNTIF($F90:$H90,"?*")&gt;0)),IF(COUNTIF($M90:$T90,"?*")&gt;0,", ","")&amp;"incisos A-B","")</x:f>
      </x:c>
      <x:c r="V90" t="str">
        <x:f>IF(AND($A90="Verdadero o Falso Simple",TRIM($I90)&lt;&gt;"",NOT(OR(LEFT(TRIM($I90),1)="A",LEFT(TRIM($I90),1)="B"))),IF(COUNTIF($M90:$U90,"?*")&gt;0,", ","")&amp;"respuesta A-B","")</x:f>
      </x:c>
      <x:c r="W90" t="str">
        <x:f>IF(AND($A90="Respuesta A/B/Ambas/Ninguna",COUNTIF($D90:$G90,"?*")&lt;4),IF(COUNTIF($M90:$V90,"?*")&gt;0,", ","")&amp;"opciones A-D","")</x:f>
      </x:c>
      <x:c r="X90" t="str">
        <x:f>IF(AND($A90="Respuesta A/B/Ambas/Ninguna",COUNTIF($H90:$H90,"?*")&gt;0),IF(COUNTIF($M90:$W90,"?*")&gt;0,", ","")&amp;"opcion E deshabilitada","")</x:f>
      </x:c>
      <x:c r="Y90" t="str">
        <x:f>IF(AND($A90="Respuesta A/B/Ambas/Ninguna",TRIM($I90)&lt;&gt;"",NOT(OR(LEFT(TRIM($I90),1)="A",LEFT(TRIM($I90),1)="B",LEFT(TRIM($I90),1)="C",LEFT(TRIM($I90),1)="D"))),IF(COUNTIF($M90:$X90,"?*")&gt;0,", ","")&amp;"respuesta A-D","")</x:f>
      </x:c>
      <x:c r="Z90" t="str">
        <x:f>IF(AND($A90="Verdadero o Falso Complejas",OR(LEN(TRIM(SUBSTITUTE($D90,"1.","")))=0,LEN(TRIM(SUBSTITUTE($E90,"2.","")))=0,LEN(TRIM(SUBSTITUTE($F90,"3.","")))=0,LEN(TRIM(SUBSTITUTE($G90,"4.","")))=0)),IF(COUNTIF($M90:$Y90,"?*")&gt;0,", ","")&amp;"incisos 1-4","")</x:f>
      </x:c>
      <x:c r="AA90" t="str">
        <x:f>IF(AND($A90="Verdadero o Falso Complejas",COUNTIF($H90:$H90,"?*")&gt;0),IF(COUNTIF($M90:$Z90,"?*")&gt;0,", ","")&amp;"opcion E deshabilitada","")</x:f>
      </x:c>
      <x:c r="AB90" t="str">
        <x:f>IF(AND($A90="Verdadero o Falso Complejas",TRIM($I90)&lt;&gt;"",NOT(OR(LEFT(TRIM($I90),1)="A",LEFT(TRIM($I90),1)="B",LEFT(TRIM($I90),1)="C",LEFT(TRIM($I90),1)="D",LEFT(TRIM($I90),1)="E"))),IF(COUNTIF($M90:$AA90,"?*")&gt;0,", ","")&amp;"respuesta A-E","")</x:f>
      </x:c>
      <x:c r="AC90" t="str">
        <x:f>IF(AND(OR($A90="Selección de la mejor respuesta",$A90="Subítem de caso o problema"),COUNTIF($D90:$H90,"?*")&lt;5),IF(COUNTIF($M90:$AB90,"?*")&gt;0,", ","")&amp;"incisos A-E","")</x:f>
      </x:c>
      <x:c r="AD90" t="str">
        <x:f>IF(AND(OR($A90="Selección de la mejor respuesta",$A90="Subítem de caso o problema"),TRIM($I90)&lt;&gt;"",NOT(OR(LEFT(TRIM($I90),1)="A",LEFT(TRIM($I90),1)="B",LEFT(TRIM($I90),1)="C",LEFT(TRIM($I90),1)="D",LEFT(TRIM($I90),1)="E"))),IF(COUNTIF($M90:$AC90,"?*")&gt;0,", ","")&amp;"respuesta A-E","")</x:f>
      </x:c>
      <x:c r="AE90" t="str">
        <x:f>IF(AND(OR($A90="Ítems agrupados por caso clínico o problema",$A90="Opción de Emparejamiento Ampliado"),COUNTIF($D90:$H90,"?*")&gt;0),IF(COUNTIF($M90:$AD90,"?*")&gt;0,", ","")&amp;"sin incisos","")</x:f>
      </x:c>
      <x:c r="AF90" t="str">
        <x:f>IF(AND($A90="Emparejamiento Ampliado",COUNTIF($D90:$H90,"?*")&lt;2),IF(COUNTIF($M90:$AE90,"?*")&gt;0,", ","")&amp;"minimo 2 claves","")</x:f>
      </x:c>
      <x:c r="AG90" t="str">
        <x:f>IF(AND($A90="Opción de Emparejamiento Ampliado",NOT(OR(LEFT(TRIM($I90),1)="A",LEFT(TRIM($I90),1)="B",LEFT(TRIM($I90),1)="C",LEFT(TRIM($I90),1)="D",LEFT(TRIM($I90),1)="E"))),IF(COUNTIF($M90:$AF90,"?*")&gt;0,", ","")&amp;"respuesta A-E","")</x:f>
      </x:c>
      <x:c r="AK90" s="29" t="str"/>
    </x:row>
    <x:row r="91" ht="24" customHeight="1">
      <x:c r="A91" s="11" t="s">
        <x:v>2</x:v>
      </x:c>
      <x:c r="B91" s="11" t="s">
        <x:v>2</x:v>
      </x:c>
      <x:c r="C91" s="12" t="str">
        <x:f>IF($A91="Emparejamiento Ampliado",VALIDACIONES!$I$1,IF($A91="Respuesta A/B/Ambas/Ninguna","I. "&amp;CHAR(10)&amp;"II. ",""))</x:f>
      </x:c>
      <x:c r="D91" s="11" t="str">
        <x:f>IF($A91="Verdadero o Falso Simple","Verdadero",IF($A91="Respuesta A/B/Ambas/Ninguna","A. Si la primera es verdadera",""))</x:f>
      </x:c>
      <x:c r="E91" s="11" t="str">
        <x:f>IF($A91="Verdadero o Falso Simple","Falso",IF($A91="Respuesta A/B/Ambas/Ninguna","B. Si la segunda es verdadera",""))</x:f>
      </x:c>
      <x:c r="F91" s="11" t="str">
        <x:f>IF($A91="Respuesta A/B/Ambas/Ninguna","C. Si ambas son verdaderas","")</x:f>
      </x:c>
      <x:c r="G91" s="11" t="str">
        <x:f>IF($A91="Respuesta A/B/Ambas/Ninguna","D. Si ninguna es verdadera","")</x:f>
      </x:c>
      <x:c r="H91" s="11" t="s">
        <x:v>2</x:v>
      </x:c>
      <x:c r="I91" s="11" t="str">
        <x:f>IF($A91="Verdadero o Falso Simple","A","")</x:f>
      </x:c>
      <x:c r="J91" s="11" t="s">
        <x:v>2</x:v>
      </x:c>
      <x:c r="K91" s="11" t="s">
        <x:v>4</x:v>
      </x:c>
      <x:c r="L91" s="13" t="str">
        <x:f>IF(TRIM($A91)="","",IF(COUNTIF($M91:$AG91,"?*")=0,"OK","Falta revisar: "&amp;$M91&amp;$N91&amp;$O91&amp;$P91&amp;$Q91&amp;$R91&amp;$S91&amp;$T91&amp;$U91&amp;$V91&amp;$W91&amp;$X91&amp;$Y91&amp;$Z91&amp;$AA91&amp;$AB91&amp;$AC91&amp;$AD91&amp;$AE91&amp;$AF91&amp;$AG91))</x:f>
        <x:v>OK</x:v>
      </x:c>
      <x:c r="M91" t="str">
        <x:f>IF(TRIM($C91)="","enunciado","")</x:f>
        <x:v>enunciado</x:v>
      </x:c>
      <x:c r="N91" t="str">
        <x:f>IF(TRIM($K91)="",IF(COUNTIF($M91:$M91,"?*")&gt;0,", ","")&amp;"parcial","")</x:f>
      </x:c>
      <x:c r="O91" t="str">
        <x:f>IF(AND(TRIM($K91)&lt;&gt;"",TRIM($K91)&lt;&gt;"EF"),IF(COUNTIF($M91:$N91,"?*")&gt;0,", ","")&amp;"parcial distinto a EF","")</x:f>
      </x:c>
      <x:c r="P91" t="str">
        <x:f>IF(AND(OR($A91="Ítems agrupados por caso clínico o problema",$A91="Subítem de caso o problema",$A91="Emparejamiento Ampliado",$A91="Opción de Emparejamiento Ampliado"),TRIM($B91)=""),IF(COUNTIF($M91:$O91,"?*")&gt;0,", ","")&amp;"grupo","")</x:f>
      </x:c>
      <x:c r="Q91" t="str">
        <x:f>IF(AND(OR($A91="Verdadero o Falso Simple",$A91="Respuesta A/B/Ambas/Ninguna",$A91="Verdadero o Falso Complejas",$A91="Selección de la mejor respuesta",$A91="Subítem de caso o problema",$A91="Opción de Emparejamiento Ampliado"),TRIM($I91)=""),IF(COUNTIF($M91:$P91,"?*")&gt;0,", ","")&amp;"respuesta_correcta","")</x:f>
      </x:c>
      <x:c r="R91" t="str">
        <x:f>IF(AND(OR($A91="Verdadero o Falso Simple",$A91="Respuesta A/B/Ambas/Ninguna",$A91="Verdadero o Falso Complejas",$A91="Selección de la mejor respuesta",$A91="Subítem de caso o problema",$A91="Opción de Emparejamiento Ampliado"),TRIM($J91)=""),IF(COUNTIF($M91:$Q91,"?*")&gt;0,", ","")&amp;"dificultad","")</x:f>
      </x:c>
      <x:c r="S91" t="str">
        <x:f>IF(AND(OR($A91="Ítems agrupados por caso clínico o problema",$A91="Emparejamiento Ampliado"),TRIM($I91)&lt;&gt;""),IF(COUNTIF($M91:$R91,"?*")&gt;0,", ","")&amp;"respuesta debe ir vacia","")</x:f>
      </x:c>
      <x:c r="T91" t="str">
        <x:f>IF(AND(OR($A91="Ítems agrupados por caso clínico o problema",$A91="Emparejamiento Ampliado"),TRIM($J91)&lt;&gt;""),IF(COUNTIF($M91:$S91,"?*")&gt;0,", ","")&amp;"dificultad debe ir vacia","")</x:f>
      </x:c>
      <x:c r="U91" t="str">
        <x:f>IF(AND($A91="Verdadero o Falso Simple",OR(COUNTIF($D91:$E91,"?*")&lt;2,COUNTIF($F91:$H91,"?*")&gt;0)),IF(COUNTIF($M91:$T91,"?*")&gt;0,", ","")&amp;"incisos A-B","")</x:f>
      </x:c>
      <x:c r="V91" t="str">
        <x:f>IF(AND($A91="Verdadero o Falso Simple",TRIM($I91)&lt;&gt;"",NOT(OR(LEFT(TRIM($I91),1)="A",LEFT(TRIM($I91),1)="B"))),IF(COUNTIF($M91:$U91,"?*")&gt;0,", ","")&amp;"respuesta A-B","")</x:f>
      </x:c>
      <x:c r="W91" t="str">
        <x:f>IF(AND($A91="Respuesta A/B/Ambas/Ninguna",COUNTIF($D91:$G91,"?*")&lt;4),IF(COUNTIF($M91:$V91,"?*")&gt;0,", ","")&amp;"opciones A-D","")</x:f>
      </x:c>
      <x:c r="X91" t="str">
        <x:f>IF(AND($A91="Respuesta A/B/Ambas/Ninguna",COUNTIF($H91:$H91,"?*")&gt;0),IF(COUNTIF($M91:$W91,"?*")&gt;0,", ","")&amp;"opcion E deshabilitada","")</x:f>
      </x:c>
      <x:c r="Y91" t="str">
        <x:f>IF(AND($A91="Respuesta A/B/Ambas/Ninguna",TRIM($I91)&lt;&gt;"",NOT(OR(LEFT(TRIM($I91),1)="A",LEFT(TRIM($I91),1)="B",LEFT(TRIM($I91),1)="C",LEFT(TRIM($I91),1)="D"))),IF(COUNTIF($M91:$X91,"?*")&gt;0,", ","")&amp;"respuesta A-D","")</x:f>
      </x:c>
      <x:c r="Z91" t="str">
        <x:f>IF(AND($A91="Verdadero o Falso Complejas",OR(LEN(TRIM(SUBSTITUTE($D91,"1.","")))=0,LEN(TRIM(SUBSTITUTE($E91,"2.","")))=0,LEN(TRIM(SUBSTITUTE($F91,"3.","")))=0,LEN(TRIM(SUBSTITUTE($G91,"4.","")))=0)),IF(COUNTIF($M91:$Y91,"?*")&gt;0,", ","")&amp;"incisos 1-4","")</x:f>
      </x:c>
      <x:c r="AA91" t="str">
        <x:f>IF(AND($A91="Verdadero o Falso Complejas",COUNTIF($H91:$H91,"?*")&gt;0),IF(COUNTIF($M91:$Z91,"?*")&gt;0,", ","")&amp;"opcion E deshabilitada","")</x:f>
      </x:c>
      <x:c r="AB91" t="str">
        <x:f>IF(AND($A91="Verdadero o Falso Complejas",TRIM($I91)&lt;&gt;"",NOT(OR(LEFT(TRIM($I91),1)="A",LEFT(TRIM($I91),1)="B",LEFT(TRIM($I91),1)="C",LEFT(TRIM($I91),1)="D",LEFT(TRIM($I91),1)="E"))),IF(COUNTIF($M91:$AA91,"?*")&gt;0,", ","")&amp;"respuesta A-E","")</x:f>
      </x:c>
      <x:c r="AC91" t="str">
        <x:f>IF(AND(OR($A91="Selección de la mejor respuesta",$A91="Subítem de caso o problema"),COUNTIF($D91:$H91,"?*")&lt;5),IF(COUNTIF($M91:$AB91,"?*")&gt;0,", ","")&amp;"incisos A-E","")</x:f>
      </x:c>
      <x:c r="AD91" t="str">
        <x:f>IF(AND(OR($A91="Selección de la mejor respuesta",$A91="Subítem de caso o problema"),TRIM($I91)&lt;&gt;"",NOT(OR(LEFT(TRIM($I91),1)="A",LEFT(TRIM($I91),1)="B",LEFT(TRIM($I91),1)="C",LEFT(TRIM($I91),1)="D",LEFT(TRIM($I91),1)="E"))),IF(COUNTIF($M91:$AC91,"?*")&gt;0,", ","")&amp;"respuesta A-E","")</x:f>
      </x:c>
      <x:c r="AE91" t="str">
        <x:f>IF(AND(OR($A91="Ítems agrupados por caso clínico o problema",$A91="Opción de Emparejamiento Ampliado"),COUNTIF($D91:$H91,"?*")&gt;0),IF(COUNTIF($M91:$AD91,"?*")&gt;0,", ","")&amp;"sin incisos","")</x:f>
      </x:c>
      <x:c r="AF91" t="str">
        <x:f>IF(AND($A91="Emparejamiento Ampliado",COUNTIF($D91:$H91,"?*")&lt;2),IF(COUNTIF($M91:$AE91,"?*")&gt;0,", ","")&amp;"minimo 2 claves","")</x:f>
      </x:c>
      <x:c r="AG91" t="str">
        <x:f>IF(AND($A91="Opción de Emparejamiento Ampliado",NOT(OR(LEFT(TRIM($I91),1)="A",LEFT(TRIM($I91),1)="B",LEFT(TRIM($I91),1)="C",LEFT(TRIM($I91),1)="D",LEFT(TRIM($I91),1)="E"))),IF(COUNTIF($M91:$AF91,"?*")&gt;0,", ","")&amp;"respuesta A-E","")</x:f>
      </x:c>
      <x:c r="AK91" s="29" t="str"/>
    </x:row>
    <x:row r="92" ht="24" customHeight="1">
      <x:c r="A92" s="14" t="s">
        <x:v>2</x:v>
      </x:c>
      <x:c r="B92" s="14" t="s">
        <x:v>2</x:v>
      </x:c>
      <x:c r="C92" s="15" t="str">
        <x:f>IF($A92="Emparejamiento Ampliado",VALIDACIONES!$I$1,IF($A92="Respuesta A/B/Ambas/Ninguna","I. "&amp;CHAR(10)&amp;"II. ",""))</x:f>
      </x:c>
      <x:c r="D92" s="14" t="str">
        <x:f>IF($A92="Verdadero o Falso Simple","Verdadero",IF($A92="Respuesta A/B/Ambas/Ninguna","A. Si la primera es verdadera",""))</x:f>
      </x:c>
      <x:c r="E92" s="14" t="str">
        <x:f>IF($A92="Verdadero o Falso Simple","Falso",IF($A92="Respuesta A/B/Ambas/Ninguna","B. Si la segunda es verdadera",""))</x:f>
      </x:c>
      <x:c r="F92" s="14" t="str">
        <x:f>IF($A92="Respuesta A/B/Ambas/Ninguna","C. Si ambas son verdaderas","")</x:f>
      </x:c>
      <x:c r="G92" s="14" t="str">
        <x:f>IF($A92="Respuesta A/B/Ambas/Ninguna","D. Si ninguna es verdadera","")</x:f>
      </x:c>
      <x:c r="H92" s="14" t="s">
        <x:v>2</x:v>
      </x:c>
      <x:c r="I92" s="14" t="str">
        <x:f>IF($A92="Verdadero o Falso Simple","A","")</x:f>
      </x:c>
      <x:c r="J92" s="14" t="s">
        <x:v>18</x:v>
      </x:c>
      <x:c r="K92" s="14" t="s">
        <x:v>4</x:v>
      </x:c>
      <x:c r="L92" s="16" t="str">
        <x:f>IF(TRIM($A92)="","",IF(COUNTIF($M92:$AG92,"?*")=0,"OK","Falta revisar: "&amp;$M92&amp;$N92&amp;$O92&amp;$P92&amp;$Q92&amp;$R92&amp;$S92&amp;$T92&amp;$U92&amp;$V92&amp;$W92&amp;$X92&amp;$Y92&amp;$Z92&amp;$AA92&amp;$AB92&amp;$AC92&amp;$AD92&amp;$AE92&amp;$AF92&amp;$AG92))</x:f>
        <x:v>OK</x:v>
      </x:c>
      <x:c r="M92" t="str">
        <x:f>IF(TRIM($C92)="","enunciado","")</x:f>
        <x:v>enunciado</x:v>
      </x:c>
      <x:c r="N92" t="str">
        <x:f>IF(TRIM($K92)="",IF(COUNTIF($M92:$M92,"?*")&gt;0,", ","")&amp;"parcial","")</x:f>
      </x:c>
      <x:c r="O92" t="str">
        <x:f>IF(AND(TRIM($K92)&lt;&gt;"",TRIM($K92)&lt;&gt;"EF"),IF(COUNTIF($M92:$N92,"?*")&gt;0,", ","")&amp;"parcial distinto a EF","")</x:f>
      </x:c>
      <x:c r="P92" t="str">
        <x:f>IF(AND(OR($A92="Ítems agrupados por caso clínico o problema",$A92="Subítem de caso o problema",$A92="Emparejamiento Ampliado",$A92="Opción de Emparejamiento Ampliado"),TRIM($B92)=""),IF(COUNTIF($M92:$O92,"?*")&gt;0,", ","")&amp;"grupo","")</x:f>
      </x:c>
      <x:c r="Q92" t="str">
        <x:f>IF(AND(OR($A92="Verdadero o Falso Simple",$A92="Respuesta A/B/Ambas/Ninguna",$A92="Verdadero o Falso Complejas",$A92="Selección de la mejor respuesta",$A92="Subítem de caso o problema",$A92="Opción de Emparejamiento Ampliado"),TRIM($I92)=""),IF(COUNTIF($M92:$P92,"?*")&gt;0,", ","")&amp;"respuesta_correcta","")</x:f>
      </x:c>
      <x:c r="R92" t="str">
        <x:f>IF(AND(OR($A92="Verdadero o Falso Simple",$A92="Respuesta A/B/Ambas/Ninguna",$A92="Verdadero o Falso Complejas",$A92="Selección de la mejor respuesta",$A92="Subítem de caso o problema",$A92="Opción de Emparejamiento Ampliado"),TRIM($J92)=""),IF(COUNTIF($M92:$Q92,"?*")&gt;0,", ","")&amp;"dificultad","")</x:f>
      </x:c>
      <x:c r="S92" t="str">
        <x:f>IF(AND(OR($A92="Ítems agrupados por caso clínico o problema",$A92="Emparejamiento Ampliado"),TRIM($I92)&lt;&gt;""),IF(COUNTIF($M92:$R92,"?*")&gt;0,", ","")&amp;"respuesta debe ir vacia","")</x:f>
      </x:c>
      <x:c r="T92" t="str">
        <x:f>IF(AND(OR($A92="Ítems agrupados por caso clínico o problema",$A92="Emparejamiento Ampliado"),TRIM($J92)&lt;&gt;""),IF(COUNTIF($M92:$S92,"?*")&gt;0,", ","")&amp;"dificultad debe ir vacia","")</x:f>
      </x:c>
      <x:c r="U92" t="str">
        <x:f>IF(AND($A92="Verdadero o Falso Simple",OR(COUNTIF($D92:$E92,"?*")&lt;2,COUNTIF($F92:$H92,"?*")&gt;0)),IF(COUNTIF($M92:$T92,"?*")&gt;0,", ","")&amp;"incisos A-B","")</x:f>
      </x:c>
      <x:c r="V92" t="str">
        <x:f>IF(AND($A92="Verdadero o Falso Simple",TRIM($I92)&lt;&gt;"",NOT(OR(LEFT(TRIM($I92),1)="A",LEFT(TRIM($I92),1)="B"))),IF(COUNTIF($M92:$U92,"?*")&gt;0,", ","")&amp;"respuesta A-B","")</x:f>
      </x:c>
      <x:c r="W92" t="str">
        <x:f>IF(AND($A92="Respuesta A/B/Ambas/Ninguna",COUNTIF($D92:$G92,"?*")&lt;4),IF(COUNTIF($M92:$V92,"?*")&gt;0,", ","")&amp;"opciones A-D","")</x:f>
      </x:c>
      <x:c r="X92" t="str">
        <x:f>IF(AND($A92="Respuesta A/B/Ambas/Ninguna",COUNTIF($H92:$H92,"?*")&gt;0),IF(COUNTIF($M92:$W92,"?*")&gt;0,", ","")&amp;"opcion E deshabilitada","")</x:f>
      </x:c>
      <x:c r="Y92" t="str">
        <x:f>IF(AND($A92="Respuesta A/B/Ambas/Ninguna",TRIM($I92)&lt;&gt;"",NOT(OR(LEFT(TRIM($I92),1)="A",LEFT(TRIM($I92),1)="B",LEFT(TRIM($I92),1)="C",LEFT(TRIM($I92),1)="D"))),IF(COUNTIF($M92:$X92,"?*")&gt;0,", ","")&amp;"respuesta A-D","")</x:f>
      </x:c>
      <x:c r="Z92" t="str">
        <x:f>IF(AND($A92="Verdadero o Falso Complejas",OR(LEN(TRIM(SUBSTITUTE($D92,"1.","")))=0,LEN(TRIM(SUBSTITUTE($E92,"2.","")))=0,LEN(TRIM(SUBSTITUTE($F92,"3.","")))=0,LEN(TRIM(SUBSTITUTE($G92,"4.","")))=0)),IF(COUNTIF($M92:$Y92,"?*")&gt;0,", ","")&amp;"incisos 1-4","")</x:f>
      </x:c>
      <x:c r="AA92" t="str">
        <x:f>IF(AND($A92="Verdadero o Falso Complejas",COUNTIF($H92:$H92,"?*")&gt;0),IF(COUNTIF($M92:$Z92,"?*")&gt;0,", ","")&amp;"opcion E deshabilitada","")</x:f>
      </x:c>
      <x:c r="AB92" t="str">
        <x:f>IF(AND($A92="Verdadero o Falso Complejas",TRIM($I92)&lt;&gt;"",NOT(OR(LEFT(TRIM($I92),1)="A",LEFT(TRIM($I92),1)="B",LEFT(TRIM($I92),1)="C",LEFT(TRIM($I92),1)="D",LEFT(TRIM($I92),1)="E"))),IF(COUNTIF($M92:$AA92,"?*")&gt;0,", ","")&amp;"respuesta A-E","")</x:f>
      </x:c>
      <x:c r="AC92" t="str">
        <x:f>IF(AND(OR($A92="Selección de la mejor respuesta",$A92="Subítem de caso o problema"),COUNTIF($D92:$H92,"?*")&lt;5),IF(COUNTIF($M92:$AB92,"?*")&gt;0,", ","")&amp;"incisos A-E","")</x:f>
      </x:c>
      <x:c r="AD92" t="str">
        <x:f>IF(AND(OR($A92="Selección de la mejor respuesta",$A92="Subítem de caso o problema"),TRIM($I92)&lt;&gt;"",NOT(OR(LEFT(TRIM($I92),1)="A",LEFT(TRIM($I92),1)="B",LEFT(TRIM($I92),1)="C",LEFT(TRIM($I92),1)="D",LEFT(TRIM($I92),1)="E"))),IF(COUNTIF($M92:$AC92,"?*")&gt;0,", ","")&amp;"respuesta A-E","")</x:f>
      </x:c>
      <x:c r="AE92" t="str">
        <x:f>IF(AND(OR($A92="Ítems agrupados por caso clínico o problema",$A92="Opción de Emparejamiento Ampliado"),COUNTIF($D92:$H92,"?*")&gt;0),IF(COUNTIF($M92:$AD92,"?*")&gt;0,", ","")&amp;"sin incisos","")</x:f>
      </x:c>
      <x:c r="AF92" t="str">
        <x:f>IF(AND($A92="Emparejamiento Ampliado",COUNTIF($D92:$H92,"?*")&lt;2),IF(COUNTIF($M92:$AE92,"?*")&gt;0,", ","")&amp;"minimo 2 claves","")</x:f>
      </x:c>
      <x:c r="AG92" t="str">
        <x:f>IF(AND($A92="Opción de Emparejamiento Ampliado",NOT(OR(LEFT(TRIM($I92),1)="A",LEFT(TRIM($I92),1)="B",LEFT(TRIM($I92),1)="C",LEFT(TRIM($I92),1)="D",LEFT(TRIM($I92),1)="E"))),IF(COUNTIF($M92:$AF92,"?*")&gt;0,", ","")&amp;"respuesta A-E","")</x:f>
      </x:c>
      <x:c r="AK92" s="32" t="str"/>
    </x:row>
    <x:row r="93" ht="24" customHeight="1">
      <x:c r="A93" s="14" t="s">
        <x:v>2</x:v>
      </x:c>
      <x:c r="B93" s="14" t="s">
        <x:v>2</x:v>
      </x:c>
      <x:c r="C93" s="15" t="str">
        <x:f>IF($A93="Emparejamiento Ampliado",VALIDACIONES!$I$1,IF($A93="Respuesta A/B/Ambas/Ninguna","I. "&amp;CHAR(10)&amp;"II. ",""))</x:f>
      </x:c>
      <x:c r="D93" s="14" t="str">
        <x:f>IF($A93="Verdadero o Falso Simple","Verdadero",IF($A93="Respuesta A/B/Ambas/Ninguna","A. Si la primera es verdadera",""))</x:f>
      </x:c>
      <x:c r="E93" s="14" t="str">
        <x:f>IF($A93="Verdadero o Falso Simple","Falso",IF($A93="Respuesta A/B/Ambas/Ninguna","B. Si la segunda es verdadera",""))</x:f>
      </x:c>
      <x:c r="F93" s="14" t="str">
        <x:f>IF($A93="Respuesta A/B/Ambas/Ninguna","C. Si ambas son verdaderas","")</x:f>
      </x:c>
      <x:c r="G93" s="14" t="str">
        <x:f>IF($A93="Respuesta A/B/Ambas/Ninguna","D. Si ninguna es verdadera","")</x:f>
      </x:c>
      <x:c r="H93" s="14" t="s">
        <x:v>2</x:v>
      </x:c>
      <x:c r="I93" s="14" t="str">
        <x:f>IF($A93="Verdadero o Falso Simple","A","")</x:f>
      </x:c>
      <x:c r="J93" s="14" t="s">
        <x:v>18</x:v>
      </x:c>
      <x:c r="K93" s="14" t="s">
        <x:v>4</x:v>
      </x:c>
      <x:c r="L93" s="16" t="str">
        <x:f>IF(TRIM($A93)="","",IF(COUNTIF($M93:$AG93,"?*")=0,"OK","Falta revisar: "&amp;$M93&amp;$N93&amp;$O93&amp;$P93&amp;$Q93&amp;$R93&amp;$S93&amp;$T93&amp;$U93&amp;$V93&amp;$W93&amp;$X93&amp;$Y93&amp;$Z93&amp;$AA93&amp;$AB93&amp;$AC93&amp;$AD93&amp;$AE93&amp;$AF93&amp;$AG93))</x:f>
        <x:v>OK</x:v>
      </x:c>
      <x:c r="M93" t="str">
        <x:f>IF(TRIM($C93)="","enunciado","")</x:f>
        <x:v>enunciado</x:v>
      </x:c>
      <x:c r="N93" t="str">
        <x:f>IF(TRIM($K93)="",IF(COUNTIF($M93:$M93,"?*")&gt;0,", ","")&amp;"parcial","")</x:f>
      </x:c>
      <x:c r="O93" t="str">
        <x:f>IF(AND(TRIM($K93)&lt;&gt;"",TRIM($K93)&lt;&gt;"EF"),IF(COUNTIF($M93:$N93,"?*")&gt;0,", ","")&amp;"parcial distinto a EF","")</x:f>
      </x:c>
      <x:c r="P93" t="str">
        <x:f>IF(AND(OR($A93="Ítems agrupados por caso clínico o problema",$A93="Subítem de caso o problema",$A93="Emparejamiento Ampliado",$A93="Opción de Emparejamiento Ampliado"),TRIM($B93)=""),IF(COUNTIF($M93:$O93,"?*")&gt;0,", ","")&amp;"grupo","")</x:f>
      </x:c>
      <x:c r="Q93" t="str">
        <x:f>IF(AND(OR($A93="Verdadero o Falso Simple",$A93="Respuesta A/B/Ambas/Ninguna",$A93="Verdadero o Falso Complejas",$A93="Selección de la mejor respuesta",$A93="Subítem de caso o problema",$A93="Opción de Emparejamiento Ampliado"),TRIM($I93)=""),IF(COUNTIF($M93:$P93,"?*")&gt;0,", ","")&amp;"respuesta_correcta","")</x:f>
      </x:c>
      <x:c r="R93" t="str">
        <x:f>IF(AND(OR($A93="Verdadero o Falso Simple",$A93="Respuesta A/B/Ambas/Ninguna",$A93="Verdadero o Falso Complejas",$A93="Selección de la mejor respuesta",$A93="Subítem de caso o problema",$A93="Opción de Emparejamiento Ampliado"),TRIM($J93)=""),IF(COUNTIF($M93:$Q93,"?*")&gt;0,", ","")&amp;"dificultad","")</x:f>
      </x:c>
      <x:c r="S93" t="str">
        <x:f>IF(AND(OR($A93="Ítems agrupados por caso clínico o problema",$A93="Emparejamiento Ampliado"),TRIM($I93)&lt;&gt;""),IF(COUNTIF($M93:$R93,"?*")&gt;0,", ","")&amp;"respuesta debe ir vacia","")</x:f>
      </x:c>
      <x:c r="T93" t="str">
        <x:f>IF(AND(OR($A93="Ítems agrupados por caso clínico o problema",$A93="Emparejamiento Ampliado"),TRIM($J93)&lt;&gt;""),IF(COUNTIF($M93:$S93,"?*")&gt;0,", ","")&amp;"dificultad debe ir vacia","")</x:f>
      </x:c>
      <x:c r="U93" t="str">
        <x:f>IF(AND($A93="Verdadero o Falso Simple",OR(COUNTIF($D93:$E93,"?*")&lt;2,COUNTIF($F93:$H93,"?*")&gt;0)),IF(COUNTIF($M93:$T93,"?*")&gt;0,", ","")&amp;"incisos A-B","")</x:f>
      </x:c>
      <x:c r="V93" t="str">
        <x:f>IF(AND($A93="Verdadero o Falso Simple",TRIM($I93)&lt;&gt;"",NOT(OR(LEFT(TRIM($I93),1)="A",LEFT(TRIM($I93),1)="B"))),IF(COUNTIF($M93:$U93,"?*")&gt;0,", ","")&amp;"respuesta A-B","")</x:f>
      </x:c>
      <x:c r="W93" t="str">
        <x:f>IF(AND($A93="Respuesta A/B/Ambas/Ninguna",COUNTIF($D93:$G93,"?*")&lt;4),IF(COUNTIF($M93:$V93,"?*")&gt;0,", ","")&amp;"opciones A-D","")</x:f>
      </x:c>
      <x:c r="X93" t="str">
        <x:f>IF(AND($A93="Respuesta A/B/Ambas/Ninguna",COUNTIF($H93:$H93,"?*")&gt;0),IF(COUNTIF($M93:$W93,"?*")&gt;0,", ","")&amp;"opcion E deshabilitada","")</x:f>
      </x:c>
      <x:c r="Y93" t="str">
        <x:f>IF(AND($A93="Respuesta A/B/Ambas/Ninguna",TRIM($I93)&lt;&gt;"",NOT(OR(LEFT(TRIM($I93),1)="A",LEFT(TRIM($I93),1)="B",LEFT(TRIM($I93),1)="C",LEFT(TRIM($I93),1)="D"))),IF(COUNTIF($M93:$X93,"?*")&gt;0,", ","")&amp;"respuesta A-D","")</x:f>
      </x:c>
      <x:c r="Z93" t="str">
        <x:f>IF(AND($A93="Verdadero o Falso Complejas",OR(LEN(TRIM(SUBSTITUTE($D93,"1.","")))=0,LEN(TRIM(SUBSTITUTE($E93,"2.","")))=0,LEN(TRIM(SUBSTITUTE($F93,"3.","")))=0,LEN(TRIM(SUBSTITUTE($G93,"4.","")))=0)),IF(COUNTIF($M93:$Y93,"?*")&gt;0,", ","")&amp;"incisos 1-4","")</x:f>
      </x:c>
      <x:c r="AA93" t="str">
        <x:f>IF(AND($A93="Verdadero o Falso Complejas",COUNTIF($H93:$H93,"?*")&gt;0),IF(COUNTIF($M93:$Z93,"?*")&gt;0,", ","")&amp;"opcion E deshabilitada","")</x:f>
      </x:c>
      <x:c r="AB93" t="str">
        <x:f>IF(AND($A93="Verdadero o Falso Complejas",TRIM($I93)&lt;&gt;"",NOT(OR(LEFT(TRIM($I93),1)="A",LEFT(TRIM($I93),1)="B",LEFT(TRIM($I93),1)="C",LEFT(TRIM($I93),1)="D",LEFT(TRIM($I93),1)="E"))),IF(COUNTIF($M93:$AA93,"?*")&gt;0,", ","")&amp;"respuesta A-E","")</x:f>
      </x:c>
      <x:c r="AC93" t="str">
        <x:f>IF(AND(OR($A93="Selección de la mejor respuesta",$A93="Subítem de caso o problema"),COUNTIF($D93:$H93,"?*")&lt;5),IF(COUNTIF($M93:$AB93,"?*")&gt;0,", ","")&amp;"incisos A-E","")</x:f>
      </x:c>
      <x:c r="AD93" t="str">
        <x:f>IF(AND(OR($A93="Selección de la mejor respuesta",$A93="Subítem de caso o problema"),TRIM($I93)&lt;&gt;"",NOT(OR(LEFT(TRIM($I93),1)="A",LEFT(TRIM($I93),1)="B",LEFT(TRIM($I93),1)="C",LEFT(TRIM($I93),1)="D",LEFT(TRIM($I93),1)="E"))),IF(COUNTIF($M93:$AC93,"?*")&gt;0,", ","")&amp;"respuesta A-E","")</x:f>
      </x:c>
      <x:c r="AE93" t="str">
        <x:f>IF(AND(OR($A93="Ítems agrupados por caso clínico o problema",$A93="Opción de Emparejamiento Ampliado"),COUNTIF($D93:$H93,"?*")&gt;0),IF(COUNTIF($M93:$AD93,"?*")&gt;0,", ","")&amp;"sin incisos","")</x:f>
      </x:c>
      <x:c r="AF93" t="str">
        <x:f>IF(AND($A93="Emparejamiento Ampliado",COUNTIF($D93:$H93,"?*")&lt;2),IF(COUNTIF($M93:$AE93,"?*")&gt;0,", ","")&amp;"minimo 2 claves","")</x:f>
      </x:c>
      <x:c r="AG93" t="str">
        <x:f>IF(AND($A93="Opción de Emparejamiento Ampliado",NOT(OR(LEFT(TRIM($I93),1)="A",LEFT(TRIM($I93),1)="B",LEFT(TRIM($I93),1)="C",LEFT(TRIM($I93),1)="D",LEFT(TRIM($I93),1)="E"))),IF(COUNTIF($M93:$AF93,"?*")&gt;0,", ","")&amp;"respuesta A-E","")</x:f>
      </x:c>
      <x:c r="AK93" s="32" t="str"/>
    </x:row>
    <x:row r="94" ht="24" customHeight="1">
      <x:c r="A94" s="14" t="s">
        <x:v>2</x:v>
      </x:c>
      <x:c r="B94" s="14" t="s">
        <x:v>2</x:v>
      </x:c>
      <x:c r="C94" s="15" t="str">
        <x:f>IF($A94="Emparejamiento Ampliado",VALIDACIONES!$I$1,IF($A94="Respuesta A/B/Ambas/Ninguna","I. "&amp;CHAR(10)&amp;"II. ",""))</x:f>
      </x:c>
      <x:c r="D94" s="14" t="str">
        <x:f>IF($A94="Verdadero o Falso Simple","Verdadero",IF($A94="Respuesta A/B/Ambas/Ninguna","A. Si la primera es verdadera",""))</x:f>
      </x:c>
      <x:c r="E94" s="14" t="str">
        <x:f>IF($A94="Verdadero o Falso Simple","Falso",IF($A94="Respuesta A/B/Ambas/Ninguna","B. Si la segunda es verdadera",""))</x:f>
      </x:c>
      <x:c r="F94" s="14" t="str">
        <x:f>IF($A94="Respuesta A/B/Ambas/Ninguna","C. Si ambas son verdaderas","")</x:f>
      </x:c>
      <x:c r="G94" s="14" t="str">
        <x:f>IF($A94="Respuesta A/B/Ambas/Ninguna","D. Si ninguna es verdadera","")</x:f>
      </x:c>
      <x:c r="H94" s="14" t="s">
        <x:v>2</x:v>
      </x:c>
      <x:c r="I94" s="14" t="str">
        <x:f>IF($A94="Verdadero o Falso Simple","A","")</x:f>
      </x:c>
      <x:c r="J94" s="14" t="s">
        <x:v>18</x:v>
      </x:c>
      <x:c r="K94" s="14" t="s">
        <x:v>4</x:v>
      </x:c>
      <x:c r="L94" s="16" t="str">
        <x:f>IF(TRIM($A94)="","",IF(COUNTIF($M94:$AG94,"?*")=0,"OK","Falta revisar: "&amp;$M94&amp;$N94&amp;$O94&amp;$P94&amp;$Q94&amp;$R94&amp;$S94&amp;$T94&amp;$U94&amp;$V94&amp;$W94&amp;$X94&amp;$Y94&amp;$Z94&amp;$AA94&amp;$AB94&amp;$AC94&amp;$AD94&amp;$AE94&amp;$AF94&amp;$AG94))</x:f>
        <x:v>OK</x:v>
      </x:c>
      <x:c r="M94" t="str">
        <x:f>IF(TRIM($C94)="","enunciado","")</x:f>
        <x:v>enunciado</x:v>
      </x:c>
      <x:c r="N94" t="str">
        <x:f>IF(TRIM($K94)="",IF(COUNTIF($M94:$M94,"?*")&gt;0,", ","")&amp;"parcial","")</x:f>
      </x:c>
      <x:c r="O94" t="str">
        <x:f>IF(AND(TRIM($K94)&lt;&gt;"",TRIM($K94)&lt;&gt;"EF"),IF(COUNTIF($M94:$N94,"?*")&gt;0,", ","")&amp;"parcial distinto a EF","")</x:f>
      </x:c>
      <x:c r="P94" t="str">
        <x:f>IF(AND(OR($A94="Ítems agrupados por caso clínico o problema",$A94="Subítem de caso o problema",$A94="Emparejamiento Ampliado",$A94="Opción de Emparejamiento Ampliado"),TRIM($B94)=""),IF(COUNTIF($M94:$O94,"?*")&gt;0,", ","")&amp;"grupo","")</x:f>
      </x:c>
      <x:c r="Q94" t="str">
        <x:f>IF(AND(OR($A94="Verdadero o Falso Simple",$A94="Respuesta A/B/Ambas/Ninguna",$A94="Verdadero o Falso Complejas",$A94="Selección de la mejor respuesta",$A94="Subítem de caso o problema",$A94="Opción de Emparejamiento Ampliado"),TRIM($I94)=""),IF(COUNTIF($M94:$P94,"?*")&gt;0,", ","")&amp;"respuesta_correcta","")</x:f>
      </x:c>
      <x:c r="R94" t="str">
        <x:f>IF(AND(OR($A94="Verdadero o Falso Simple",$A94="Respuesta A/B/Ambas/Ninguna",$A94="Verdadero o Falso Complejas",$A94="Selección de la mejor respuesta",$A94="Subítem de caso o problema",$A94="Opción de Emparejamiento Ampliado"),TRIM($J94)=""),IF(COUNTIF($M94:$Q94,"?*")&gt;0,", ","")&amp;"dificultad","")</x:f>
      </x:c>
      <x:c r="S94" t="str">
        <x:f>IF(AND(OR($A94="Ítems agrupados por caso clínico o problema",$A94="Emparejamiento Ampliado"),TRIM($I94)&lt;&gt;""),IF(COUNTIF($M94:$R94,"?*")&gt;0,", ","")&amp;"respuesta debe ir vacia","")</x:f>
      </x:c>
      <x:c r="T94" t="str">
        <x:f>IF(AND(OR($A94="Ítems agrupados por caso clínico o problema",$A94="Emparejamiento Ampliado"),TRIM($J94)&lt;&gt;""),IF(COUNTIF($M94:$S94,"?*")&gt;0,", ","")&amp;"dificultad debe ir vacia","")</x:f>
      </x:c>
      <x:c r="U94" t="str">
        <x:f>IF(AND($A94="Verdadero o Falso Simple",OR(COUNTIF($D94:$E94,"?*")&lt;2,COUNTIF($F94:$H94,"?*")&gt;0)),IF(COUNTIF($M94:$T94,"?*")&gt;0,", ","")&amp;"incisos A-B","")</x:f>
      </x:c>
      <x:c r="V94" t="str">
        <x:f>IF(AND($A94="Verdadero o Falso Simple",TRIM($I94)&lt;&gt;"",NOT(OR(LEFT(TRIM($I94),1)="A",LEFT(TRIM($I94),1)="B"))),IF(COUNTIF($M94:$U94,"?*")&gt;0,", ","")&amp;"respuesta A-B","")</x:f>
      </x:c>
      <x:c r="W94" t="str">
        <x:f>IF(AND($A94="Respuesta A/B/Ambas/Ninguna",COUNTIF($D94:$G94,"?*")&lt;4),IF(COUNTIF($M94:$V94,"?*")&gt;0,", ","")&amp;"opciones A-D","")</x:f>
      </x:c>
      <x:c r="X94" t="str">
        <x:f>IF(AND($A94="Respuesta A/B/Ambas/Ninguna",COUNTIF($H94:$H94,"?*")&gt;0),IF(COUNTIF($M94:$W94,"?*")&gt;0,", ","")&amp;"opcion E deshabilitada","")</x:f>
      </x:c>
      <x:c r="Y94" t="str">
        <x:f>IF(AND($A94="Respuesta A/B/Ambas/Ninguna",TRIM($I94)&lt;&gt;"",NOT(OR(LEFT(TRIM($I94),1)="A",LEFT(TRIM($I94),1)="B",LEFT(TRIM($I94),1)="C",LEFT(TRIM($I94),1)="D"))),IF(COUNTIF($M94:$X94,"?*")&gt;0,", ","")&amp;"respuesta A-D","")</x:f>
      </x:c>
      <x:c r="Z94" t="str">
        <x:f>IF(AND($A94="Verdadero o Falso Complejas",OR(LEN(TRIM(SUBSTITUTE($D94,"1.","")))=0,LEN(TRIM(SUBSTITUTE($E94,"2.","")))=0,LEN(TRIM(SUBSTITUTE($F94,"3.","")))=0,LEN(TRIM(SUBSTITUTE($G94,"4.","")))=0)),IF(COUNTIF($M94:$Y94,"?*")&gt;0,", ","")&amp;"incisos 1-4","")</x:f>
      </x:c>
      <x:c r="AA94" t="str">
        <x:f>IF(AND($A94="Verdadero o Falso Complejas",COUNTIF($H94:$H94,"?*")&gt;0),IF(COUNTIF($M94:$Z94,"?*")&gt;0,", ","")&amp;"opcion E deshabilitada","")</x:f>
      </x:c>
      <x:c r="AB94" t="str">
        <x:f>IF(AND($A94="Verdadero o Falso Complejas",TRIM($I94)&lt;&gt;"",NOT(OR(LEFT(TRIM($I94),1)="A",LEFT(TRIM($I94),1)="B",LEFT(TRIM($I94),1)="C",LEFT(TRIM($I94),1)="D",LEFT(TRIM($I94),1)="E"))),IF(COUNTIF($M94:$AA94,"?*")&gt;0,", ","")&amp;"respuesta A-E","")</x:f>
      </x:c>
      <x:c r="AC94" t="str">
        <x:f>IF(AND(OR($A94="Selección de la mejor respuesta",$A94="Subítem de caso o problema"),COUNTIF($D94:$H94,"?*")&lt;5),IF(COUNTIF($M94:$AB94,"?*")&gt;0,", ","")&amp;"incisos A-E","")</x:f>
      </x:c>
      <x:c r="AD94" t="str">
        <x:f>IF(AND(OR($A94="Selección de la mejor respuesta",$A94="Subítem de caso o problema"),TRIM($I94)&lt;&gt;"",NOT(OR(LEFT(TRIM($I94),1)="A",LEFT(TRIM($I94),1)="B",LEFT(TRIM($I94),1)="C",LEFT(TRIM($I94),1)="D",LEFT(TRIM($I94),1)="E"))),IF(COUNTIF($M94:$AC94,"?*")&gt;0,", ","")&amp;"respuesta A-E","")</x:f>
      </x:c>
      <x:c r="AE94" t="str">
        <x:f>IF(AND(OR($A94="Ítems agrupados por caso clínico o problema",$A94="Opción de Emparejamiento Ampliado"),COUNTIF($D94:$H94,"?*")&gt;0),IF(COUNTIF($M94:$AD94,"?*")&gt;0,", ","")&amp;"sin incisos","")</x:f>
      </x:c>
      <x:c r="AF94" t="str">
        <x:f>IF(AND($A94="Emparejamiento Ampliado",COUNTIF($D94:$H94,"?*")&lt;2),IF(COUNTIF($M94:$AE94,"?*")&gt;0,", ","")&amp;"minimo 2 claves","")</x:f>
      </x:c>
      <x:c r="AG94" t="str">
        <x:f>IF(AND($A94="Opción de Emparejamiento Ampliado",NOT(OR(LEFT(TRIM($I94),1)="A",LEFT(TRIM($I94),1)="B",LEFT(TRIM($I94),1)="C",LEFT(TRIM($I94),1)="D",LEFT(TRIM($I94),1)="E"))),IF(COUNTIF($M94:$AF94,"?*")&gt;0,", ","")&amp;"respuesta A-E","")</x:f>
      </x:c>
      <x:c r="AK94" s="32" t="str"/>
    </x:row>
    <x:row r="95" ht="24" customHeight="1">
      <x:c r="A95" s="14" t="s">
        <x:v>2</x:v>
      </x:c>
      <x:c r="B95" s="14" t="s">
        <x:v>2</x:v>
      </x:c>
      <x:c r="C95" s="15" t="str">
        <x:f>IF($A95="Emparejamiento Ampliado",VALIDACIONES!$I$1,IF($A95="Respuesta A/B/Ambas/Ninguna","I. "&amp;CHAR(10)&amp;"II. ",""))</x:f>
      </x:c>
      <x:c r="D95" s="14" t="str">
        <x:f>IF($A95="Verdadero o Falso Simple","Verdadero",IF($A95="Respuesta A/B/Ambas/Ninguna","A. Si la primera es verdadera",""))</x:f>
      </x:c>
      <x:c r="E95" s="14" t="str">
        <x:f>IF($A95="Verdadero o Falso Simple","Falso",IF($A95="Respuesta A/B/Ambas/Ninguna","B. Si la segunda es verdadera",""))</x:f>
      </x:c>
      <x:c r="F95" s="14" t="str">
        <x:f>IF($A95="Respuesta A/B/Ambas/Ninguna","C. Si ambas son verdaderas","")</x:f>
      </x:c>
      <x:c r="G95" s="14" t="str">
        <x:f>IF($A95="Respuesta A/B/Ambas/Ninguna","D. Si ninguna es verdadera","")</x:f>
      </x:c>
      <x:c r="H95" s="14" t="s">
        <x:v>2</x:v>
      </x:c>
      <x:c r="I95" s="14" t="str">
        <x:f>IF($A95="Verdadero o Falso Simple","A","")</x:f>
      </x:c>
      <x:c r="J95" s="14" t="s">
        <x:v>18</x:v>
      </x:c>
      <x:c r="K95" s="14" t="s">
        <x:v>4</x:v>
      </x:c>
      <x:c r="L95" s="16" t="str">
        <x:f>IF(TRIM($A95)="","",IF(COUNTIF($M95:$AG95,"?*")=0,"OK","Falta revisar: "&amp;$M95&amp;$N95&amp;$O95&amp;$P95&amp;$Q95&amp;$R95&amp;$S95&amp;$T95&amp;$U95&amp;$V95&amp;$W95&amp;$X95&amp;$Y95&amp;$Z95&amp;$AA95&amp;$AB95&amp;$AC95&amp;$AD95&amp;$AE95&amp;$AF95&amp;$AG95))</x:f>
        <x:v>OK</x:v>
      </x:c>
      <x:c r="M95" t="str">
        <x:f>IF(TRIM($C95)="","enunciado","")</x:f>
        <x:v>enunciado</x:v>
      </x:c>
      <x:c r="N95" t="str">
        <x:f>IF(TRIM($K95)="",IF(COUNTIF($M95:$M95,"?*")&gt;0,", ","")&amp;"parcial","")</x:f>
      </x:c>
      <x:c r="O95" t="str">
        <x:f>IF(AND(TRIM($K95)&lt;&gt;"",TRIM($K95)&lt;&gt;"EF"),IF(COUNTIF($M95:$N95,"?*")&gt;0,", ","")&amp;"parcial distinto a EF","")</x:f>
      </x:c>
      <x:c r="P95" t="str">
        <x:f>IF(AND(OR($A95="Ítems agrupados por caso clínico o problema",$A95="Subítem de caso o problema",$A95="Emparejamiento Ampliado",$A95="Opción de Emparejamiento Ampliado"),TRIM($B95)=""),IF(COUNTIF($M95:$O95,"?*")&gt;0,", ","")&amp;"grupo","")</x:f>
      </x:c>
      <x:c r="Q95" t="str">
        <x:f>IF(AND(OR($A95="Verdadero o Falso Simple",$A95="Respuesta A/B/Ambas/Ninguna",$A95="Verdadero o Falso Complejas",$A95="Selección de la mejor respuesta",$A95="Subítem de caso o problema",$A95="Opción de Emparejamiento Ampliado"),TRIM($I95)=""),IF(COUNTIF($M95:$P95,"?*")&gt;0,", ","")&amp;"respuesta_correcta","")</x:f>
      </x:c>
      <x:c r="R95" t="str">
        <x:f>IF(AND(OR($A95="Verdadero o Falso Simple",$A95="Respuesta A/B/Ambas/Ninguna",$A95="Verdadero o Falso Complejas",$A95="Selección de la mejor respuesta",$A95="Subítem de caso o problema",$A95="Opción de Emparejamiento Ampliado"),TRIM($J95)=""),IF(COUNTIF($M95:$Q95,"?*")&gt;0,", ","")&amp;"dificultad","")</x:f>
      </x:c>
      <x:c r="S95" t="str">
        <x:f>IF(AND(OR($A95="Ítems agrupados por caso clínico o problema",$A95="Emparejamiento Ampliado"),TRIM($I95)&lt;&gt;""),IF(COUNTIF($M95:$R95,"?*")&gt;0,", ","")&amp;"respuesta debe ir vacia","")</x:f>
      </x:c>
      <x:c r="T95" t="str">
        <x:f>IF(AND(OR($A95="Ítems agrupados por caso clínico o problema",$A95="Emparejamiento Ampliado"),TRIM($J95)&lt;&gt;""),IF(COUNTIF($M95:$S95,"?*")&gt;0,", ","")&amp;"dificultad debe ir vacia","")</x:f>
      </x:c>
      <x:c r="U95" t="str">
        <x:f>IF(AND($A95="Verdadero o Falso Simple",OR(COUNTIF($D95:$E95,"?*")&lt;2,COUNTIF($F95:$H95,"?*")&gt;0)),IF(COUNTIF($M95:$T95,"?*")&gt;0,", ","")&amp;"incisos A-B","")</x:f>
      </x:c>
      <x:c r="V95" t="str">
        <x:f>IF(AND($A95="Verdadero o Falso Simple",TRIM($I95)&lt;&gt;"",NOT(OR(LEFT(TRIM($I95),1)="A",LEFT(TRIM($I95),1)="B"))),IF(COUNTIF($M95:$U95,"?*")&gt;0,", ","")&amp;"respuesta A-B","")</x:f>
      </x:c>
      <x:c r="W95" t="str">
        <x:f>IF(AND($A95="Respuesta A/B/Ambas/Ninguna",COUNTIF($D95:$G95,"?*")&lt;4),IF(COUNTIF($M95:$V95,"?*")&gt;0,", ","")&amp;"opciones A-D","")</x:f>
      </x:c>
      <x:c r="X95" t="str">
        <x:f>IF(AND($A95="Respuesta A/B/Ambas/Ninguna",COUNTIF($H95:$H95,"?*")&gt;0),IF(COUNTIF($M95:$W95,"?*")&gt;0,", ","")&amp;"opcion E deshabilitada","")</x:f>
      </x:c>
      <x:c r="Y95" t="str">
        <x:f>IF(AND($A95="Respuesta A/B/Ambas/Ninguna",TRIM($I95)&lt;&gt;"",NOT(OR(LEFT(TRIM($I95),1)="A",LEFT(TRIM($I95),1)="B",LEFT(TRIM($I95),1)="C",LEFT(TRIM($I95),1)="D"))),IF(COUNTIF($M95:$X95,"?*")&gt;0,", ","")&amp;"respuesta A-D","")</x:f>
      </x:c>
      <x:c r="Z95" t="str">
        <x:f>IF(AND($A95="Verdadero o Falso Complejas",OR(LEN(TRIM(SUBSTITUTE($D95,"1.","")))=0,LEN(TRIM(SUBSTITUTE($E95,"2.","")))=0,LEN(TRIM(SUBSTITUTE($F95,"3.","")))=0,LEN(TRIM(SUBSTITUTE($G95,"4.","")))=0)),IF(COUNTIF($M95:$Y95,"?*")&gt;0,", ","")&amp;"incisos 1-4","")</x:f>
      </x:c>
      <x:c r="AA95" t="str">
        <x:f>IF(AND($A95="Verdadero o Falso Complejas",COUNTIF($H95:$H95,"?*")&gt;0),IF(COUNTIF($M95:$Z95,"?*")&gt;0,", ","")&amp;"opcion E deshabilitada","")</x:f>
      </x:c>
      <x:c r="AB95" t="str">
        <x:f>IF(AND($A95="Verdadero o Falso Complejas",TRIM($I95)&lt;&gt;"",NOT(OR(LEFT(TRIM($I95),1)="A",LEFT(TRIM($I95),1)="B",LEFT(TRIM($I95),1)="C",LEFT(TRIM($I95),1)="D",LEFT(TRIM($I95),1)="E"))),IF(COUNTIF($M95:$AA95,"?*")&gt;0,", ","")&amp;"respuesta A-E","")</x:f>
      </x:c>
      <x:c r="AC95" t="str">
        <x:f>IF(AND(OR($A95="Selección de la mejor respuesta",$A95="Subítem de caso o problema"),COUNTIF($D95:$H95,"?*")&lt;5),IF(COUNTIF($M95:$AB95,"?*")&gt;0,", ","")&amp;"incisos A-E","")</x:f>
      </x:c>
      <x:c r="AD95" t="str">
        <x:f>IF(AND(OR($A95="Selección de la mejor respuesta",$A95="Subítem de caso o problema"),TRIM($I95)&lt;&gt;"",NOT(OR(LEFT(TRIM($I95),1)="A",LEFT(TRIM($I95),1)="B",LEFT(TRIM($I95),1)="C",LEFT(TRIM($I95),1)="D",LEFT(TRIM($I95),1)="E"))),IF(COUNTIF($M95:$AC95,"?*")&gt;0,", ","")&amp;"respuesta A-E","")</x:f>
      </x:c>
      <x:c r="AE95" t="str">
        <x:f>IF(AND(OR($A95="Ítems agrupados por caso clínico o problema",$A95="Opción de Emparejamiento Ampliado"),COUNTIF($D95:$H95,"?*")&gt;0),IF(COUNTIF($M95:$AD95,"?*")&gt;0,", ","")&amp;"sin incisos","")</x:f>
      </x:c>
      <x:c r="AF95" t="str">
        <x:f>IF(AND($A95="Emparejamiento Ampliado",COUNTIF($D95:$H95,"?*")&lt;2),IF(COUNTIF($M95:$AE95,"?*")&gt;0,", ","")&amp;"minimo 2 claves","")</x:f>
      </x:c>
      <x:c r="AG95" t="str">
        <x:f>IF(AND($A95="Opción de Emparejamiento Ampliado",NOT(OR(LEFT(TRIM($I95),1)="A",LEFT(TRIM($I95),1)="B",LEFT(TRIM($I95),1)="C",LEFT(TRIM($I95),1)="D",LEFT(TRIM($I95),1)="E"))),IF(COUNTIF($M95:$AF95,"?*")&gt;0,", ","")&amp;"respuesta A-E","")</x:f>
      </x:c>
      <x:c r="AK95" s="32" t="str"/>
    </x:row>
    <x:row r="96" ht="24" customHeight="1">
      <x:c r="A96" s="14" t="s">
        <x:v>2</x:v>
      </x:c>
      <x:c r="B96" s="14" t="s">
        <x:v>2</x:v>
      </x:c>
      <x:c r="C96" s="15" t="str">
        <x:f>IF($A96="Emparejamiento Ampliado",VALIDACIONES!$I$1,IF($A96="Respuesta A/B/Ambas/Ninguna","I. "&amp;CHAR(10)&amp;"II. ",""))</x:f>
      </x:c>
      <x:c r="D96" s="14" t="str">
        <x:f>IF($A96="Verdadero o Falso Simple","Verdadero",IF($A96="Respuesta A/B/Ambas/Ninguna","A. Si la primera es verdadera",""))</x:f>
      </x:c>
      <x:c r="E96" s="14" t="str">
        <x:f>IF($A96="Verdadero o Falso Simple","Falso",IF($A96="Respuesta A/B/Ambas/Ninguna","B. Si la segunda es verdadera",""))</x:f>
      </x:c>
      <x:c r="F96" s="14" t="str">
        <x:f>IF($A96="Respuesta A/B/Ambas/Ninguna","C. Si ambas son verdaderas","")</x:f>
      </x:c>
      <x:c r="G96" s="14" t="str">
        <x:f>IF($A96="Respuesta A/B/Ambas/Ninguna","D. Si ninguna es verdadera","")</x:f>
      </x:c>
      <x:c r="H96" s="14" t="s">
        <x:v>2</x:v>
      </x:c>
      <x:c r="I96" s="14" t="str">
        <x:f>IF($A96="Verdadero o Falso Simple","A","")</x:f>
      </x:c>
      <x:c r="J96" s="14" t="s">
        <x:v>18</x:v>
      </x:c>
      <x:c r="K96" s="14" t="s">
        <x:v>4</x:v>
      </x:c>
      <x:c r="L96" s="16" t="str">
        <x:f>IF(TRIM($A96)="","",IF(COUNTIF($M96:$AG96,"?*")=0,"OK","Falta revisar: "&amp;$M96&amp;$N96&amp;$O96&amp;$P96&amp;$Q96&amp;$R96&amp;$S96&amp;$T96&amp;$U96&amp;$V96&amp;$W96&amp;$X96&amp;$Y96&amp;$Z96&amp;$AA96&amp;$AB96&amp;$AC96&amp;$AD96&amp;$AE96&amp;$AF96&amp;$AG96))</x:f>
        <x:v>OK</x:v>
      </x:c>
      <x:c r="M96" t="str">
        <x:f>IF(TRIM($C96)="","enunciado","")</x:f>
        <x:v>enunciado</x:v>
      </x:c>
      <x:c r="N96" t="str">
        <x:f>IF(TRIM($K96)="",IF(COUNTIF($M96:$M96,"?*")&gt;0,", ","")&amp;"parcial","")</x:f>
      </x:c>
      <x:c r="O96" t="str">
        <x:f>IF(AND(TRIM($K96)&lt;&gt;"",TRIM($K96)&lt;&gt;"EF"),IF(COUNTIF($M96:$N96,"?*")&gt;0,", ","")&amp;"parcial distinto a EF","")</x:f>
      </x:c>
      <x:c r="P96" t="str">
        <x:f>IF(AND(OR($A96="Ítems agrupados por caso clínico o problema",$A96="Subítem de caso o problema",$A96="Emparejamiento Ampliado",$A96="Opción de Emparejamiento Ampliado"),TRIM($B96)=""),IF(COUNTIF($M96:$O96,"?*")&gt;0,", ","")&amp;"grupo","")</x:f>
      </x:c>
      <x:c r="Q96" t="str">
        <x:f>IF(AND(OR($A96="Verdadero o Falso Simple",$A96="Respuesta A/B/Ambas/Ninguna",$A96="Verdadero o Falso Complejas",$A96="Selección de la mejor respuesta",$A96="Subítem de caso o problema",$A96="Opción de Emparejamiento Ampliado"),TRIM($I96)=""),IF(COUNTIF($M96:$P96,"?*")&gt;0,", ","")&amp;"respuesta_correcta","")</x:f>
      </x:c>
      <x:c r="R96" t="str">
        <x:f>IF(AND(OR($A96="Verdadero o Falso Simple",$A96="Respuesta A/B/Ambas/Ninguna",$A96="Verdadero o Falso Complejas",$A96="Selección de la mejor respuesta",$A96="Subítem de caso o problema",$A96="Opción de Emparejamiento Ampliado"),TRIM($J96)=""),IF(COUNTIF($M96:$Q96,"?*")&gt;0,", ","")&amp;"dificultad","")</x:f>
      </x:c>
      <x:c r="S96" t="str">
        <x:f>IF(AND(OR($A96="Ítems agrupados por caso clínico o problema",$A96="Emparejamiento Ampliado"),TRIM($I96)&lt;&gt;""),IF(COUNTIF($M96:$R96,"?*")&gt;0,", ","")&amp;"respuesta debe ir vacia","")</x:f>
      </x:c>
      <x:c r="T96" t="str">
        <x:f>IF(AND(OR($A96="Ítems agrupados por caso clínico o problema",$A96="Emparejamiento Ampliado"),TRIM($J96)&lt;&gt;""),IF(COUNTIF($M96:$S96,"?*")&gt;0,", ","")&amp;"dificultad debe ir vacia","")</x:f>
      </x:c>
      <x:c r="U96" t="str">
        <x:f>IF(AND($A96="Verdadero o Falso Simple",OR(COUNTIF($D96:$E96,"?*")&lt;2,COUNTIF($F96:$H96,"?*")&gt;0)),IF(COUNTIF($M96:$T96,"?*")&gt;0,", ","")&amp;"incisos A-B","")</x:f>
      </x:c>
      <x:c r="V96" t="str">
        <x:f>IF(AND($A96="Verdadero o Falso Simple",TRIM($I96)&lt;&gt;"",NOT(OR(LEFT(TRIM($I96),1)="A",LEFT(TRIM($I96),1)="B"))),IF(COUNTIF($M96:$U96,"?*")&gt;0,", ","")&amp;"respuesta A-B","")</x:f>
      </x:c>
      <x:c r="W96" t="str">
        <x:f>IF(AND($A96="Respuesta A/B/Ambas/Ninguna",COUNTIF($D96:$G96,"?*")&lt;4),IF(COUNTIF($M96:$V96,"?*")&gt;0,", ","")&amp;"opciones A-D","")</x:f>
      </x:c>
      <x:c r="X96" t="str">
        <x:f>IF(AND($A96="Respuesta A/B/Ambas/Ninguna",COUNTIF($H96:$H96,"?*")&gt;0),IF(COUNTIF($M96:$W96,"?*")&gt;0,", ","")&amp;"opcion E deshabilitada","")</x:f>
      </x:c>
      <x:c r="Y96" t="str">
        <x:f>IF(AND($A96="Respuesta A/B/Ambas/Ninguna",TRIM($I96)&lt;&gt;"",NOT(OR(LEFT(TRIM($I96),1)="A",LEFT(TRIM($I96),1)="B",LEFT(TRIM($I96),1)="C",LEFT(TRIM($I96),1)="D"))),IF(COUNTIF($M96:$X96,"?*")&gt;0,", ","")&amp;"respuesta A-D","")</x:f>
      </x:c>
      <x:c r="Z96" t="str">
        <x:f>IF(AND($A96="Verdadero o Falso Complejas",OR(LEN(TRIM(SUBSTITUTE($D96,"1.","")))=0,LEN(TRIM(SUBSTITUTE($E96,"2.","")))=0,LEN(TRIM(SUBSTITUTE($F96,"3.","")))=0,LEN(TRIM(SUBSTITUTE($G96,"4.","")))=0)),IF(COUNTIF($M96:$Y96,"?*")&gt;0,", ","")&amp;"incisos 1-4","")</x:f>
      </x:c>
      <x:c r="AA96" t="str">
        <x:f>IF(AND($A96="Verdadero o Falso Complejas",COUNTIF($H96:$H96,"?*")&gt;0),IF(COUNTIF($M96:$Z96,"?*")&gt;0,", ","")&amp;"opcion E deshabilitada","")</x:f>
      </x:c>
      <x:c r="AB96" t="str">
        <x:f>IF(AND($A96="Verdadero o Falso Complejas",TRIM($I96)&lt;&gt;"",NOT(OR(LEFT(TRIM($I96),1)="A",LEFT(TRIM($I96),1)="B",LEFT(TRIM($I96),1)="C",LEFT(TRIM($I96),1)="D",LEFT(TRIM($I96),1)="E"))),IF(COUNTIF($M96:$AA96,"?*")&gt;0,", ","")&amp;"respuesta A-E","")</x:f>
      </x:c>
      <x:c r="AC96" t="str">
        <x:f>IF(AND(OR($A96="Selección de la mejor respuesta",$A96="Subítem de caso o problema"),COUNTIF($D96:$H96,"?*")&lt;5),IF(COUNTIF($M96:$AB96,"?*")&gt;0,", ","")&amp;"incisos A-E","")</x:f>
      </x:c>
      <x:c r="AD96" t="str">
        <x:f>IF(AND(OR($A96="Selección de la mejor respuesta",$A96="Subítem de caso o problema"),TRIM($I96)&lt;&gt;"",NOT(OR(LEFT(TRIM($I96),1)="A",LEFT(TRIM($I96),1)="B",LEFT(TRIM($I96),1)="C",LEFT(TRIM($I96),1)="D",LEFT(TRIM($I96),1)="E"))),IF(COUNTIF($M96:$AC96,"?*")&gt;0,", ","")&amp;"respuesta A-E","")</x:f>
      </x:c>
      <x:c r="AE96" t="str">
        <x:f>IF(AND(OR($A96="Ítems agrupados por caso clínico o problema",$A96="Opción de Emparejamiento Ampliado"),COUNTIF($D96:$H96,"?*")&gt;0),IF(COUNTIF($M96:$AD96,"?*")&gt;0,", ","")&amp;"sin incisos","")</x:f>
      </x:c>
      <x:c r="AF96" t="str">
        <x:f>IF(AND($A96="Emparejamiento Ampliado",COUNTIF($D96:$H96,"?*")&lt;2),IF(COUNTIF($M96:$AE96,"?*")&gt;0,", ","")&amp;"minimo 2 claves","")</x:f>
      </x:c>
      <x:c r="AG96" t="str">
        <x:f>IF(AND($A96="Opción de Emparejamiento Ampliado",NOT(OR(LEFT(TRIM($I96),1)="A",LEFT(TRIM($I96),1)="B",LEFT(TRIM($I96),1)="C",LEFT(TRIM($I96),1)="D",LEFT(TRIM($I96),1)="E"))),IF(COUNTIF($M96:$AF96,"?*")&gt;0,", ","")&amp;"respuesta A-E","")</x:f>
      </x:c>
      <x:c r="AK96" s="32" t="str"/>
    </x:row>
    <x:row r="97" ht="24" customHeight="1">
      <x:c r="A97" s="14" t="s">
        <x:v>2</x:v>
      </x:c>
      <x:c r="B97" s="14" t="s">
        <x:v>2</x:v>
      </x:c>
      <x:c r="C97" s="15" t="str">
        <x:f>IF($A97="Emparejamiento Ampliado",VALIDACIONES!$I$1,IF($A97="Respuesta A/B/Ambas/Ninguna","I. "&amp;CHAR(10)&amp;"II. ",""))</x:f>
      </x:c>
      <x:c r="D97" s="14" t="str">
        <x:f>IF($A97="Verdadero o Falso Simple","Verdadero",IF($A97="Respuesta A/B/Ambas/Ninguna","A. Si la primera es verdadera",""))</x:f>
      </x:c>
      <x:c r="E97" s="14" t="str">
        <x:f>IF($A97="Verdadero o Falso Simple","Falso",IF($A97="Respuesta A/B/Ambas/Ninguna","B. Si la segunda es verdadera",""))</x:f>
      </x:c>
      <x:c r="F97" s="14" t="str">
        <x:f>IF($A97="Respuesta A/B/Ambas/Ninguna","C. Si ambas son verdaderas","")</x:f>
      </x:c>
      <x:c r="G97" s="14" t="str">
        <x:f>IF($A97="Respuesta A/B/Ambas/Ninguna","D. Si ninguna es verdadera","")</x:f>
      </x:c>
      <x:c r="H97" s="14" t="s">
        <x:v>2</x:v>
      </x:c>
      <x:c r="I97" s="14" t="str">
        <x:f>IF($A97="Verdadero o Falso Simple","A","")</x:f>
      </x:c>
      <x:c r="J97" s="14" t="s">
        <x:v>18</x:v>
      </x:c>
      <x:c r="K97" s="14" t="s">
        <x:v>4</x:v>
      </x:c>
      <x:c r="L97" s="16" t="str">
        <x:f>IF(TRIM($A97)="","",IF(COUNTIF($M97:$AG97,"?*")=0,"OK","Falta revisar: "&amp;$M97&amp;$N97&amp;$O97&amp;$P97&amp;$Q97&amp;$R97&amp;$S97&amp;$T97&amp;$U97&amp;$V97&amp;$W97&amp;$X97&amp;$Y97&amp;$Z97&amp;$AA97&amp;$AB97&amp;$AC97&amp;$AD97&amp;$AE97&amp;$AF97&amp;$AG97))</x:f>
        <x:v>OK</x:v>
      </x:c>
      <x:c r="M97" t="str">
        <x:f>IF(TRIM($C97)="","enunciado","")</x:f>
        <x:v>enunciado</x:v>
      </x:c>
      <x:c r="N97" t="str">
        <x:f>IF(TRIM($K97)="",IF(COUNTIF($M97:$M97,"?*")&gt;0,", ","")&amp;"parcial","")</x:f>
      </x:c>
      <x:c r="O97" t="str">
        <x:f>IF(AND(TRIM($K97)&lt;&gt;"",TRIM($K97)&lt;&gt;"EF"),IF(COUNTIF($M97:$N97,"?*")&gt;0,", ","")&amp;"parcial distinto a EF","")</x:f>
      </x:c>
      <x:c r="P97" t="str">
        <x:f>IF(AND(OR($A97="Ítems agrupados por caso clínico o problema",$A97="Subítem de caso o problema",$A97="Emparejamiento Ampliado",$A97="Opción de Emparejamiento Ampliado"),TRIM($B97)=""),IF(COUNTIF($M97:$O97,"?*")&gt;0,", ","")&amp;"grupo","")</x:f>
      </x:c>
      <x:c r="Q97" t="str">
        <x:f>IF(AND(OR($A97="Verdadero o Falso Simple",$A97="Respuesta A/B/Ambas/Ninguna",$A97="Verdadero o Falso Complejas",$A97="Selección de la mejor respuesta",$A97="Subítem de caso o problema",$A97="Opción de Emparejamiento Ampliado"),TRIM($I97)=""),IF(COUNTIF($M97:$P97,"?*")&gt;0,", ","")&amp;"respuesta_correcta","")</x:f>
      </x:c>
      <x:c r="R97" t="str">
        <x:f>IF(AND(OR($A97="Verdadero o Falso Simple",$A97="Respuesta A/B/Ambas/Ninguna",$A97="Verdadero o Falso Complejas",$A97="Selección de la mejor respuesta",$A97="Subítem de caso o problema",$A97="Opción de Emparejamiento Ampliado"),TRIM($J97)=""),IF(COUNTIF($M97:$Q97,"?*")&gt;0,", ","")&amp;"dificultad","")</x:f>
      </x:c>
      <x:c r="S97" t="str">
        <x:f>IF(AND(OR($A97="Ítems agrupados por caso clínico o problema",$A97="Emparejamiento Ampliado"),TRIM($I97)&lt;&gt;""),IF(COUNTIF($M97:$R97,"?*")&gt;0,", ","")&amp;"respuesta debe ir vacia","")</x:f>
      </x:c>
      <x:c r="T97" t="str">
        <x:f>IF(AND(OR($A97="Ítems agrupados por caso clínico o problema",$A97="Emparejamiento Ampliado"),TRIM($J97)&lt;&gt;""),IF(COUNTIF($M97:$S97,"?*")&gt;0,", ","")&amp;"dificultad debe ir vacia","")</x:f>
      </x:c>
      <x:c r="U97" t="str">
        <x:f>IF(AND($A97="Verdadero o Falso Simple",OR(COUNTIF($D97:$E97,"?*")&lt;2,COUNTIF($F97:$H97,"?*")&gt;0)),IF(COUNTIF($M97:$T97,"?*")&gt;0,", ","")&amp;"incisos A-B","")</x:f>
      </x:c>
      <x:c r="V97" t="str">
        <x:f>IF(AND($A97="Verdadero o Falso Simple",TRIM($I97)&lt;&gt;"",NOT(OR(LEFT(TRIM($I97),1)="A",LEFT(TRIM($I97),1)="B"))),IF(COUNTIF($M97:$U97,"?*")&gt;0,", ","")&amp;"respuesta A-B","")</x:f>
      </x:c>
      <x:c r="W97" t="str">
        <x:f>IF(AND($A97="Respuesta A/B/Ambas/Ninguna",COUNTIF($D97:$G97,"?*")&lt;4),IF(COUNTIF($M97:$V97,"?*")&gt;0,", ","")&amp;"opciones A-D","")</x:f>
      </x:c>
      <x:c r="X97" t="str">
        <x:f>IF(AND($A97="Respuesta A/B/Ambas/Ninguna",COUNTIF($H97:$H97,"?*")&gt;0),IF(COUNTIF($M97:$W97,"?*")&gt;0,", ","")&amp;"opcion E deshabilitada","")</x:f>
      </x:c>
      <x:c r="Y97" t="str">
        <x:f>IF(AND($A97="Respuesta A/B/Ambas/Ninguna",TRIM($I97)&lt;&gt;"",NOT(OR(LEFT(TRIM($I97),1)="A",LEFT(TRIM($I97),1)="B",LEFT(TRIM($I97),1)="C",LEFT(TRIM($I97),1)="D"))),IF(COUNTIF($M97:$X97,"?*")&gt;0,", ","")&amp;"respuesta A-D","")</x:f>
      </x:c>
      <x:c r="Z97" t="str">
        <x:f>IF(AND($A97="Verdadero o Falso Complejas",OR(LEN(TRIM(SUBSTITUTE($D97,"1.","")))=0,LEN(TRIM(SUBSTITUTE($E97,"2.","")))=0,LEN(TRIM(SUBSTITUTE($F97,"3.","")))=0,LEN(TRIM(SUBSTITUTE($G97,"4.","")))=0)),IF(COUNTIF($M97:$Y97,"?*")&gt;0,", ","")&amp;"incisos 1-4","")</x:f>
      </x:c>
      <x:c r="AA97" t="str">
        <x:f>IF(AND($A97="Verdadero o Falso Complejas",COUNTIF($H97:$H97,"?*")&gt;0),IF(COUNTIF($M97:$Z97,"?*")&gt;0,", ","")&amp;"opcion E deshabilitada","")</x:f>
      </x:c>
      <x:c r="AB97" t="str">
        <x:f>IF(AND($A97="Verdadero o Falso Complejas",TRIM($I97)&lt;&gt;"",NOT(OR(LEFT(TRIM($I97),1)="A",LEFT(TRIM($I97),1)="B",LEFT(TRIM($I97),1)="C",LEFT(TRIM($I97),1)="D",LEFT(TRIM($I97),1)="E"))),IF(COUNTIF($M97:$AA97,"?*")&gt;0,", ","")&amp;"respuesta A-E","")</x:f>
      </x:c>
      <x:c r="AC97" t="str">
        <x:f>IF(AND(OR($A97="Selección de la mejor respuesta",$A97="Subítem de caso o problema"),COUNTIF($D97:$H97,"?*")&lt;5),IF(COUNTIF($M97:$AB97,"?*")&gt;0,", ","")&amp;"incisos A-E","")</x:f>
      </x:c>
      <x:c r="AD97" t="str">
        <x:f>IF(AND(OR($A97="Selección de la mejor respuesta",$A97="Subítem de caso o problema"),TRIM($I97)&lt;&gt;"",NOT(OR(LEFT(TRIM($I97),1)="A",LEFT(TRIM($I97),1)="B",LEFT(TRIM($I97),1)="C",LEFT(TRIM($I97),1)="D",LEFT(TRIM($I97),1)="E"))),IF(COUNTIF($M97:$AC97,"?*")&gt;0,", ","")&amp;"respuesta A-E","")</x:f>
      </x:c>
      <x:c r="AE97" t="str">
        <x:f>IF(AND(OR($A97="Ítems agrupados por caso clínico o problema",$A97="Opción de Emparejamiento Ampliado"),COUNTIF($D97:$H97,"?*")&gt;0),IF(COUNTIF($M97:$AD97,"?*")&gt;0,", ","")&amp;"sin incisos","")</x:f>
      </x:c>
      <x:c r="AF97" t="str">
        <x:f>IF(AND($A97="Emparejamiento Ampliado",COUNTIF($D97:$H97,"?*")&lt;2),IF(COUNTIF($M97:$AE97,"?*")&gt;0,", ","")&amp;"minimo 2 claves","")</x:f>
      </x:c>
      <x:c r="AG97" t="str">
        <x:f>IF(AND($A97="Opción de Emparejamiento Ampliado",NOT(OR(LEFT(TRIM($I97),1)="A",LEFT(TRIM($I97),1)="B",LEFT(TRIM($I97),1)="C",LEFT(TRIM($I97),1)="D",LEFT(TRIM($I97),1)="E"))),IF(COUNTIF($M97:$AF97,"?*")&gt;0,", ","")&amp;"respuesta A-E","")</x:f>
      </x:c>
      <x:c r="AK97" s="32" t="str"/>
    </x:row>
    <x:row r="98" ht="24" customHeight="1">
      <x:c r="A98" s="14" t="s">
        <x:v>2</x:v>
      </x:c>
      <x:c r="B98" s="14" t="s">
        <x:v>2</x:v>
      </x:c>
      <x:c r="C98" s="15" t="str">
        <x:f>IF($A98="Emparejamiento Ampliado",VALIDACIONES!$I$1,IF($A98="Respuesta A/B/Ambas/Ninguna","I. "&amp;CHAR(10)&amp;"II. ",""))</x:f>
      </x:c>
      <x:c r="D98" s="14" t="str">
        <x:f>IF($A98="Verdadero o Falso Simple","Verdadero",IF($A98="Respuesta A/B/Ambas/Ninguna","A. Si la primera es verdadera",""))</x:f>
      </x:c>
      <x:c r="E98" s="14" t="str">
        <x:f>IF($A98="Verdadero o Falso Simple","Falso",IF($A98="Respuesta A/B/Ambas/Ninguna","B. Si la segunda es verdadera",""))</x:f>
      </x:c>
      <x:c r="F98" s="14" t="str">
        <x:f>IF($A98="Respuesta A/B/Ambas/Ninguna","C. Si ambas son verdaderas","")</x:f>
      </x:c>
      <x:c r="G98" s="14" t="str">
        <x:f>IF($A98="Respuesta A/B/Ambas/Ninguna","D. Si ninguna es verdadera","")</x:f>
      </x:c>
      <x:c r="H98" s="14" t="s">
        <x:v>2</x:v>
      </x:c>
      <x:c r="I98" s="14" t="str">
        <x:f>IF($A98="Verdadero o Falso Simple","A","")</x:f>
      </x:c>
      <x:c r="J98" s="14" t="s">
        <x:v>18</x:v>
      </x:c>
      <x:c r="K98" s="14" t="s">
        <x:v>4</x:v>
      </x:c>
      <x:c r="L98" s="16" t="str">
        <x:f>IF(TRIM($A98)="","",IF(COUNTIF($M98:$AG98,"?*")=0,"OK","Falta revisar: "&amp;$M98&amp;$N98&amp;$O98&amp;$P98&amp;$Q98&amp;$R98&amp;$S98&amp;$T98&amp;$U98&amp;$V98&amp;$W98&amp;$X98&amp;$Y98&amp;$Z98&amp;$AA98&amp;$AB98&amp;$AC98&amp;$AD98&amp;$AE98&amp;$AF98&amp;$AG98))</x:f>
        <x:v>OK</x:v>
      </x:c>
      <x:c r="M98" t="str">
        <x:f>IF(TRIM($C98)="","enunciado","")</x:f>
        <x:v>enunciado</x:v>
      </x:c>
      <x:c r="N98" t="str">
        <x:f>IF(TRIM($K98)="",IF(COUNTIF($M98:$M98,"?*")&gt;0,", ","")&amp;"parcial","")</x:f>
      </x:c>
      <x:c r="O98" t="str">
        <x:f>IF(AND(TRIM($K98)&lt;&gt;"",TRIM($K98)&lt;&gt;"EF"),IF(COUNTIF($M98:$N98,"?*")&gt;0,", ","")&amp;"parcial distinto a EF","")</x:f>
      </x:c>
      <x:c r="P98" t="str">
        <x:f>IF(AND(OR($A98="Ítems agrupados por caso clínico o problema",$A98="Subítem de caso o problema",$A98="Emparejamiento Ampliado",$A98="Opción de Emparejamiento Ampliado"),TRIM($B98)=""),IF(COUNTIF($M98:$O98,"?*")&gt;0,", ","")&amp;"grupo","")</x:f>
      </x:c>
      <x:c r="Q98" t="str">
        <x:f>IF(AND(OR($A98="Verdadero o Falso Simple",$A98="Respuesta A/B/Ambas/Ninguna",$A98="Verdadero o Falso Complejas",$A98="Selección de la mejor respuesta",$A98="Subítem de caso o problema",$A98="Opción de Emparejamiento Ampliado"),TRIM($I98)=""),IF(COUNTIF($M98:$P98,"?*")&gt;0,", ","")&amp;"respuesta_correcta","")</x:f>
      </x:c>
      <x:c r="R98" t="str">
        <x:f>IF(AND(OR($A98="Verdadero o Falso Simple",$A98="Respuesta A/B/Ambas/Ninguna",$A98="Verdadero o Falso Complejas",$A98="Selección de la mejor respuesta",$A98="Subítem de caso o problema",$A98="Opción de Emparejamiento Ampliado"),TRIM($J98)=""),IF(COUNTIF($M98:$Q98,"?*")&gt;0,", ","")&amp;"dificultad","")</x:f>
      </x:c>
      <x:c r="S98" t="str">
        <x:f>IF(AND(OR($A98="Ítems agrupados por caso clínico o problema",$A98="Emparejamiento Ampliado"),TRIM($I98)&lt;&gt;""),IF(COUNTIF($M98:$R98,"?*")&gt;0,", ","")&amp;"respuesta debe ir vacia","")</x:f>
      </x:c>
      <x:c r="T98" t="str">
        <x:f>IF(AND(OR($A98="Ítems agrupados por caso clínico o problema",$A98="Emparejamiento Ampliado"),TRIM($J98)&lt;&gt;""),IF(COUNTIF($M98:$S98,"?*")&gt;0,", ","")&amp;"dificultad debe ir vacia","")</x:f>
      </x:c>
      <x:c r="U98" t="str">
        <x:f>IF(AND($A98="Verdadero o Falso Simple",OR(COUNTIF($D98:$E98,"?*")&lt;2,COUNTIF($F98:$H98,"?*")&gt;0)),IF(COUNTIF($M98:$T98,"?*")&gt;0,", ","")&amp;"incisos A-B","")</x:f>
      </x:c>
      <x:c r="V98" t="str">
        <x:f>IF(AND($A98="Verdadero o Falso Simple",TRIM($I98)&lt;&gt;"",NOT(OR(LEFT(TRIM($I98),1)="A",LEFT(TRIM($I98),1)="B"))),IF(COUNTIF($M98:$U98,"?*")&gt;0,", ","")&amp;"respuesta A-B","")</x:f>
      </x:c>
      <x:c r="W98" t="str">
        <x:f>IF(AND($A98="Respuesta A/B/Ambas/Ninguna",COUNTIF($D98:$G98,"?*")&lt;4),IF(COUNTIF($M98:$V98,"?*")&gt;0,", ","")&amp;"opciones A-D","")</x:f>
      </x:c>
      <x:c r="X98" t="str">
        <x:f>IF(AND($A98="Respuesta A/B/Ambas/Ninguna",COUNTIF($H98:$H98,"?*")&gt;0),IF(COUNTIF($M98:$W98,"?*")&gt;0,", ","")&amp;"opcion E deshabilitada","")</x:f>
      </x:c>
      <x:c r="Y98" t="str">
        <x:f>IF(AND($A98="Respuesta A/B/Ambas/Ninguna",TRIM($I98)&lt;&gt;"",NOT(OR(LEFT(TRIM($I98),1)="A",LEFT(TRIM($I98),1)="B",LEFT(TRIM($I98),1)="C",LEFT(TRIM($I98),1)="D"))),IF(COUNTIF($M98:$X98,"?*")&gt;0,", ","")&amp;"respuesta A-D","")</x:f>
      </x:c>
      <x:c r="Z98" t="str">
        <x:f>IF(AND($A98="Verdadero o Falso Complejas",OR(LEN(TRIM(SUBSTITUTE($D98,"1.","")))=0,LEN(TRIM(SUBSTITUTE($E98,"2.","")))=0,LEN(TRIM(SUBSTITUTE($F98,"3.","")))=0,LEN(TRIM(SUBSTITUTE($G98,"4.","")))=0)),IF(COUNTIF($M98:$Y98,"?*")&gt;0,", ","")&amp;"incisos 1-4","")</x:f>
      </x:c>
      <x:c r="AA98" t="str">
        <x:f>IF(AND($A98="Verdadero o Falso Complejas",COUNTIF($H98:$H98,"?*")&gt;0),IF(COUNTIF($M98:$Z98,"?*")&gt;0,", ","")&amp;"opcion E deshabilitada","")</x:f>
      </x:c>
      <x:c r="AB98" t="str">
        <x:f>IF(AND($A98="Verdadero o Falso Complejas",TRIM($I98)&lt;&gt;"",NOT(OR(LEFT(TRIM($I98),1)="A",LEFT(TRIM($I98),1)="B",LEFT(TRIM($I98),1)="C",LEFT(TRIM($I98),1)="D",LEFT(TRIM($I98),1)="E"))),IF(COUNTIF($M98:$AA98,"?*")&gt;0,", ","")&amp;"respuesta A-E","")</x:f>
      </x:c>
      <x:c r="AC98" t="str">
        <x:f>IF(AND(OR($A98="Selección de la mejor respuesta",$A98="Subítem de caso o problema"),COUNTIF($D98:$H98,"?*")&lt;5),IF(COUNTIF($M98:$AB98,"?*")&gt;0,", ","")&amp;"incisos A-E","")</x:f>
      </x:c>
      <x:c r="AD98" t="str">
        <x:f>IF(AND(OR($A98="Selección de la mejor respuesta",$A98="Subítem de caso o problema"),TRIM($I98)&lt;&gt;"",NOT(OR(LEFT(TRIM($I98),1)="A",LEFT(TRIM($I98),1)="B",LEFT(TRIM($I98),1)="C",LEFT(TRIM($I98),1)="D",LEFT(TRIM($I98),1)="E"))),IF(COUNTIF($M98:$AC98,"?*")&gt;0,", ","")&amp;"respuesta A-E","")</x:f>
      </x:c>
      <x:c r="AE98" t="str">
        <x:f>IF(AND(OR($A98="Ítems agrupados por caso clínico o problema",$A98="Opción de Emparejamiento Ampliado"),COUNTIF($D98:$H98,"?*")&gt;0),IF(COUNTIF($M98:$AD98,"?*")&gt;0,", ","")&amp;"sin incisos","")</x:f>
      </x:c>
      <x:c r="AF98" t="str">
        <x:f>IF(AND($A98="Emparejamiento Ampliado",COUNTIF($D98:$H98,"?*")&lt;2),IF(COUNTIF($M98:$AE98,"?*")&gt;0,", ","")&amp;"minimo 2 claves","")</x:f>
      </x:c>
      <x:c r="AG98" t="str">
        <x:f>IF(AND($A98="Opción de Emparejamiento Ampliado",NOT(OR(LEFT(TRIM($I98),1)="A",LEFT(TRIM($I98),1)="B",LEFT(TRIM($I98),1)="C",LEFT(TRIM($I98),1)="D",LEFT(TRIM($I98),1)="E"))),IF(COUNTIF($M98:$AF98,"?*")&gt;0,", ","")&amp;"respuesta A-E","")</x:f>
      </x:c>
      <x:c r="AK98" s="32" t="str"/>
    </x:row>
    <x:row r="99" ht="24" customHeight="1">
      <x:c r="A99" s="14" t="s">
        <x:v>2</x:v>
      </x:c>
      <x:c r="B99" s="14" t="s">
        <x:v>2</x:v>
      </x:c>
      <x:c r="C99" s="15" t="str">
        <x:f>IF($A99="Emparejamiento Ampliado",VALIDACIONES!$I$1,IF($A99="Respuesta A/B/Ambas/Ninguna","I. "&amp;CHAR(10)&amp;"II. ",""))</x:f>
      </x:c>
      <x:c r="D99" s="14" t="str">
        <x:f>IF($A99="Verdadero o Falso Simple","Verdadero",IF($A99="Respuesta A/B/Ambas/Ninguna","A. Si la primera es verdadera",""))</x:f>
      </x:c>
      <x:c r="E99" s="14" t="str">
        <x:f>IF($A99="Verdadero o Falso Simple","Falso",IF($A99="Respuesta A/B/Ambas/Ninguna","B. Si la segunda es verdadera",""))</x:f>
      </x:c>
      <x:c r="F99" s="14" t="str">
        <x:f>IF($A99="Respuesta A/B/Ambas/Ninguna","C. Si ambas son verdaderas","")</x:f>
      </x:c>
      <x:c r="G99" s="14" t="str">
        <x:f>IF($A99="Respuesta A/B/Ambas/Ninguna","D. Si ninguna es verdadera","")</x:f>
      </x:c>
      <x:c r="H99" s="14" t="s">
        <x:v>2</x:v>
      </x:c>
      <x:c r="I99" s="14" t="str">
        <x:f>IF($A99="Verdadero o Falso Simple","A","")</x:f>
      </x:c>
      <x:c r="J99" s="14" t="s">
        <x:v>18</x:v>
      </x:c>
      <x:c r="K99" s="14" t="s">
        <x:v>4</x:v>
      </x:c>
      <x:c r="L99" s="16" t="str">
        <x:f>IF(TRIM($A99)="","",IF(COUNTIF($M99:$AG99,"?*")=0,"OK","Falta revisar: "&amp;$M99&amp;$N99&amp;$O99&amp;$P99&amp;$Q99&amp;$R99&amp;$S99&amp;$T99&amp;$U99&amp;$V99&amp;$W99&amp;$X99&amp;$Y99&amp;$Z99&amp;$AA99&amp;$AB99&amp;$AC99&amp;$AD99&amp;$AE99&amp;$AF99&amp;$AG99))</x:f>
        <x:v>OK</x:v>
      </x:c>
      <x:c r="M99" t="str">
        <x:f>IF(TRIM($C99)="","enunciado","")</x:f>
        <x:v>enunciado</x:v>
      </x:c>
      <x:c r="N99" t="str">
        <x:f>IF(TRIM($K99)="",IF(COUNTIF($M99:$M99,"?*")&gt;0,", ","")&amp;"parcial","")</x:f>
      </x:c>
      <x:c r="O99" t="str">
        <x:f>IF(AND(TRIM($K99)&lt;&gt;"",TRIM($K99)&lt;&gt;"EF"),IF(COUNTIF($M99:$N99,"?*")&gt;0,", ","")&amp;"parcial distinto a EF","")</x:f>
      </x:c>
      <x:c r="P99" t="str">
        <x:f>IF(AND(OR($A99="Ítems agrupados por caso clínico o problema",$A99="Subítem de caso o problema",$A99="Emparejamiento Ampliado",$A99="Opción de Emparejamiento Ampliado"),TRIM($B99)=""),IF(COUNTIF($M99:$O99,"?*")&gt;0,", ","")&amp;"grupo","")</x:f>
      </x:c>
      <x:c r="Q99" t="str">
        <x:f>IF(AND(OR($A99="Verdadero o Falso Simple",$A99="Respuesta A/B/Ambas/Ninguna",$A99="Verdadero o Falso Complejas",$A99="Selección de la mejor respuesta",$A99="Subítem de caso o problema",$A99="Opción de Emparejamiento Ampliado"),TRIM($I99)=""),IF(COUNTIF($M99:$P99,"?*")&gt;0,", ","")&amp;"respuesta_correcta","")</x:f>
      </x:c>
      <x:c r="R99" t="str">
        <x:f>IF(AND(OR($A99="Verdadero o Falso Simple",$A99="Respuesta A/B/Ambas/Ninguna",$A99="Verdadero o Falso Complejas",$A99="Selección de la mejor respuesta",$A99="Subítem de caso o problema",$A99="Opción de Emparejamiento Ampliado"),TRIM($J99)=""),IF(COUNTIF($M99:$Q99,"?*")&gt;0,", ","")&amp;"dificultad","")</x:f>
      </x:c>
      <x:c r="S99" t="str">
        <x:f>IF(AND(OR($A99="Ítems agrupados por caso clínico o problema",$A99="Emparejamiento Ampliado"),TRIM($I99)&lt;&gt;""),IF(COUNTIF($M99:$R99,"?*")&gt;0,", ","")&amp;"respuesta debe ir vacia","")</x:f>
      </x:c>
      <x:c r="T99" t="str">
        <x:f>IF(AND(OR($A99="Ítems agrupados por caso clínico o problema",$A99="Emparejamiento Ampliado"),TRIM($J99)&lt;&gt;""),IF(COUNTIF($M99:$S99,"?*")&gt;0,", ","")&amp;"dificultad debe ir vacia","")</x:f>
      </x:c>
      <x:c r="U99" t="str">
        <x:f>IF(AND($A99="Verdadero o Falso Simple",OR(COUNTIF($D99:$E99,"?*")&lt;2,COUNTIF($F99:$H99,"?*")&gt;0)),IF(COUNTIF($M99:$T99,"?*")&gt;0,", ","")&amp;"incisos A-B","")</x:f>
      </x:c>
      <x:c r="V99" t="str">
        <x:f>IF(AND($A99="Verdadero o Falso Simple",TRIM($I99)&lt;&gt;"",NOT(OR(LEFT(TRIM($I99),1)="A",LEFT(TRIM($I99),1)="B"))),IF(COUNTIF($M99:$U99,"?*")&gt;0,", ","")&amp;"respuesta A-B","")</x:f>
      </x:c>
      <x:c r="W99" t="str">
        <x:f>IF(AND($A99="Respuesta A/B/Ambas/Ninguna",COUNTIF($D99:$G99,"?*")&lt;4),IF(COUNTIF($M99:$V99,"?*")&gt;0,", ","")&amp;"opciones A-D","")</x:f>
      </x:c>
      <x:c r="X99" t="str">
        <x:f>IF(AND($A99="Respuesta A/B/Ambas/Ninguna",COUNTIF($H99:$H99,"?*")&gt;0),IF(COUNTIF($M99:$W99,"?*")&gt;0,", ","")&amp;"opcion E deshabilitada","")</x:f>
      </x:c>
      <x:c r="Y99" t="str">
        <x:f>IF(AND($A99="Respuesta A/B/Ambas/Ninguna",TRIM($I99)&lt;&gt;"",NOT(OR(LEFT(TRIM($I99),1)="A",LEFT(TRIM($I99),1)="B",LEFT(TRIM($I99),1)="C",LEFT(TRIM($I99),1)="D"))),IF(COUNTIF($M99:$X99,"?*")&gt;0,", ","")&amp;"respuesta A-D","")</x:f>
      </x:c>
      <x:c r="Z99" t="str">
        <x:f>IF(AND($A99="Verdadero o Falso Complejas",OR(LEN(TRIM(SUBSTITUTE($D99,"1.","")))=0,LEN(TRIM(SUBSTITUTE($E99,"2.","")))=0,LEN(TRIM(SUBSTITUTE($F99,"3.","")))=0,LEN(TRIM(SUBSTITUTE($G99,"4.","")))=0)),IF(COUNTIF($M99:$Y99,"?*")&gt;0,", ","")&amp;"incisos 1-4","")</x:f>
      </x:c>
      <x:c r="AA99" t="str">
        <x:f>IF(AND($A99="Verdadero o Falso Complejas",COUNTIF($H99:$H99,"?*")&gt;0),IF(COUNTIF($M99:$Z99,"?*")&gt;0,", ","")&amp;"opcion E deshabilitada","")</x:f>
      </x:c>
      <x:c r="AB99" t="str">
        <x:f>IF(AND($A99="Verdadero o Falso Complejas",TRIM($I99)&lt;&gt;"",NOT(OR(LEFT(TRIM($I99),1)="A",LEFT(TRIM($I99),1)="B",LEFT(TRIM($I99),1)="C",LEFT(TRIM($I99),1)="D",LEFT(TRIM($I99),1)="E"))),IF(COUNTIF($M99:$AA99,"?*")&gt;0,", ","")&amp;"respuesta A-E","")</x:f>
      </x:c>
      <x:c r="AC99" t="str">
        <x:f>IF(AND(OR($A99="Selección de la mejor respuesta",$A99="Subítem de caso o problema"),COUNTIF($D99:$H99,"?*")&lt;5),IF(COUNTIF($M99:$AB99,"?*")&gt;0,", ","")&amp;"incisos A-E","")</x:f>
      </x:c>
      <x:c r="AD99" t="str">
        <x:f>IF(AND(OR($A99="Selección de la mejor respuesta",$A99="Subítem de caso o problema"),TRIM($I99)&lt;&gt;"",NOT(OR(LEFT(TRIM($I99),1)="A",LEFT(TRIM($I99),1)="B",LEFT(TRIM($I99),1)="C",LEFT(TRIM($I99),1)="D",LEFT(TRIM($I99),1)="E"))),IF(COUNTIF($M99:$AC99,"?*")&gt;0,", ","")&amp;"respuesta A-E","")</x:f>
      </x:c>
      <x:c r="AE99" t="str">
        <x:f>IF(AND(OR($A99="Ítems agrupados por caso clínico o problema",$A99="Opción de Emparejamiento Ampliado"),COUNTIF($D99:$H99,"?*")&gt;0),IF(COUNTIF($M99:$AD99,"?*")&gt;0,", ","")&amp;"sin incisos","")</x:f>
      </x:c>
      <x:c r="AF99" t="str">
        <x:f>IF(AND($A99="Emparejamiento Ampliado",COUNTIF($D99:$H99,"?*")&lt;2),IF(COUNTIF($M99:$AE99,"?*")&gt;0,", ","")&amp;"minimo 2 claves","")</x:f>
      </x:c>
      <x:c r="AG99" t="str">
        <x:f>IF(AND($A99="Opción de Emparejamiento Ampliado",NOT(OR(LEFT(TRIM($I99),1)="A",LEFT(TRIM($I99),1)="B",LEFT(TRIM($I99),1)="C",LEFT(TRIM($I99),1)="D",LEFT(TRIM($I99),1)="E"))),IF(COUNTIF($M99:$AF99,"?*")&gt;0,", ","")&amp;"respuesta A-E","")</x:f>
      </x:c>
      <x:c r="AK99" s="32" t="str"/>
    </x:row>
    <x:row r="100" ht="24" customHeight="1">
      <x:c r="A100" s="14" t="s">
        <x:v>2</x:v>
      </x:c>
      <x:c r="B100" s="14" t="s">
        <x:v>2</x:v>
      </x:c>
      <x:c r="C100" s="15" t="str">
        <x:f>IF($A100="Emparejamiento Ampliado",VALIDACIONES!$I$1,IF($A100="Respuesta A/B/Ambas/Ninguna","I. "&amp;CHAR(10)&amp;"II. ",""))</x:f>
      </x:c>
      <x:c r="D100" s="14" t="str">
        <x:f>IF($A100="Verdadero o Falso Simple","Verdadero",IF($A100="Respuesta A/B/Ambas/Ninguna","A. Si la primera es verdadera",""))</x:f>
      </x:c>
      <x:c r="E100" s="14" t="str">
        <x:f>IF($A100="Verdadero o Falso Simple","Falso",IF($A100="Respuesta A/B/Ambas/Ninguna","B. Si la segunda es verdadera",""))</x:f>
      </x:c>
      <x:c r="F100" s="14" t="str">
        <x:f>IF($A100="Respuesta A/B/Ambas/Ninguna","C. Si ambas son verdaderas","")</x:f>
      </x:c>
      <x:c r="G100" s="14" t="str">
        <x:f>IF($A100="Respuesta A/B/Ambas/Ninguna","D. Si ninguna es verdadera","")</x:f>
      </x:c>
      <x:c r="H100" s="14" t="s">
        <x:v>2</x:v>
      </x:c>
      <x:c r="I100" s="14" t="str">
        <x:f>IF($A100="Verdadero o Falso Simple","A","")</x:f>
      </x:c>
      <x:c r="J100" s="14" t="s">
        <x:v>18</x:v>
      </x:c>
      <x:c r="K100" s="14" t="s">
        <x:v>4</x:v>
      </x:c>
      <x:c r="L100" s="16" t="str">
        <x:f>IF(TRIM($A100)="","",IF(COUNTIF($M100:$AG100,"?*")=0,"OK","Falta revisar: "&amp;$M100&amp;$N100&amp;$O100&amp;$P100&amp;$Q100&amp;$R100&amp;$S100&amp;$T100&amp;$U100&amp;$V100&amp;$W100&amp;$X100&amp;$Y100&amp;$Z100&amp;$AA100&amp;$AB100&amp;$AC100&amp;$AD100&amp;$AE100&amp;$AF100&amp;$AG100))</x:f>
        <x:v>OK</x:v>
      </x:c>
      <x:c r="M100" t="str">
        <x:f>IF(TRIM($C100)="","enunciado","")</x:f>
        <x:v>enunciado</x:v>
      </x:c>
      <x:c r="N100" t="str">
        <x:f>IF(TRIM($K100)="",IF(COUNTIF($M100:$M100,"?*")&gt;0,", ","")&amp;"parcial","")</x:f>
      </x:c>
      <x:c r="O100" t="str">
        <x:f>IF(AND(TRIM($K100)&lt;&gt;"",TRIM($K100)&lt;&gt;"EF"),IF(COUNTIF($M100:$N100,"?*")&gt;0,", ","")&amp;"parcial distinto a EF","")</x:f>
      </x:c>
      <x:c r="P100" t="str">
        <x:f>IF(AND(OR($A100="Ítems agrupados por caso clínico o problema",$A100="Subítem de caso o problema",$A100="Emparejamiento Ampliado",$A100="Opción de Emparejamiento Ampliado"),TRIM($B100)=""),IF(COUNTIF($M100:$O100,"?*")&gt;0,", ","")&amp;"grupo","")</x:f>
      </x:c>
      <x:c r="Q100" t="str">
        <x:f>IF(AND(OR($A100="Verdadero o Falso Simple",$A100="Respuesta A/B/Ambas/Ninguna",$A100="Verdadero o Falso Complejas",$A100="Selección de la mejor respuesta",$A100="Subítem de caso o problema",$A100="Opción de Emparejamiento Ampliado"),TRIM($I100)=""),IF(COUNTIF($M100:$P100,"?*")&gt;0,", ","")&amp;"respuesta_correcta","")</x:f>
      </x:c>
      <x:c r="R100" t="str">
        <x:f>IF(AND(OR($A100="Verdadero o Falso Simple",$A100="Respuesta A/B/Ambas/Ninguna",$A100="Verdadero o Falso Complejas",$A100="Selección de la mejor respuesta",$A100="Subítem de caso o problema",$A100="Opción de Emparejamiento Ampliado"),TRIM($J100)=""),IF(COUNTIF($M100:$Q100,"?*")&gt;0,", ","")&amp;"dificultad","")</x:f>
      </x:c>
      <x:c r="S100" t="str">
        <x:f>IF(AND(OR($A100="Ítems agrupados por caso clínico o problema",$A100="Emparejamiento Ampliado"),TRIM($I100)&lt;&gt;""),IF(COUNTIF($M100:$R100,"?*")&gt;0,", ","")&amp;"respuesta debe ir vacia","")</x:f>
      </x:c>
      <x:c r="T100" t="str">
        <x:f>IF(AND(OR($A100="Ítems agrupados por caso clínico o problema",$A100="Emparejamiento Ampliado"),TRIM($J100)&lt;&gt;""),IF(COUNTIF($M100:$S100,"?*")&gt;0,", ","")&amp;"dificultad debe ir vacia","")</x:f>
      </x:c>
      <x:c r="U100" t="str">
        <x:f>IF(AND($A100="Verdadero o Falso Simple",OR(COUNTIF($D100:$E100,"?*")&lt;2,COUNTIF($F100:$H100,"?*")&gt;0)),IF(COUNTIF($M100:$T100,"?*")&gt;0,", ","")&amp;"incisos A-B","")</x:f>
      </x:c>
      <x:c r="V100" t="str">
        <x:f>IF(AND($A100="Verdadero o Falso Simple",TRIM($I100)&lt;&gt;"",NOT(OR(LEFT(TRIM($I100),1)="A",LEFT(TRIM($I100),1)="B"))),IF(COUNTIF($M100:$U100,"?*")&gt;0,", ","")&amp;"respuesta A-B","")</x:f>
      </x:c>
      <x:c r="W100" t="str">
        <x:f>IF(AND($A100="Respuesta A/B/Ambas/Ninguna",COUNTIF($D100:$G100,"?*")&lt;4),IF(COUNTIF($M100:$V100,"?*")&gt;0,", ","")&amp;"opciones A-D","")</x:f>
      </x:c>
      <x:c r="X100" t="str">
        <x:f>IF(AND($A100="Respuesta A/B/Ambas/Ninguna",COUNTIF($H100:$H100,"?*")&gt;0),IF(COUNTIF($M100:$W100,"?*")&gt;0,", ","")&amp;"opcion E deshabilitada","")</x:f>
      </x:c>
      <x:c r="Y100" t="str">
        <x:f>IF(AND($A100="Respuesta A/B/Ambas/Ninguna",TRIM($I100)&lt;&gt;"",NOT(OR(LEFT(TRIM($I100),1)="A",LEFT(TRIM($I100),1)="B",LEFT(TRIM($I100),1)="C",LEFT(TRIM($I100),1)="D"))),IF(COUNTIF($M100:$X100,"?*")&gt;0,", ","")&amp;"respuesta A-D","")</x:f>
      </x:c>
      <x:c r="Z100" t="str">
        <x:f>IF(AND($A100="Verdadero o Falso Complejas",OR(LEN(TRIM(SUBSTITUTE($D100,"1.","")))=0,LEN(TRIM(SUBSTITUTE($E100,"2.","")))=0,LEN(TRIM(SUBSTITUTE($F100,"3.","")))=0,LEN(TRIM(SUBSTITUTE($G100,"4.","")))=0)),IF(COUNTIF($M100:$Y100,"?*")&gt;0,", ","")&amp;"incisos 1-4","")</x:f>
      </x:c>
      <x:c r="AA100" t="str">
        <x:f>IF(AND($A100="Verdadero o Falso Complejas",COUNTIF($H100:$H100,"?*")&gt;0),IF(COUNTIF($M100:$Z100,"?*")&gt;0,", ","")&amp;"opcion E deshabilitada","")</x:f>
      </x:c>
      <x:c r="AB100" t="str">
        <x:f>IF(AND($A100="Verdadero o Falso Complejas",TRIM($I100)&lt;&gt;"",NOT(OR(LEFT(TRIM($I100),1)="A",LEFT(TRIM($I100),1)="B",LEFT(TRIM($I100),1)="C",LEFT(TRIM($I100),1)="D",LEFT(TRIM($I100),1)="E"))),IF(COUNTIF($M100:$AA100,"?*")&gt;0,", ","")&amp;"respuesta A-E","")</x:f>
      </x:c>
      <x:c r="AC100" t="str">
        <x:f>IF(AND(OR($A100="Selección de la mejor respuesta",$A100="Subítem de caso o problema"),COUNTIF($D100:$H100,"?*")&lt;5),IF(COUNTIF($M100:$AB100,"?*")&gt;0,", ","")&amp;"incisos A-E","")</x:f>
      </x:c>
      <x:c r="AD100" t="str">
        <x:f>IF(AND(OR($A100="Selección de la mejor respuesta",$A100="Subítem de caso o problema"),TRIM($I100)&lt;&gt;"",NOT(OR(LEFT(TRIM($I100),1)="A",LEFT(TRIM($I100),1)="B",LEFT(TRIM($I100),1)="C",LEFT(TRIM($I100),1)="D",LEFT(TRIM($I100),1)="E"))),IF(COUNTIF($M100:$AC100,"?*")&gt;0,", ","")&amp;"respuesta A-E","")</x:f>
      </x:c>
      <x:c r="AE100" t="str">
        <x:f>IF(AND(OR($A100="Ítems agrupados por caso clínico o problema",$A100="Opción de Emparejamiento Ampliado"),COUNTIF($D100:$H100,"?*")&gt;0),IF(COUNTIF($M100:$AD100,"?*")&gt;0,", ","")&amp;"sin incisos","")</x:f>
      </x:c>
      <x:c r="AF100" t="str">
        <x:f>IF(AND($A100="Emparejamiento Ampliado",COUNTIF($D100:$H100,"?*")&lt;2),IF(COUNTIF($M100:$AE100,"?*")&gt;0,", ","")&amp;"minimo 2 claves","")</x:f>
      </x:c>
      <x:c r="AG100" t="str">
        <x:f>IF(AND($A100="Opción de Emparejamiento Ampliado",NOT(OR(LEFT(TRIM($I100),1)="A",LEFT(TRIM($I100),1)="B",LEFT(TRIM($I100),1)="C",LEFT(TRIM($I100),1)="D",LEFT(TRIM($I100),1)="E"))),IF(COUNTIF($M100:$AF100,"?*")&gt;0,", ","")&amp;"respuesta A-E","")</x:f>
      </x:c>
      <x:c r="AK100" s="32" t="str"/>
    </x:row>
    <x:row r="101" ht="24" customHeight="1">
      <x:c r="A101" s="14" t="s">
        <x:v>2</x:v>
      </x:c>
      <x:c r="B101" s="14" t="s">
        <x:v>2</x:v>
      </x:c>
      <x:c r="C101" s="15" t="str">
        <x:f>IF($A101="Emparejamiento Ampliado",VALIDACIONES!$I$1,IF($A101="Respuesta A/B/Ambas/Ninguna","I. "&amp;CHAR(10)&amp;"II. ",""))</x:f>
      </x:c>
      <x:c r="D101" s="14" t="str">
        <x:f>IF($A101="Verdadero o Falso Simple","Verdadero",IF($A101="Respuesta A/B/Ambas/Ninguna","A. Si la primera es verdadera",""))</x:f>
      </x:c>
      <x:c r="E101" s="14" t="str">
        <x:f>IF($A101="Verdadero o Falso Simple","Falso",IF($A101="Respuesta A/B/Ambas/Ninguna","B. Si la segunda es verdadera",""))</x:f>
      </x:c>
      <x:c r="F101" s="14" t="str">
        <x:f>IF($A101="Respuesta A/B/Ambas/Ninguna","C. Si ambas son verdaderas","")</x:f>
      </x:c>
      <x:c r="G101" s="14" t="str">
        <x:f>IF($A101="Respuesta A/B/Ambas/Ninguna","D. Si ninguna es verdadera","")</x:f>
      </x:c>
      <x:c r="H101" s="14" t="s">
        <x:v>2</x:v>
      </x:c>
      <x:c r="I101" s="14" t="str">
        <x:f>IF($A101="Verdadero o Falso Simple","A","")</x:f>
      </x:c>
      <x:c r="J101" s="14" t="s">
        <x:v>18</x:v>
      </x:c>
      <x:c r="K101" s="14" t="s">
        <x:v>4</x:v>
      </x:c>
      <x:c r="L101" s="16" t="str">
        <x:f>IF(TRIM($A101)="","",IF(COUNTIF($M101:$AG101,"?*")=0,"OK","Falta revisar: "&amp;$M101&amp;$N101&amp;$O101&amp;$P101&amp;$Q101&amp;$R101&amp;$S101&amp;$T101&amp;$U101&amp;$V101&amp;$W101&amp;$X101&amp;$Y101&amp;$Z101&amp;$AA101&amp;$AB101&amp;$AC101&amp;$AD101&amp;$AE101&amp;$AF101&amp;$AG101))</x:f>
        <x:v>OK</x:v>
      </x:c>
      <x:c r="M101" t="str">
        <x:f>IF(TRIM($C101)="","enunciado","")</x:f>
        <x:v>enunciado</x:v>
      </x:c>
      <x:c r="N101" t="str">
        <x:f>IF(TRIM($K101)="",IF(COUNTIF($M101:$M101,"?*")&gt;0,", ","")&amp;"parcial","")</x:f>
      </x:c>
      <x:c r="O101" t="str">
        <x:f>IF(AND(TRIM($K101)&lt;&gt;"",TRIM($K101)&lt;&gt;"EF"),IF(COUNTIF($M101:$N101,"?*")&gt;0,", ","")&amp;"parcial distinto a EF","")</x:f>
      </x:c>
      <x:c r="P101" t="str">
        <x:f>IF(AND(OR($A101="Ítems agrupados por caso clínico o problema",$A101="Subítem de caso o problema",$A101="Emparejamiento Ampliado",$A101="Opción de Emparejamiento Ampliado"),TRIM($B101)=""),IF(COUNTIF($M101:$O101,"?*")&gt;0,", ","")&amp;"grupo","")</x:f>
      </x:c>
      <x:c r="Q101" t="str">
        <x:f>IF(AND(OR($A101="Verdadero o Falso Simple",$A101="Respuesta A/B/Ambas/Ninguna",$A101="Verdadero o Falso Complejas",$A101="Selección de la mejor respuesta",$A101="Subítem de caso o problema",$A101="Opción de Emparejamiento Ampliado"),TRIM($I101)=""),IF(COUNTIF($M101:$P101,"?*")&gt;0,", ","")&amp;"respuesta_correcta","")</x:f>
      </x:c>
      <x:c r="R101" t="str">
        <x:f>IF(AND(OR($A101="Verdadero o Falso Simple",$A101="Respuesta A/B/Ambas/Ninguna",$A101="Verdadero o Falso Complejas",$A101="Selección de la mejor respuesta",$A101="Subítem de caso o problema",$A101="Opción de Emparejamiento Ampliado"),TRIM($J101)=""),IF(COUNTIF($M101:$Q101,"?*")&gt;0,", ","")&amp;"dificultad","")</x:f>
      </x:c>
      <x:c r="S101" t="str">
        <x:f>IF(AND(OR($A101="Ítems agrupados por caso clínico o problema",$A101="Emparejamiento Ampliado"),TRIM($I101)&lt;&gt;""),IF(COUNTIF($M101:$R101,"?*")&gt;0,", ","")&amp;"respuesta debe ir vacia","")</x:f>
      </x:c>
      <x:c r="T101" t="str">
        <x:f>IF(AND(OR($A101="Ítems agrupados por caso clínico o problema",$A101="Emparejamiento Ampliado"),TRIM($J101)&lt;&gt;""),IF(COUNTIF($M101:$S101,"?*")&gt;0,", ","")&amp;"dificultad debe ir vacia","")</x:f>
      </x:c>
      <x:c r="U101" t="str">
        <x:f>IF(AND($A101="Verdadero o Falso Simple",OR(COUNTIF($D101:$E101,"?*")&lt;2,COUNTIF($F101:$H101,"?*")&gt;0)),IF(COUNTIF($M101:$T101,"?*")&gt;0,", ","")&amp;"incisos A-B","")</x:f>
      </x:c>
      <x:c r="V101" t="str">
        <x:f>IF(AND($A101="Verdadero o Falso Simple",TRIM($I101)&lt;&gt;"",NOT(OR(LEFT(TRIM($I101),1)="A",LEFT(TRIM($I101),1)="B"))),IF(COUNTIF($M101:$U101,"?*")&gt;0,", ","")&amp;"respuesta A-B","")</x:f>
      </x:c>
      <x:c r="W101" t="str">
        <x:f>IF(AND($A101="Respuesta A/B/Ambas/Ninguna",COUNTIF($D101:$G101,"?*")&lt;4),IF(COUNTIF($M101:$V101,"?*")&gt;0,", ","")&amp;"opciones A-D","")</x:f>
      </x:c>
      <x:c r="X101" t="str">
        <x:f>IF(AND($A101="Respuesta A/B/Ambas/Ninguna",COUNTIF($H101:$H101,"?*")&gt;0),IF(COUNTIF($M101:$W101,"?*")&gt;0,", ","")&amp;"opcion E deshabilitada","")</x:f>
      </x:c>
      <x:c r="Y101" t="str">
        <x:f>IF(AND($A101="Respuesta A/B/Ambas/Ninguna",TRIM($I101)&lt;&gt;"",NOT(OR(LEFT(TRIM($I101),1)="A",LEFT(TRIM($I101),1)="B",LEFT(TRIM($I101),1)="C",LEFT(TRIM($I101),1)="D"))),IF(COUNTIF($M101:$X101,"?*")&gt;0,", ","")&amp;"respuesta A-D","")</x:f>
      </x:c>
      <x:c r="Z101" t="str">
        <x:f>IF(AND($A101="Verdadero o Falso Complejas",OR(LEN(TRIM(SUBSTITUTE($D101,"1.","")))=0,LEN(TRIM(SUBSTITUTE($E101,"2.","")))=0,LEN(TRIM(SUBSTITUTE($F101,"3.","")))=0,LEN(TRIM(SUBSTITUTE($G101,"4.","")))=0)),IF(COUNTIF($M101:$Y101,"?*")&gt;0,", ","")&amp;"incisos 1-4","")</x:f>
      </x:c>
      <x:c r="AA101" t="str">
        <x:f>IF(AND($A101="Verdadero o Falso Complejas",COUNTIF($H101:$H101,"?*")&gt;0),IF(COUNTIF($M101:$Z101,"?*")&gt;0,", ","")&amp;"opcion E deshabilitada","")</x:f>
      </x:c>
      <x:c r="AB101" t="str">
        <x:f>IF(AND($A101="Verdadero o Falso Complejas",TRIM($I101)&lt;&gt;"",NOT(OR(LEFT(TRIM($I101),1)="A",LEFT(TRIM($I101),1)="B",LEFT(TRIM($I101),1)="C",LEFT(TRIM($I101),1)="D",LEFT(TRIM($I101),1)="E"))),IF(COUNTIF($M101:$AA101,"?*")&gt;0,", ","")&amp;"respuesta A-E","")</x:f>
      </x:c>
      <x:c r="AC101" t="str">
        <x:f>IF(AND(OR($A101="Selección de la mejor respuesta",$A101="Subítem de caso o problema"),COUNTIF($D101:$H101,"?*")&lt;5),IF(COUNTIF($M101:$AB101,"?*")&gt;0,", ","")&amp;"incisos A-E","")</x:f>
      </x:c>
      <x:c r="AD101" t="str">
        <x:f>IF(AND(OR($A101="Selección de la mejor respuesta",$A101="Subítem de caso o problema"),TRIM($I101)&lt;&gt;"",NOT(OR(LEFT(TRIM($I101),1)="A",LEFT(TRIM($I101),1)="B",LEFT(TRIM($I101),1)="C",LEFT(TRIM($I101),1)="D",LEFT(TRIM($I101),1)="E"))),IF(COUNTIF($M101:$AC101,"?*")&gt;0,", ","")&amp;"respuesta A-E","")</x:f>
      </x:c>
      <x:c r="AE101" t="str">
        <x:f>IF(AND(OR($A101="Ítems agrupados por caso clínico o problema",$A101="Opción de Emparejamiento Ampliado"),COUNTIF($D101:$H101,"?*")&gt;0),IF(COUNTIF($M101:$AD101,"?*")&gt;0,", ","")&amp;"sin incisos","")</x:f>
      </x:c>
      <x:c r="AF101" t="str">
        <x:f>IF(AND($A101="Emparejamiento Ampliado",COUNTIF($D101:$H101,"?*")&lt;2),IF(COUNTIF($M101:$AE101,"?*")&gt;0,", ","")&amp;"minimo 2 claves","")</x:f>
      </x:c>
      <x:c r="AG101" t="str">
        <x:f>IF(AND($A101="Opción de Emparejamiento Ampliado",NOT(OR(LEFT(TRIM($I101),1)="A",LEFT(TRIM($I101),1)="B",LEFT(TRIM($I101),1)="C",LEFT(TRIM($I101),1)="D",LEFT(TRIM($I101),1)="E"))),IF(COUNTIF($M101:$AF101,"?*")&gt;0,", ","")&amp;"respuesta A-E","")</x:f>
      </x:c>
      <x:c r="AK101" s="32" t="str"/>
    </x:row>
    <x:row r="102" ht="24" customHeight="1">
      <x:c r="A102" s="14" t="s">
        <x:v>2</x:v>
      </x:c>
      <x:c r="B102" s="14" t="s">
        <x:v>2</x:v>
      </x:c>
      <x:c r="C102" s="15" t="str">
        <x:f>IF($A102="Emparejamiento Ampliado",VALIDACIONES!$I$1,IF($A102="Respuesta A/B/Ambas/Ninguna","I. "&amp;CHAR(10)&amp;"II. ",""))</x:f>
      </x:c>
      <x:c r="D102" s="14" t="str">
        <x:f>IF($A102="Verdadero o Falso Simple","Verdadero",IF($A102="Respuesta A/B/Ambas/Ninguna","A. Si la primera es verdadera",""))</x:f>
      </x:c>
      <x:c r="E102" s="14" t="str">
        <x:f>IF($A102="Verdadero o Falso Simple","Falso",IF($A102="Respuesta A/B/Ambas/Ninguna","B. Si la segunda es verdadera",""))</x:f>
      </x:c>
      <x:c r="F102" s="14" t="str">
        <x:f>IF($A102="Respuesta A/B/Ambas/Ninguna","C. Si ambas son verdaderas","")</x:f>
      </x:c>
      <x:c r="G102" s="14" t="str">
        <x:f>IF($A102="Respuesta A/B/Ambas/Ninguna","D. Si ninguna es verdadera","")</x:f>
      </x:c>
      <x:c r="H102" s="14" t="s">
        <x:v>2</x:v>
      </x:c>
      <x:c r="I102" s="14" t="str">
        <x:f>IF($A102="Verdadero o Falso Simple","A","")</x:f>
      </x:c>
      <x:c r="J102" s="14" t="s">
        <x:v>18</x:v>
      </x:c>
      <x:c r="K102" s="14" t="s">
        <x:v>4</x:v>
      </x:c>
      <x:c r="L102" s="16" t="str">
        <x:f>IF(TRIM($A102)="","",IF(COUNTIF($M102:$AG102,"?*")=0,"OK","Falta revisar: "&amp;$M102&amp;$N102&amp;$O102&amp;$P102&amp;$Q102&amp;$R102&amp;$S102&amp;$T102&amp;$U102&amp;$V102&amp;$W102&amp;$X102&amp;$Y102&amp;$Z102&amp;$AA102&amp;$AB102&amp;$AC102&amp;$AD102&amp;$AE102&amp;$AF102&amp;$AG102))</x:f>
        <x:v>OK</x:v>
      </x:c>
      <x:c r="M102" t="str">
        <x:f>IF(TRIM($C102)="","enunciado","")</x:f>
        <x:v>enunciado</x:v>
      </x:c>
      <x:c r="N102" t="str">
        <x:f>IF(TRIM($K102)="",IF(COUNTIF($M102:$M102,"?*")&gt;0,", ","")&amp;"parcial","")</x:f>
      </x:c>
      <x:c r="O102" t="str">
        <x:f>IF(AND(TRIM($K102)&lt;&gt;"",TRIM($K102)&lt;&gt;"EF"),IF(COUNTIF($M102:$N102,"?*")&gt;0,", ","")&amp;"parcial distinto a EF","")</x:f>
      </x:c>
      <x:c r="P102" t="str">
        <x:f>IF(AND(OR($A102="Ítems agrupados por caso clínico o problema",$A102="Subítem de caso o problema",$A102="Emparejamiento Ampliado",$A102="Opción de Emparejamiento Ampliado"),TRIM($B102)=""),IF(COUNTIF($M102:$O102,"?*")&gt;0,", ","")&amp;"grupo","")</x:f>
      </x:c>
      <x:c r="Q102" t="str">
        <x:f>IF(AND(OR($A102="Verdadero o Falso Simple",$A102="Respuesta A/B/Ambas/Ninguna",$A102="Verdadero o Falso Complejas",$A102="Selección de la mejor respuesta",$A102="Subítem de caso o problema",$A102="Opción de Emparejamiento Ampliado"),TRIM($I102)=""),IF(COUNTIF($M102:$P102,"?*")&gt;0,", ","")&amp;"respuesta_correcta","")</x:f>
      </x:c>
      <x:c r="R102" t="str">
        <x:f>IF(AND(OR($A102="Verdadero o Falso Simple",$A102="Respuesta A/B/Ambas/Ninguna",$A102="Verdadero o Falso Complejas",$A102="Selección de la mejor respuesta",$A102="Subítem de caso o problema",$A102="Opción de Emparejamiento Ampliado"),TRIM($J102)=""),IF(COUNTIF($M102:$Q102,"?*")&gt;0,", ","")&amp;"dificultad","")</x:f>
      </x:c>
      <x:c r="S102" t="str">
        <x:f>IF(AND(OR($A102="Ítems agrupados por caso clínico o problema",$A102="Emparejamiento Ampliado"),TRIM($I102)&lt;&gt;""),IF(COUNTIF($M102:$R102,"?*")&gt;0,", ","")&amp;"respuesta debe ir vacia","")</x:f>
      </x:c>
      <x:c r="T102" t="str">
        <x:f>IF(AND(OR($A102="Ítems agrupados por caso clínico o problema",$A102="Emparejamiento Ampliado"),TRIM($J102)&lt;&gt;""),IF(COUNTIF($M102:$S102,"?*")&gt;0,", ","")&amp;"dificultad debe ir vacia","")</x:f>
      </x:c>
      <x:c r="U102" t="str">
        <x:f>IF(AND($A102="Verdadero o Falso Simple",OR(COUNTIF($D102:$E102,"?*")&lt;2,COUNTIF($F102:$H102,"?*")&gt;0)),IF(COUNTIF($M102:$T102,"?*")&gt;0,", ","")&amp;"incisos A-B","")</x:f>
      </x:c>
      <x:c r="V102" t="str">
        <x:f>IF(AND($A102="Verdadero o Falso Simple",TRIM($I102)&lt;&gt;"",NOT(OR(LEFT(TRIM($I102),1)="A",LEFT(TRIM($I102),1)="B"))),IF(COUNTIF($M102:$U102,"?*")&gt;0,", ","")&amp;"respuesta A-B","")</x:f>
      </x:c>
      <x:c r="W102" t="str">
        <x:f>IF(AND($A102="Respuesta A/B/Ambas/Ninguna",COUNTIF($D102:$G102,"?*")&lt;4),IF(COUNTIF($M102:$V102,"?*")&gt;0,", ","")&amp;"opciones A-D","")</x:f>
      </x:c>
      <x:c r="X102" t="str">
        <x:f>IF(AND($A102="Respuesta A/B/Ambas/Ninguna",COUNTIF($H102:$H102,"?*")&gt;0),IF(COUNTIF($M102:$W102,"?*")&gt;0,", ","")&amp;"opcion E deshabilitada","")</x:f>
      </x:c>
      <x:c r="Y102" t="str">
        <x:f>IF(AND($A102="Respuesta A/B/Ambas/Ninguna",TRIM($I102)&lt;&gt;"",NOT(OR(LEFT(TRIM($I102),1)="A",LEFT(TRIM($I102),1)="B",LEFT(TRIM($I102),1)="C",LEFT(TRIM($I102),1)="D"))),IF(COUNTIF($M102:$X102,"?*")&gt;0,", ","")&amp;"respuesta A-D","")</x:f>
      </x:c>
      <x:c r="Z102" t="str">
        <x:f>IF(AND($A102="Verdadero o Falso Complejas",OR(LEN(TRIM(SUBSTITUTE($D102,"1.","")))=0,LEN(TRIM(SUBSTITUTE($E102,"2.","")))=0,LEN(TRIM(SUBSTITUTE($F102,"3.","")))=0,LEN(TRIM(SUBSTITUTE($G102,"4.","")))=0)),IF(COUNTIF($M102:$Y102,"?*")&gt;0,", ","")&amp;"incisos 1-4","")</x:f>
      </x:c>
      <x:c r="AA102" t="str">
        <x:f>IF(AND($A102="Verdadero o Falso Complejas",COUNTIF($H102:$H102,"?*")&gt;0),IF(COUNTIF($M102:$Z102,"?*")&gt;0,", ","")&amp;"opcion E deshabilitada","")</x:f>
      </x:c>
      <x:c r="AB102" t="str">
        <x:f>IF(AND($A102="Verdadero o Falso Complejas",TRIM($I102)&lt;&gt;"",NOT(OR(LEFT(TRIM($I102),1)="A",LEFT(TRIM($I102),1)="B",LEFT(TRIM($I102),1)="C",LEFT(TRIM($I102),1)="D",LEFT(TRIM($I102),1)="E"))),IF(COUNTIF($M102:$AA102,"?*")&gt;0,", ","")&amp;"respuesta A-E","")</x:f>
      </x:c>
      <x:c r="AC102" t="str">
        <x:f>IF(AND(OR($A102="Selección de la mejor respuesta",$A102="Subítem de caso o problema"),COUNTIF($D102:$H102,"?*")&lt;5),IF(COUNTIF($M102:$AB102,"?*")&gt;0,", ","")&amp;"incisos A-E","")</x:f>
      </x:c>
      <x:c r="AD102" t="str">
        <x:f>IF(AND(OR($A102="Selección de la mejor respuesta",$A102="Subítem de caso o problema"),TRIM($I102)&lt;&gt;"",NOT(OR(LEFT(TRIM($I102),1)="A",LEFT(TRIM($I102),1)="B",LEFT(TRIM($I102),1)="C",LEFT(TRIM($I102),1)="D",LEFT(TRIM($I102),1)="E"))),IF(COUNTIF($M102:$AC102,"?*")&gt;0,", ","")&amp;"respuesta A-E","")</x:f>
      </x:c>
      <x:c r="AE102" t="str">
        <x:f>IF(AND(OR($A102="Ítems agrupados por caso clínico o problema",$A102="Opción de Emparejamiento Ampliado"),COUNTIF($D102:$H102,"?*")&gt;0),IF(COUNTIF($M102:$AD102,"?*")&gt;0,", ","")&amp;"sin incisos","")</x:f>
      </x:c>
      <x:c r="AF102" t="str">
        <x:f>IF(AND($A102="Emparejamiento Ampliado",COUNTIF($D102:$H102,"?*")&lt;2),IF(COUNTIF($M102:$AE102,"?*")&gt;0,", ","")&amp;"minimo 2 claves","")</x:f>
      </x:c>
      <x:c r="AG102" t="str">
        <x:f>IF(AND($A102="Opción de Emparejamiento Ampliado",NOT(OR(LEFT(TRIM($I102),1)="A",LEFT(TRIM($I102),1)="B",LEFT(TRIM($I102),1)="C",LEFT(TRIM($I102),1)="D",LEFT(TRIM($I102),1)="E"))),IF(COUNTIF($M102:$AF102,"?*")&gt;0,", ","")&amp;"respuesta A-E","")</x:f>
      </x:c>
      <x:c r="AK102" s="32" t="str"/>
    </x:row>
    <x:row r="103" ht="24" customHeight="1">
      <x:c r="A103" s="14" t="s">
        <x:v>2</x:v>
      </x:c>
      <x:c r="B103" s="14" t="s">
        <x:v>2</x:v>
      </x:c>
      <x:c r="C103" s="15" t="str">
        <x:f>IF($A103="Emparejamiento Ampliado",VALIDACIONES!$I$1,IF($A103="Respuesta A/B/Ambas/Ninguna","I. "&amp;CHAR(10)&amp;"II. ",""))</x:f>
      </x:c>
      <x:c r="D103" s="14" t="str">
        <x:f>IF($A103="Verdadero o Falso Simple","Verdadero",IF($A103="Respuesta A/B/Ambas/Ninguna","A. Si la primera es verdadera",""))</x:f>
      </x:c>
      <x:c r="E103" s="14" t="str">
        <x:f>IF($A103="Verdadero o Falso Simple","Falso",IF($A103="Respuesta A/B/Ambas/Ninguna","B. Si la segunda es verdadera",""))</x:f>
      </x:c>
      <x:c r="F103" s="14" t="str">
        <x:f>IF($A103="Respuesta A/B/Ambas/Ninguna","C. Si ambas son verdaderas","")</x:f>
      </x:c>
      <x:c r="G103" s="14" t="str">
        <x:f>IF($A103="Respuesta A/B/Ambas/Ninguna","D. Si ninguna es verdadera","")</x:f>
      </x:c>
      <x:c r="H103" s="14" t="s">
        <x:v>2</x:v>
      </x:c>
      <x:c r="I103" s="14" t="str">
        <x:f>IF($A103="Verdadero o Falso Simple","A","")</x:f>
      </x:c>
      <x:c r="J103" s="14" t="s">
        <x:v>18</x:v>
      </x:c>
      <x:c r="K103" s="14" t="s">
        <x:v>4</x:v>
      </x:c>
      <x:c r="L103" s="16" t="str">
        <x:f>IF(TRIM($A103)="","",IF(COUNTIF($M103:$AG103,"?*")=0,"OK","Falta revisar: "&amp;$M103&amp;$N103&amp;$O103&amp;$P103&amp;$Q103&amp;$R103&amp;$S103&amp;$T103&amp;$U103&amp;$V103&amp;$W103&amp;$X103&amp;$Y103&amp;$Z103&amp;$AA103&amp;$AB103&amp;$AC103&amp;$AD103&amp;$AE103&amp;$AF103&amp;$AG103))</x:f>
        <x:v>OK</x:v>
      </x:c>
      <x:c r="M103" t="str">
        <x:f>IF(TRIM($C103)="","enunciado","")</x:f>
        <x:v>enunciado</x:v>
      </x:c>
      <x:c r="N103" t="str">
        <x:f>IF(TRIM($K103)="",IF(COUNTIF($M103:$M103,"?*")&gt;0,", ","")&amp;"parcial","")</x:f>
      </x:c>
      <x:c r="O103" t="str">
        <x:f>IF(AND(TRIM($K103)&lt;&gt;"",TRIM($K103)&lt;&gt;"EF"),IF(COUNTIF($M103:$N103,"?*")&gt;0,", ","")&amp;"parcial distinto a EF","")</x:f>
      </x:c>
      <x:c r="P103" t="str">
        <x:f>IF(AND(OR($A103="Ítems agrupados por caso clínico o problema",$A103="Subítem de caso o problema",$A103="Emparejamiento Ampliado",$A103="Opción de Emparejamiento Ampliado"),TRIM($B103)=""),IF(COUNTIF($M103:$O103,"?*")&gt;0,", ","")&amp;"grupo","")</x:f>
      </x:c>
      <x:c r="Q103" t="str">
        <x:f>IF(AND(OR($A103="Verdadero o Falso Simple",$A103="Respuesta A/B/Ambas/Ninguna",$A103="Verdadero o Falso Complejas",$A103="Selección de la mejor respuesta",$A103="Subítem de caso o problema",$A103="Opción de Emparejamiento Ampliado"),TRIM($I103)=""),IF(COUNTIF($M103:$P103,"?*")&gt;0,", ","")&amp;"respuesta_correcta","")</x:f>
      </x:c>
      <x:c r="R103" t="str">
        <x:f>IF(AND(OR($A103="Verdadero o Falso Simple",$A103="Respuesta A/B/Ambas/Ninguna",$A103="Verdadero o Falso Complejas",$A103="Selección de la mejor respuesta",$A103="Subítem de caso o problema",$A103="Opción de Emparejamiento Ampliado"),TRIM($J103)=""),IF(COUNTIF($M103:$Q103,"?*")&gt;0,", ","")&amp;"dificultad","")</x:f>
      </x:c>
      <x:c r="S103" t="str">
        <x:f>IF(AND(OR($A103="Ítems agrupados por caso clínico o problema",$A103="Emparejamiento Ampliado"),TRIM($I103)&lt;&gt;""),IF(COUNTIF($M103:$R103,"?*")&gt;0,", ","")&amp;"respuesta debe ir vacia","")</x:f>
      </x:c>
      <x:c r="T103" t="str">
        <x:f>IF(AND(OR($A103="Ítems agrupados por caso clínico o problema",$A103="Emparejamiento Ampliado"),TRIM($J103)&lt;&gt;""),IF(COUNTIF($M103:$S103,"?*")&gt;0,", ","")&amp;"dificultad debe ir vacia","")</x:f>
      </x:c>
      <x:c r="U103" t="str">
        <x:f>IF(AND($A103="Verdadero o Falso Simple",OR(COUNTIF($D103:$E103,"?*")&lt;2,COUNTIF($F103:$H103,"?*")&gt;0)),IF(COUNTIF($M103:$T103,"?*")&gt;0,", ","")&amp;"incisos A-B","")</x:f>
      </x:c>
      <x:c r="V103" t="str">
        <x:f>IF(AND($A103="Verdadero o Falso Simple",TRIM($I103)&lt;&gt;"",NOT(OR(LEFT(TRIM($I103),1)="A",LEFT(TRIM($I103),1)="B"))),IF(COUNTIF($M103:$U103,"?*")&gt;0,", ","")&amp;"respuesta A-B","")</x:f>
      </x:c>
      <x:c r="W103" t="str">
        <x:f>IF(AND($A103="Respuesta A/B/Ambas/Ninguna",COUNTIF($D103:$G103,"?*")&lt;4),IF(COUNTIF($M103:$V103,"?*")&gt;0,", ","")&amp;"opciones A-D","")</x:f>
      </x:c>
      <x:c r="X103" t="str">
        <x:f>IF(AND($A103="Respuesta A/B/Ambas/Ninguna",COUNTIF($H103:$H103,"?*")&gt;0),IF(COUNTIF($M103:$W103,"?*")&gt;0,", ","")&amp;"opcion E deshabilitada","")</x:f>
      </x:c>
      <x:c r="Y103" t="str">
        <x:f>IF(AND($A103="Respuesta A/B/Ambas/Ninguna",TRIM($I103)&lt;&gt;"",NOT(OR(LEFT(TRIM($I103),1)="A",LEFT(TRIM($I103),1)="B",LEFT(TRIM($I103),1)="C",LEFT(TRIM($I103),1)="D"))),IF(COUNTIF($M103:$X103,"?*")&gt;0,", ","")&amp;"respuesta A-D","")</x:f>
      </x:c>
      <x:c r="Z103" t="str">
        <x:f>IF(AND($A103="Verdadero o Falso Complejas",OR(LEN(TRIM(SUBSTITUTE($D103,"1.","")))=0,LEN(TRIM(SUBSTITUTE($E103,"2.","")))=0,LEN(TRIM(SUBSTITUTE($F103,"3.","")))=0,LEN(TRIM(SUBSTITUTE($G103,"4.","")))=0)),IF(COUNTIF($M103:$Y103,"?*")&gt;0,", ","")&amp;"incisos 1-4","")</x:f>
      </x:c>
      <x:c r="AA103" t="str">
        <x:f>IF(AND($A103="Verdadero o Falso Complejas",COUNTIF($H103:$H103,"?*")&gt;0),IF(COUNTIF($M103:$Z103,"?*")&gt;0,", ","")&amp;"opcion E deshabilitada","")</x:f>
      </x:c>
      <x:c r="AB103" t="str">
        <x:f>IF(AND($A103="Verdadero o Falso Complejas",TRIM($I103)&lt;&gt;"",NOT(OR(LEFT(TRIM($I103),1)="A",LEFT(TRIM($I103),1)="B",LEFT(TRIM($I103),1)="C",LEFT(TRIM($I103),1)="D",LEFT(TRIM($I103),1)="E"))),IF(COUNTIF($M103:$AA103,"?*")&gt;0,", ","")&amp;"respuesta A-E","")</x:f>
      </x:c>
      <x:c r="AC103" t="str">
        <x:f>IF(AND(OR($A103="Selección de la mejor respuesta",$A103="Subítem de caso o problema"),COUNTIF($D103:$H103,"?*")&lt;5),IF(COUNTIF($M103:$AB103,"?*")&gt;0,", ","")&amp;"incisos A-E","")</x:f>
      </x:c>
      <x:c r="AD103" t="str">
        <x:f>IF(AND(OR($A103="Selección de la mejor respuesta",$A103="Subítem de caso o problema"),TRIM($I103)&lt;&gt;"",NOT(OR(LEFT(TRIM($I103),1)="A",LEFT(TRIM($I103),1)="B",LEFT(TRIM($I103),1)="C",LEFT(TRIM($I103),1)="D",LEFT(TRIM($I103),1)="E"))),IF(COUNTIF($M103:$AC103,"?*")&gt;0,", ","")&amp;"respuesta A-E","")</x:f>
      </x:c>
      <x:c r="AE103" t="str">
        <x:f>IF(AND(OR($A103="Ítems agrupados por caso clínico o problema",$A103="Opción de Emparejamiento Ampliado"),COUNTIF($D103:$H103,"?*")&gt;0),IF(COUNTIF($M103:$AD103,"?*")&gt;0,", ","")&amp;"sin incisos","")</x:f>
      </x:c>
      <x:c r="AF103" t="str">
        <x:f>IF(AND($A103="Emparejamiento Ampliado",COUNTIF($D103:$H103,"?*")&lt;2),IF(COUNTIF($M103:$AE103,"?*")&gt;0,", ","")&amp;"minimo 2 claves","")</x:f>
      </x:c>
      <x:c r="AG103" t="str">
        <x:f>IF(AND($A103="Opción de Emparejamiento Ampliado",NOT(OR(LEFT(TRIM($I103),1)="A",LEFT(TRIM($I103),1)="B",LEFT(TRIM($I103),1)="C",LEFT(TRIM($I103),1)="D",LEFT(TRIM($I103),1)="E"))),IF(COUNTIF($M103:$AF103,"?*")&gt;0,", ","")&amp;"respuesta A-E","")</x:f>
      </x:c>
      <x:c r="AK103" s="32" t="str"/>
    </x:row>
    <x:row r="104" ht="24" customHeight="1">
      <x:c r="A104" s="14" t="s">
        <x:v>2</x:v>
      </x:c>
      <x:c r="B104" s="14" t="s">
        <x:v>2</x:v>
      </x:c>
      <x:c r="C104" s="15" t="str">
        <x:f>IF($A104="Emparejamiento Ampliado",VALIDACIONES!$I$1,IF($A104="Respuesta A/B/Ambas/Ninguna","I. "&amp;CHAR(10)&amp;"II. ",""))</x:f>
      </x:c>
      <x:c r="D104" s="14" t="str">
        <x:f>IF($A104="Verdadero o Falso Simple","Verdadero",IF($A104="Respuesta A/B/Ambas/Ninguna","A. Si la primera es verdadera",""))</x:f>
      </x:c>
      <x:c r="E104" s="14" t="str">
        <x:f>IF($A104="Verdadero o Falso Simple","Falso",IF($A104="Respuesta A/B/Ambas/Ninguna","B. Si la segunda es verdadera",""))</x:f>
      </x:c>
      <x:c r="F104" s="14" t="str">
        <x:f>IF($A104="Respuesta A/B/Ambas/Ninguna","C. Si ambas son verdaderas","")</x:f>
      </x:c>
      <x:c r="G104" s="14" t="str">
        <x:f>IF($A104="Respuesta A/B/Ambas/Ninguna","D. Si ninguna es verdadera","")</x:f>
      </x:c>
      <x:c r="H104" s="14" t="s">
        <x:v>2</x:v>
      </x:c>
      <x:c r="I104" s="14" t="str">
        <x:f>IF($A104="Verdadero o Falso Simple","A","")</x:f>
      </x:c>
      <x:c r="J104" s="14" t="s">
        <x:v>18</x:v>
      </x:c>
      <x:c r="K104" s="14" t="s">
        <x:v>4</x:v>
      </x:c>
      <x:c r="L104" s="16" t="str">
        <x:f>IF(TRIM($A104)="","",IF(COUNTIF($M104:$AG104,"?*")=0,"OK","Falta revisar: "&amp;$M104&amp;$N104&amp;$O104&amp;$P104&amp;$Q104&amp;$R104&amp;$S104&amp;$T104&amp;$U104&amp;$V104&amp;$W104&amp;$X104&amp;$Y104&amp;$Z104&amp;$AA104&amp;$AB104&amp;$AC104&amp;$AD104&amp;$AE104&amp;$AF104&amp;$AG104))</x:f>
        <x:v>OK</x:v>
      </x:c>
      <x:c r="M104" t="str">
        <x:f>IF(TRIM($C104)="","enunciado","")</x:f>
        <x:v>enunciado</x:v>
      </x:c>
      <x:c r="N104" t="str">
        <x:f>IF(TRIM($K104)="",IF(COUNTIF($M104:$M104,"?*")&gt;0,", ","")&amp;"parcial","")</x:f>
      </x:c>
      <x:c r="O104" t="str">
        <x:f>IF(AND(TRIM($K104)&lt;&gt;"",TRIM($K104)&lt;&gt;"EF"),IF(COUNTIF($M104:$N104,"?*")&gt;0,", ","")&amp;"parcial distinto a EF","")</x:f>
      </x:c>
      <x:c r="P104" t="str">
        <x:f>IF(AND(OR($A104="Ítems agrupados por caso clínico o problema",$A104="Subítem de caso o problema",$A104="Emparejamiento Ampliado",$A104="Opción de Emparejamiento Ampliado"),TRIM($B104)=""),IF(COUNTIF($M104:$O104,"?*")&gt;0,", ","")&amp;"grupo","")</x:f>
      </x:c>
      <x:c r="Q104" t="str">
        <x:f>IF(AND(OR($A104="Verdadero o Falso Simple",$A104="Respuesta A/B/Ambas/Ninguna",$A104="Verdadero o Falso Complejas",$A104="Selección de la mejor respuesta",$A104="Subítem de caso o problema",$A104="Opción de Emparejamiento Ampliado"),TRIM($I104)=""),IF(COUNTIF($M104:$P104,"?*")&gt;0,", ","")&amp;"respuesta_correcta","")</x:f>
      </x:c>
      <x:c r="R104" t="str">
        <x:f>IF(AND(OR($A104="Verdadero o Falso Simple",$A104="Respuesta A/B/Ambas/Ninguna",$A104="Verdadero o Falso Complejas",$A104="Selección de la mejor respuesta",$A104="Subítem de caso o problema",$A104="Opción de Emparejamiento Ampliado"),TRIM($J104)=""),IF(COUNTIF($M104:$Q104,"?*")&gt;0,", ","")&amp;"dificultad","")</x:f>
      </x:c>
      <x:c r="S104" t="str">
        <x:f>IF(AND(OR($A104="Ítems agrupados por caso clínico o problema",$A104="Emparejamiento Ampliado"),TRIM($I104)&lt;&gt;""),IF(COUNTIF($M104:$R104,"?*")&gt;0,", ","")&amp;"respuesta debe ir vacia","")</x:f>
      </x:c>
      <x:c r="T104" t="str">
        <x:f>IF(AND(OR($A104="Ítems agrupados por caso clínico o problema",$A104="Emparejamiento Ampliado"),TRIM($J104)&lt;&gt;""),IF(COUNTIF($M104:$S104,"?*")&gt;0,", ","")&amp;"dificultad debe ir vacia","")</x:f>
      </x:c>
      <x:c r="U104" t="str">
        <x:f>IF(AND($A104="Verdadero o Falso Simple",OR(COUNTIF($D104:$E104,"?*")&lt;2,COUNTIF($F104:$H104,"?*")&gt;0)),IF(COUNTIF($M104:$T104,"?*")&gt;0,", ","")&amp;"incisos A-B","")</x:f>
      </x:c>
      <x:c r="V104" t="str">
        <x:f>IF(AND($A104="Verdadero o Falso Simple",TRIM($I104)&lt;&gt;"",NOT(OR(LEFT(TRIM($I104),1)="A",LEFT(TRIM($I104),1)="B"))),IF(COUNTIF($M104:$U104,"?*")&gt;0,", ","")&amp;"respuesta A-B","")</x:f>
      </x:c>
      <x:c r="W104" t="str">
        <x:f>IF(AND($A104="Respuesta A/B/Ambas/Ninguna",COUNTIF($D104:$G104,"?*")&lt;4),IF(COUNTIF($M104:$V104,"?*")&gt;0,", ","")&amp;"opciones A-D","")</x:f>
      </x:c>
      <x:c r="X104" t="str">
        <x:f>IF(AND($A104="Respuesta A/B/Ambas/Ninguna",COUNTIF($H104:$H104,"?*")&gt;0),IF(COUNTIF($M104:$W104,"?*")&gt;0,", ","")&amp;"opcion E deshabilitada","")</x:f>
      </x:c>
      <x:c r="Y104" t="str">
        <x:f>IF(AND($A104="Respuesta A/B/Ambas/Ninguna",TRIM($I104)&lt;&gt;"",NOT(OR(LEFT(TRIM($I104),1)="A",LEFT(TRIM($I104),1)="B",LEFT(TRIM($I104),1)="C",LEFT(TRIM($I104),1)="D"))),IF(COUNTIF($M104:$X104,"?*")&gt;0,", ","")&amp;"respuesta A-D","")</x:f>
      </x:c>
      <x:c r="Z104" t="str">
        <x:f>IF(AND($A104="Verdadero o Falso Complejas",OR(LEN(TRIM(SUBSTITUTE($D104,"1.","")))=0,LEN(TRIM(SUBSTITUTE($E104,"2.","")))=0,LEN(TRIM(SUBSTITUTE($F104,"3.","")))=0,LEN(TRIM(SUBSTITUTE($G104,"4.","")))=0)),IF(COUNTIF($M104:$Y104,"?*")&gt;0,", ","")&amp;"incisos 1-4","")</x:f>
      </x:c>
      <x:c r="AA104" t="str">
        <x:f>IF(AND($A104="Verdadero o Falso Complejas",COUNTIF($H104:$H104,"?*")&gt;0),IF(COUNTIF($M104:$Z104,"?*")&gt;0,", ","")&amp;"opcion E deshabilitada","")</x:f>
      </x:c>
      <x:c r="AB104" t="str">
        <x:f>IF(AND($A104="Verdadero o Falso Complejas",TRIM($I104)&lt;&gt;"",NOT(OR(LEFT(TRIM($I104),1)="A",LEFT(TRIM($I104),1)="B",LEFT(TRIM($I104),1)="C",LEFT(TRIM($I104),1)="D",LEFT(TRIM($I104),1)="E"))),IF(COUNTIF($M104:$AA104,"?*")&gt;0,", ","")&amp;"respuesta A-E","")</x:f>
      </x:c>
      <x:c r="AC104" t="str">
        <x:f>IF(AND(OR($A104="Selección de la mejor respuesta",$A104="Subítem de caso o problema"),COUNTIF($D104:$H104,"?*")&lt;5),IF(COUNTIF($M104:$AB104,"?*")&gt;0,", ","")&amp;"incisos A-E","")</x:f>
      </x:c>
      <x:c r="AD104" t="str">
        <x:f>IF(AND(OR($A104="Selección de la mejor respuesta",$A104="Subítem de caso o problema"),TRIM($I104)&lt;&gt;"",NOT(OR(LEFT(TRIM($I104),1)="A",LEFT(TRIM($I104),1)="B",LEFT(TRIM($I104),1)="C",LEFT(TRIM($I104),1)="D",LEFT(TRIM($I104),1)="E"))),IF(COUNTIF($M104:$AC104,"?*")&gt;0,", ","")&amp;"respuesta A-E","")</x:f>
      </x:c>
      <x:c r="AE104" t="str">
        <x:f>IF(AND(OR($A104="Ítems agrupados por caso clínico o problema",$A104="Opción de Emparejamiento Ampliado"),COUNTIF($D104:$H104,"?*")&gt;0),IF(COUNTIF($M104:$AD104,"?*")&gt;0,", ","")&amp;"sin incisos","")</x:f>
      </x:c>
      <x:c r="AF104" t="str">
        <x:f>IF(AND($A104="Emparejamiento Ampliado",COUNTIF($D104:$H104,"?*")&lt;2),IF(COUNTIF($M104:$AE104,"?*")&gt;0,", ","")&amp;"minimo 2 claves","")</x:f>
      </x:c>
      <x:c r="AG104" t="str">
        <x:f>IF(AND($A104="Opción de Emparejamiento Ampliado",NOT(OR(LEFT(TRIM($I104),1)="A",LEFT(TRIM($I104),1)="B",LEFT(TRIM($I104),1)="C",LEFT(TRIM($I104),1)="D",LEFT(TRIM($I104),1)="E"))),IF(COUNTIF($M104:$AF104,"?*")&gt;0,", ","")&amp;"respuesta A-E","")</x:f>
      </x:c>
      <x:c r="AK104" s="32" t="str"/>
    </x:row>
    <x:row r="105" ht="24" customHeight="1">
      <x:c r="A105" s="14" t="s">
        <x:v>2</x:v>
      </x:c>
      <x:c r="B105" s="14" t="s">
        <x:v>2</x:v>
      </x:c>
      <x:c r="C105" s="15" t="str">
        <x:f>IF($A105="Emparejamiento Ampliado",VALIDACIONES!$I$1,IF($A105="Respuesta A/B/Ambas/Ninguna","I. "&amp;CHAR(10)&amp;"II. ",""))</x:f>
      </x:c>
      <x:c r="D105" s="14" t="str">
        <x:f>IF($A105="Verdadero o Falso Simple","Verdadero",IF($A105="Respuesta A/B/Ambas/Ninguna","A. Si la primera es verdadera",""))</x:f>
      </x:c>
      <x:c r="E105" s="14" t="str">
        <x:f>IF($A105="Verdadero o Falso Simple","Falso",IF($A105="Respuesta A/B/Ambas/Ninguna","B. Si la segunda es verdadera",""))</x:f>
      </x:c>
      <x:c r="F105" s="14" t="str">
        <x:f>IF($A105="Respuesta A/B/Ambas/Ninguna","C. Si ambas son verdaderas","")</x:f>
      </x:c>
      <x:c r="G105" s="14" t="str">
        <x:f>IF($A105="Respuesta A/B/Ambas/Ninguna","D. Si ninguna es verdadera","")</x:f>
      </x:c>
      <x:c r="H105" s="14" t="s">
        <x:v>2</x:v>
      </x:c>
      <x:c r="I105" s="14" t="str">
        <x:f>IF($A105="Verdadero o Falso Simple","A","")</x:f>
      </x:c>
      <x:c r="J105" s="14" t="s">
        <x:v>18</x:v>
      </x:c>
      <x:c r="K105" s="14" t="s">
        <x:v>4</x:v>
      </x:c>
      <x:c r="L105" s="16" t="str">
        <x:f>IF(TRIM($A105)="","",IF(COUNTIF($M105:$AG105,"?*")=0,"OK","Falta revisar: "&amp;$M105&amp;$N105&amp;$O105&amp;$P105&amp;$Q105&amp;$R105&amp;$S105&amp;$T105&amp;$U105&amp;$V105&amp;$W105&amp;$X105&amp;$Y105&amp;$Z105&amp;$AA105&amp;$AB105&amp;$AC105&amp;$AD105&amp;$AE105&amp;$AF105&amp;$AG105))</x:f>
        <x:v>OK</x:v>
      </x:c>
      <x:c r="M105" t="str">
        <x:f>IF(TRIM($C105)="","enunciado","")</x:f>
        <x:v>enunciado</x:v>
      </x:c>
      <x:c r="N105" t="str">
        <x:f>IF(TRIM($K105)="",IF(COUNTIF($M105:$M105,"?*")&gt;0,", ","")&amp;"parcial","")</x:f>
      </x:c>
      <x:c r="O105" t="str">
        <x:f>IF(AND(TRIM($K105)&lt;&gt;"",TRIM($K105)&lt;&gt;"EF"),IF(COUNTIF($M105:$N105,"?*")&gt;0,", ","")&amp;"parcial distinto a EF","")</x:f>
      </x:c>
      <x:c r="P105" t="str">
        <x:f>IF(AND(OR($A105="Ítems agrupados por caso clínico o problema",$A105="Subítem de caso o problema",$A105="Emparejamiento Ampliado",$A105="Opción de Emparejamiento Ampliado"),TRIM($B105)=""),IF(COUNTIF($M105:$O105,"?*")&gt;0,", ","")&amp;"grupo","")</x:f>
      </x:c>
      <x:c r="Q105" t="str">
        <x:f>IF(AND(OR($A105="Verdadero o Falso Simple",$A105="Respuesta A/B/Ambas/Ninguna",$A105="Verdadero o Falso Complejas",$A105="Selección de la mejor respuesta",$A105="Subítem de caso o problema",$A105="Opción de Emparejamiento Ampliado"),TRIM($I105)=""),IF(COUNTIF($M105:$P105,"?*")&gt;0,", ","")&amp;"respuesta_correcta","")</x:f>
      </x:c>
      <x:c r="R105" t="str">
        <x:f>IF(AND(OR($A105="Verdadero o Falso Simple",$A105="Respuesta A/B/Ambas/Ninguna",$A105="Verdadero o Falso Complejas",$A105="Selección de la mejor respuesta",$A105="Subítem de caso o problema",$A105="Opción de Emparejamiento Ampliado"),TRIM($J105)=""),IF(COUNTIF($M105:$Q105,"?*")&gt;0,", ","")&amp;"dificultad","")</x:f>
      </x:c>
      <x:c r="S105" t="str">
        <x:f>IF(AND(OR($A105="Ítems agrupados por caso clínico o problema",$A105="Emparejamiento Ampliado"),TRIM($I105)&lt;&gt;""),IF(COUNTIF($M105:$R105,"?*")&gt;0,", ","")&amp;"respuesta debe ir vacia","")</x:f>
      </x:c>
      <x:c r="T105" t="str">
        <x:f>IF(AND(OR($A105="Ítems agrupados por caso clínico o problema",$A105="Emparejamiento Ampliado"),TRIM($J105)&lt;&gt;""),IF(COUNTIF($M105:$S105,"?*")&gt;0,", ","")&amp;"dificultad debe ir vacia","")</x:f>
      </x:c>
      <x:c r="U105" t="str">
        <x:f>IF(AND($A105="Verdadero o Falso Simple",OR(COUNTIF($D105:$E105,"?*")&lt;2,COUNTIF($F105:$H105,"?*")&gt;0)),IF(COUNTIF($M105:$T105,"?*")&gt;0,", ","")&amp;"incisos A-B","")</x:f>
      </x:c>
      <x:c r="V105" t="str">
        <x:f>IF(AND($A105="Verdadero o Falso Simple",TRIM($I105)&lt;&gt;"",NOT(OR(LEFT(TRIM($I105),1)="A",LEFT(TRIM($I105),1)="B"))),IF(COUNTIF($M105:$U105,"?*")&gt;0,", ","")&amp;"respuesta A-B","")</x:f>
      </x:c>
      <x:c r="W105" t="str">
        <x:f>IF(AND($A105="Respuesta A/B/Ambas/Ninguna",COUNTIF($D105:$G105,"?*")&lt;4),IF(COUNTIF($M105:$V105,"?*")&gt;0,", ","")&amp;"opciones A-D","")</x:f>
      </x:c>
      <x:c r="X105" t="str">
        <x:f>IF(AND($A105="Respuesta A/B/Ambas/Ninguna",COUNTIF($H105:$H105,"?*")&gt;0),IF(COUNTIF($M105:$W105,"?*")&gt;0,", ","")&amp;"opcion E deshabilitada","")</x:f>
      </x:c>
      <x:c r="Y105" t="str">
        <x:f>IF(AND($A105="Respuesta A/B/Ambas/Ninguna",TRIM($I105)&lt;&gt;"",NOT(OR(LEFT(TRIM($I105),1)="A",LEFT(TRIM($I105),1)="B",LEFT(TRIM($I105),1)="C",LEFT(TRIM($I105),1)="D"))),IF(COUNTIF($M105:$X105,"?*")&gt;0,", ","")&amp;"respuesta A-D","")</x:f>
      </x:c>
      <x:c r="Z105" t="str">
        <x:f>IF(AND($A105="Verdadero o Falso Complejas",OR(LEN(TRIM(SUBSTITUTE($D105,"1.","")))=0,LEN(TRIM(SUBSTITUTE($E105,"2.","")))=0,LEN(TRIM(SUBSTITUTE($F105,"3.","")))=0,LEN(TRIM(SUBSTITUTE($G105,"4.","")))=0)),IF(COUNTIF($M105:$Y105,"?*")&gt;0,", ","")&amp;"incisos 1-4","")</x:f>
      </x:c>
      <x:c r="AA105" t="str">
        <x:f>IF(AND($A105="Verdadero o Falso Complejas",COUNTIF($H105:$H105,"?*")&gt;0),IF(COUNTIF($M105:$Z105,"?*")&gt;0,", ","")&amp;"opcion E deshabilitada","")</x:f>
      </x:c>
      <x:c r="AB105" t="str">
        <x:f>IF(AND($A105="Verdadero o Falso Complejas",TRIM($I105)&lt;&gt;"",NOT(OR(LEFT(TRIM($I105),1)="A",LEFT(TRIM($I105),1)="B",LEFT(TRIM($I105),1)="C",LEFT(TRIM($I105),1)="D",LEFT(TRIM($I105),1)="E"))),IF(COUNTIF($M105:$AA105,"?*")&gt;0,", ","")&amp;"respuesta A-E","")</x:f>
      </x:c>
      <x:c r="AC105" t="str">
        <x:f>IF(AND(OR($A105="Selección de la mejor respuesta",$A105="Subítem de caso o problema"),COUNTIF($D105:$H105,"?*")&lt;5),IF(COUNTIF($M105:$AB105,"?*")&gt;0,", ","")&amp;"incisos A-E","")</x:f>
      </x:c>
      <x:c r="AD105" t="str">
        <x:f>IF(AND(OR($A105="Selección de la mejor respuesta",$A105="Subítem de caso o problema"),TRIM($I105)&lt;&gt;"",NOT(OR(LEFT(TRIM($I105),1)="A",LEFT(TRIM($I105),1)="B",LEFT(TRIM($I105),1)="C",LEFT(TRIM($I105),1)="D",LEFT(TRIM($I105),1)="E"))),IF(COUNTIF($M105:$AC105,"?*")&gt;0,", ","")&amp;"respuesta A-E","")</x:f>
      </x:c>
      <x:c r="AE105" t="str">
        <x:f>IF(AND(OR($A105="Ítems agrupados por caso clínico o problema",$A105="Opción de Emparejamiento Ampliado"),COUNTIF($D105:$H105,"?*")&gt;0),IF(COUNTIF($M105:$AD105,"?*")&gt;0,", ","")&amp;"sin incisos","")</x:f>
      </x:c>
      <x:c r="AF105" t="str">
        <x:f>IF(AND($A105="Emparejamiento Ampliado",COUNTIF($D105:$H105,"?*")&lt;2),IF(COUNTIF($M105:$AE105,"?*")&gt;0,", ","")&amp;"minimo 2 claves","")</x:f>
      </x:c>
      <x:c r="AG105" t="str">
        <x:f>IF(AND($A105="Opción de Emparejamiento Ampliado",NOT(OR(LEFT(TRIM($I105),1)="A",LEFT(TRIM($I105),1)="B",LEFT(TRIM($I105),1)="C",LEFT(TRIM($I105),1)="D",LEFT(TRIM($I105),1)="E"))),IF(COUNTIF($M105:$AF105,"?*")&gt;0,", ","")&amp;"respuesta A-E","")</x:f>
      </x:c>
      <x:c r="AK105" s="32" t="str"/>
    </x:row>
    <x:row r="106" ht="24" customHeight="1">
      <x:c r="A106" s="14" t="s">
        <x:v>2</x:v>
      </x:c>
      <x:c r="B106" s="14" t="s">
        <x:v>2</x:v>
      </x:c>
      <x:c r="C106" s="15" t="str">
        <x:f>IF($A106="Emparejamiento Ampliado",VALIDACIONES!$I$1,IF($A106="Respuesta A/B/Ambas/Ninguna","I. "&amp;CHAR(10)&amp;"II. ",""))</x:f>
      </x:c>
      <x:c r="D106" s="14" t="str">
        <x:f>IF($A106="Verdadero o Falso Simple","Verdadero",IF($A106="Respuesta A/B/Ambas/Ninguna","A. Si la primera es verdadera",""))</x:f>
      </x:c>
      <x:c r="E106" s="14" t="str">
        <x:f>IF($A106="Verdadero o Falso Simple","Falso",IF($A106="Respuesta A/B/Ambas/Ninguna","B. Si la segunda es verdadera",""))</x:f>
      </x:c>
      <x:c r="F106" s="14" t="str">
        <x:f>IF($A106="Respuesta A/B/Ambas/Ninguna","C. Si ambas son verdaderas","")</x:f>
      </x:c>
      <x:c r="G106" s="14" t="str">
        <x:f>IF($A106="Respuesta A/B/Ambas/Ninguna","D. Si ninguna es verdadera","")</x:f>
      </x:c>
      <x:c r="H106" s="14" t="s">
        <x:v>2</x:v>
      </x:c>
      <x:c r="I106" s="14" t="str">
        <x:f>IF($A106="Verdadero o Falso Simple","A","")</x:f>
      </x:c>
      <x:c r="J106" s="14" t="s">
        <x:v>18</x:v>
      </x:c>
      <x:c r="K106" s="14" t="s">
        <x:v>4</x:v>
      </x:c>
      <x:c r="L106" s="16" t="str">
        <x:f>IF(TRIM($A106)="","",IF(COUNTIF($M106:$AG106,"?*")=0,"OK","Falta revisar: "&amp;$M106&amp;$N106&amp;$O106&amp;$P106&amp;$Q106&amp;$R106&amp;$S106&amp;$T106&amp;$U106&amp;$V106&amp;$W106&amp;$X106&amp;$Y106&amp;$Z106&amp;$AA106&amp;$AB106&amp;$AC106&amp;$AD106&amp;$AE106&amp;$AF106&amp;$AG106))</x:f>
        <x:v>OK</x:v>
      </x:c>
      <x:c r="M106" t="str">
        <x:f>IF(TRIM($C106)="","enunciado","")</x:f>
        <x:v>enunciado</x:v>
      </x:c>
      <x:c r="N106" t="str">
        <x:f>IF(TRIM($K106)="",IF(COUNTIF($M106:$M106,"?*")&gt;0,", ","")&amp;"parcial","")</x:f>
      </x:c>
      <x:c r="O106" t="str">
        <x:f>IF(AND(TRIM($K106)&lt;&gt;"",TRIM($K106)&lt;&gt;"EF"),IF(COUNTIF($M106:$N106,"?*")&gt;0,", ","")&amp;"parcial distinto a EF","")</x:f>
      </x:c>
      <x:c r="P106" t="str">
        <x:f>IF(AND(OR($A106="Ítems agrupados por caso clínico o problema",$A106="Subítem de caso o problema",$A106="Emparejamiento Ampliado",$A106="Opción de Emparejamiento Ampliado"),TRIM($B106)=""),IF(COUNTIF($M106:$O106,"?*")&gt;0,", ","")&amp;"grupo","")</x:f>
      </x:c>
      <x:c r="Q106" t="str">
        <x:f>IF(AND(OR($A106="Verdadero o Falso Simple",$A106="Respuesta A/B/Ambas/Ninguna",$A106="Verdadero o Falso Complejas",$A106="Selección de la mejor respuesta",$A106="Subítem de caso o problema",$A106="Opción de Emparejamiento Ampliado"),TRIM($I106)=""),IF(COUNTIF($M106:$P106,"?*")&gt;0,", ","")&amp;"respuesta_correcta","")</x:f>
      </x:c>
      <x:c r="R106" t="str">
        <x:f>IF(AND(OR($A106="Verdadero o Falso Simple",$A106="Respuesta A/B/Ambas/Ninguna",$A106="Verdadero o Falso Complejas",$A106="Selección de la mejor respuesta",$A106="Subítem de caso o problema",$A106="Opción de Emparejamiento Ampliado"),TRIM($J106)=""),IF(COUNTIF($M106:$Q106,"?*")&gt;0,", ","")&amp;"dificultad","")</x:f>
      </x:c>
      <x:c r="S106" t="str">
        <x:f>IF(AND(OR($A106="Ítems agrupados por caso clínico o problema",$A106="Emparejamiento Ampliado"),TRIM($I106)&lt;&gt;""),IF(COUNTIF($M106:$R106,"?*")&gt;0,", ","")&amp;"respuesta debe ir vacia","")</x:f>
      </x:c>
      <x:c r="T106" t="str">
        <x:f>IF(AND(OR($A106="Ítems agrupados por caso clínico o problema",$A106="Emparejamiento Ampliado"),TRIM($J106)&lt;&gt;""),IF(COUNTIF($M106:$S106,"?*")&gt;0,", ","")&amp;"dificultad debe ir vacia","")</x:f>
      </x:c>
      <x:c r="U106" t="str">
        <x:f>IF(AND($A106="Verdadero o Falso Simple",OR(COUNTIF($D106:$E106,"?*")&lt;2,COUNTIF($F106:$H106,"?*")&gt;0)),IF(COUNTIF($M106:$T106,"?*")&gt;0,", ","")&amp;"incisos A-B","")</x:f>
      </x:c>
      <x:c r="V106" t="str">
        <x:f>IF(AND($A106="Verdadero o Falso Simple",TRIM($I106)&lt;&gt;"",NOT(OR(LEFT(TRIM($I106),1)="A",LEFT(TRIM($I106),1)="B"))),IF(COUNTIF($M106:$U106,"?*")&gt;0,", ","")&amp;"respuesta A-B","")</x:f>
      </x:c>
      <x:c r="W106" t="str">
        <x:f>IF(AND($A106="Respuesta A/B/Ambas/Ninguna",COUNTIF($D106:$G106,"?*")&lt;4),IF(COUNTIF($M106:$V106,"?*")&gt;0,", ","")&amp;"opciones A-D","")</x:f>
      </x:c>
      <x:c r="X106" t="str">
        <x:f>IF(AND($A106="Respuesta A/B/Ambas/Ninguna",COUNTIF($H106:$H106,"?*")&gt;0),IF(COUNTIF($M106:$W106,"?*")&gt;0,", ","")&amp;"opcion E deshabilitada","")</x:f>
      </x:c>
      <x:c r="Y106" t="str">
        <x:f>IF(AND($A106="Respuesta A/B/Ambas/Ninguna",TRIM($I106)&lt;&gt;"",NOT(OR(LEFT(TRIM($I106),1)="A",LEFT(TRIM($I106),1)="B",LEFT(TRIM($I106),1)="C",LEFT(TRIM($I106),1)="D"))),IF(COUNTIF($M106:$X106,"?*")&gt;0,", ","")&amp;"respuesta A-D","")</x:f>
      </x:c>
      <x:c r="Z106" t="str">
        <x:f>IF(AND($A106="Verdadero o Falso Complejas",OR(LEN(TRIM(SUBSTITUTE($D106,"1.","")))=0,LEN(TRIM(SUBSTITUTE($E106,"2.","")))=0,LEN(TRIM(SUBSTITUTE($F106,"3.","")))=0,LEN(TRIM(SUBSTITUTE($G106,"4.","")))=0)),IF(COUNTIF($M106:$Y106,"?*")&gt;0,", ","")&amp;"incisos 1-4","")</x:f>
      </x:c>
      <x:c r="AA106" t="str">
        <x:f>IF(AND($A106="Verdadero o Falso Complejas",COUNTIF($H106:$H106,"?*")&gt;0),IF(COUNTIF($M106:$Z106,"?*")&gt;0,", ","")&amp;"opcion E deshabilitada","")</x:f>
      </x:c>
      <x:c r="AB106" t="str">
        <x:f>IF(AND($A106="Verdadero o Falso Complejas",TRIM($I106)&lt;&gt;"",NOT(OR(LEFT(TRIM($I106),1)="A",LEFT(TRIM($I106),1)="B",LEFT(TRIM($I106),1)="C",LEFT(TRIM($I106),1)="D",LEFT(TRIM($I106),1)="E"))),IF(COUNTIF($M106:$AA106,"?*")&gt;0,", ","")&amp;"respuesta A-E","")</x:f>
      </x:c>
      <x:c r="AC106" t="str">
        <x:f>IF(AND(OR($A106="Selección de la mejor respuesta",$A106="Subítem de caso o problema"),COUNTIF($D106:$H106,"?*")&lt;5),IF(COUNTIF($M106:$AB106,"?*")&gt;0,", ","")&amp;"incisos A-E","")</x:f>
      </x:c>
      <x:c r="AD106" t="str">
        <x:f>IF(AND(OR($A106="Selección de la mejor respuesta",$A106="Subítem de caso o problema"),TRIM($I106)&lt;&gt;"",NOT(OR(LEFT(TRIM($I106),1)="A",LEFT(TRIM($I106),1)="B",LEFT(TRIM($I106),1)="C",LEFT(TRIM($I106),1)="D",LEFT(TRIM($I106),1)="E"))),IF(COUNTIF($M106:$AC106,"?*")&gt;0,", ","")&amp;"respuesta A-E","")</x:f>
      </x:c>
      <x:c r="AE106" t="str">
        <x:f>IF(AND(OR($A106="Ítems agrupados por caso clínico o problema",$A106="Opción de Emparejamiento Ampliado"),COUNTIF($D106:$H106,"?*")&gt;0),IF(COUNTIF($M106:$AD106,"?*")&gt;0,", ","")&amp;"sin incisos","")</x:f>
      </x:c>
      <x:c r="AF106" t="str">
        <x:f>IF(AND($A106="Emparejamiento Ampliado",COUNTIF($D106:$H106,"?*")&lt;2),IF(COUNTIF($M106:$AE106,"?*")&gt;0,", ","")&amp;"minimo 2 claves","")</x:f>
      </x:c>
      <x:c r="AG106" t="str">
        <x:f>IF(AND($A106="Opción de Emparejamiento Ampliado",NOT(OR(LEFT(TRIM($I106),1)="A",LEFT(TRIM($I106),1)="B",LEFT(TRIM($I106),1)="C",LEFT(TRIM($I106),1)="D",LEFT(TRIM($I106),1)="E"))),IF(COUNTIF($M106:$AF106,"?*")&gt;0,", ","")&amp;"respuesta A-E","")</x:f>
      </x:c>
      <x:c r="AK106" s="32" t="str"/>
    </x:row>
    <x:row r="107" ht="24" customHeight="1">
      <x:c r="A107" s="14" t="s">
        <x:v>2</x:v>
      </x:c>
      <x:c r="B107" s="14" t="s">
        <x:v>2</x:v>
      </x:c>
      <x:c r="C107" s="15" t="str">
        <x:f>IF($A107="Emparejamiento Ampliado",VALIDACIONES!$I$1,IF($A107="Respuesta A/B/Ambas/Ninguna","I. "&amp;CHAR(10)&amp;"II. ",""))</x:f>
      </x:c>
      <x:c r="D107" s="14" t="str">
        <x:f>IF($A107="Verdadero o Falso Simple","Verdadero",IF($A107="Respuesta A/B/Ambas/Ninguna","A. Si la primera es verdadera",""))</x:f>
      </x:c>
      <x:c r="E107" s="14" t="str">
        <x:f>IF($A107="Verdadero o Falso Simple","Falso",IF($A107="Respuesta A/B/Ambas/Ninguna","B. Si la segunda es verdadera",""))</x:f>
      </x:c>
      <x:c r="F107" s="14" t="str">
        <x:f>IF($A107="Respuesta A/B/Ambas/Ninguna","C. Si ambas son verdaderas","")</x:f>
      </x:c>
      <x:c r="G107" s="14" t="str">
        <x:f>IF($A107="Respuesta A/B/Ambas/Ninguna","D. Si ninguna es verdadera","")</x:f>
      </x:c>
      <x:c r="H107" s="14" t="s">
        <x:v>2</x:v>
      </x:c>
      <x:c r="I107" s="14" t="str">
        <x:f>IF($A107="Verdadero o Falso Simple","A","")</x:f>
      </x:c>
      <x:c r="J107" s="14" t="s">
        <x:v>18</x:v>
      </x:c>
      <x:c r="K107" s="14" t="s">
        <x:v>4</x:v>
      </x:c>
      <x:c r="L107" s="16" t="str">
        <x:f>IF(TRIM($A107)="","",IF(COUNTIF($M107:$AG107,"?*")=0,"OK","Falta revisar: "&amp;$M107&amp;$N107&amp;$O107&amp;$P107&amp;$Q107&amp;$R107&amp;$S107&amp;$T107&amp;$U107&amp;$V107&amp;$W107&amp;$X107&amp;$Y107&amp;$Z107&amp;$AA107&amp;$AB107&amp;$AC107&amp;$AD107&amp;$AE107&amp;$AF107&amp;$AG107))</x:f>
        <x:v>OK</x:v>
      </x:c>
      <x:c r="M107" t="str">
        <x:f>IF(TRIM($C107)="","enunciado","")</x:f>
        <x:v>enunciado</x:v>
      </x:c>
      <x:c r="N107" t="str">
        <x:f>IF(TRIM($K107)="",IF(COUNTIF($M107:$M107,"?*")&gt;0,", ","")&amp;"parcial","")</x:f>
      </x:c>
      <x:c r="O107" t="str">
        <x:f>IF(AND(TRIM($K107)&lt;&gt;"",TRIM($K107)&lt;&gt;"EF"),IF(COUNTIF($M107:$N107,"?*")&gt;0,", ","")&amp;"parcial distinto a EF","")</x:f>
      </x:c>
      <x:c r="P107" t="str">
        <x:f>IF(AND(OR($A107="Ítems agrupados por caso clínico o problema",$A107="Subítem de caso o problema",$A107="Emparejamiento Ampliado",$A107="Opción de Emparejamiento Ampliado"),TRIM($B107)=""),IF(COUNTIF($M107:$O107,"?*")&gt;0,", ","")&amp;"grupo","")</x:f>
      </x:c>
      <x:c r="Q107" t="str">
        <x:f>IF(AND(OR($A107="Verdadero o Falso Simple",$A107="Respuesta A/B/Ambas/Ninguna",$A107="Verdadero o Falso Complejas",$A107="Selección de la mejor respuesta",$A107="Subítem de caso o problema",$A107="Opción de Emparejamiento Ampliado"),TRIM($I107)=""),IF(COUNTIF($M107:$P107,"?*")&gt;0,", ","")&amp;"respuesta_correcta","")</x:f>
      </x:c>
      <x:c r="R107" t="str">
        <x:f>IF(AND(OR($A107="Verdadero o Falso Simple",$A107="Respuesta A/B/Ambas/Ninguna",$A107="Verdadero o Falso Complejas",$A107="Selección de la mejor respuesta",$A107="Subítem de caso o problema",$A107="Opción de Emparejamiento Ampliado"),TRIM($J107)=""),IF(COUNTIF($M107:$Q107,"?*")&gt;0,", ","")&amp;"dificultad","")</x:f>
      </x:c>
      <x:c r="S107" t="str">
        <x:f>IF(AND(OR($A107="Ítems agrupados por caso clínico o problema",$A107="Emparejamiento Ampliado"),TRIM($I107)&lt;&gt;""),IF(COUNTIF($M107:$R107,"?*")&gt;0,", ","")&amp;"respuesta debe ir vacia","")</x:f>
      </x:c>
      <x:c r="T107" t="str">
        <x:f>IF(AND(OR($A107="Ítems agrupados por caso clínico o problema",$A107="Emparejamiento Ampliado"),TRIM($J107)&lt;&gt;""),IF(COUNTIF($M107:$S107,"?*")&gt;0,", ","")&amp;"dificultad debe ir vacia","")</x:f>
      </x:c>
      <x:c r="U107" t="str">
        <x:f>IF(AND($A107="Verdadero o Falso Simple",OR(COUNTIF($D107:$E107,"?*")&lt;2,COUNTIF($F107:$H107,"?*")&gt;0)),IF(COUNTIF($M107:$T107,"?*")&gt;0,", ","")&amp;"incisos A-B","")</x:f>
      </x:c>
      <x:c r="V107" t="str">
        <x:f>IF(AND($A107="Verdadero o Falso Simple",TRIM($I107)&lt;&gt;"",NOT(OR(LEFT(TRIM($I107),1)="A",LEFT(TRIM($I107),1)="B"))),IF(COUNTIF($M107:$U107,"?*")&gt;0,", ","")&amp;"respuesta A-B","")</x:f>
      </x:c>
      <x:c r="W107" t="str">
        <x:f>IF(AND($A107="Respuesta A/B/Ambas/Ninguna",COUNTIF($D107:$G107,"?*")&lt;4),IF(COUNTIF($M107:$V107,"?*")&gt;0,", ","")&amp;"opciones A-D","")</x:f>
      </x:c>
      <x:c r="X107" t="str">
        <x:f>IF(AND($A107="Respuesta A/B/Ambas/Ninguna",COUNTIF($H107:$H107,"?*")&gt;0),IF(COUNTIF($M107:$W107,"?*")&gt;0,", ","")&amp;"opcion E deshabilitada","")</x:f>
      </x:c>
      <x:c r="Y107" t="str">
        <x:f>IF(AND($A107="Respuesta A/B/Ambas/Ninguna",TRIM($I107)&lt;&gt;"",NOT(OR(LEFT(TRIM($I107),1)="A",LEFT(TRIM($I107),1)="B",LEFT(TRIM($I107),1)="C",LEFT(TRIM($I107),1)="D"))),IF(COUNTIF($M107:$X107,"?*")&gt;0,", ","")&amp;"respuesta A-D","")</x:f>
      </x:c>
      <x:c r="Z107" t="str">
        <x:f>IF(AND($A107="Verdadero o Falso Complejas",OR(LEN(TRIM(SUBSTITUTE($D107,"1.","")))=0,LEN(TRIM(SUBSTITUTE($E107,"2.","")))=0,LEN(TRIM(SUBSTITUTE($F107,"3.","")))=0,LEN(TRIM(SUBSTITUTE($G107,"4.","")))=0)),IF(COUNTIF($M107:$Y107,"?*")&gt;0,", ","")&amp;"incisos 1-4","")</x:f>
      </x:c>
      <x:c r="AA107" t="str">
        <x:f>IF(AND($A107="Verdadero o Falso Complejas",COUNTIF($H107:$H107,"?*")&gt;0),IF(COUNTIF($M107:$Z107,"?*")&gt;0,", ","")&amp;"opcion E deshabilitada","")</x:f>
      </x:c>
      <x:c r="AB107" t="str">
        <x:f>IF(AND($A107="Verdadero o Falso Complejas",TRIM($I107)&lt;&gt;"",NOT(OR(LEFT(TRIM($I107),1)="A",LEFT(TRIM($I107),1)="B",LEFT(TRIM($I107),1)="C",LEFT(TRIM($I107),1)="D",LEFT(TRIM($I107),1)="E"))),IF(COUNTIF($M107:$AA107,"?*")&gt;0,", ","")&amp;"respuesta A-E","")</x:f>
      </x:c>
      <x:c r="AC107" t="str">
        <x:f>IF(AND(OR($A107="Selección de la mejor respuesta",$A107="Subítem de caso o problema"),COUNTIF($D107:$H107,"?*")&lt;5),IF(COUNTIF($M107:$AB107,"?*")&gt;0,", ","")&amp;"incisos A-E","")</x:f>
      </x:c>
      <x:c r="AD107" t="str">
        <x:f>IF(AND(OR($A107="Selección de la mejor respuesta",$A107="Subítem de caso o problema"),TRIM($I107)&lt;&gt;"",NOT(OR(LEFT(TRIM($I107),1)="A",LEFT(TRIM($I107),1)="B",LEFT(TRIM($I107),1)="C",LEFT(TRIM($I107),1)="D",LEFT(TRIM($I107),1)="E"))),IF(COUNTIF($M107:$AC107,"?*")&gt;0,", ","")&amp;"respuesta A-E","")</x:f>
      </x:c>
      <x:c r="AE107" t="str">
        <x:f>IF(AND(OR($A107="Ítems agrupados por caso clínico o problema",$A107="Opción de Emparejamiento Ampliado"),COUNTIF($D107:$H107,"?*")&gt;0),IF(COUNTIF($M107:$AD107,"?*")&gt;0,", ","")&amp;"sin incisos","")</x:f>
      </x:c>
      <x:c r="AF107" t="str">
        <x:f>IF(AND($A107="Emparejamiento Ampliado",COUNTIF($D107:$H107,"?*")&lt;2),IF(COUNTIF($M107:$AE107,"?*")&gt;0,", ","")&amp;"minimo 2 claves","")</x:f>
      </x:c>
      <x:c r="AG107" t="str">
        <x:f>IF(AND($A107="Opción de Emparejamiento Ampliado",NOT(OR(LEFT(TRIM($I107),1)="A",LEFT(TRIM($I107),1)="B",LEFT(TRIM($I107),1)="C",LEFT(TRIM($I107),1)="D",LEFT(TRIM($I107),1)="E"))),IF(COUNTIF($M107:$AF107,"?*")&gt;0,", ","")&amp;"respuesta A-E","")</x:f>
      </x:c>
      <x:c r="AK107" s="32" t="str"/>
    </x:row>
    <x:row r="108" ht="24" customHeight="1">
      <x:c r="A108" s="14" t="s">
        <x:v>2</x:v>
      </x:c>
      <x:c r="B108" s="14" t="s">
        <x:v>2</x:v>
      </x:c>
      <x:c r="C108" s="15" t="str">
        <x:f>IF($A108="Emparejamiento Ampliado",VALIDACIONES!$I$1,IF($A108="Respuesta A/B/Ambas/Ninguna","I. "&amp;CHAR(10)&amp;"II. ",""))</x:f>
      </x:c>
      <x:c r="D108" s="14" t="str">
        <x:f>IF($A108="Verdadero o Falso Simple","Verdadero",IF($A108="Respuesta A/B/Ambas/Ninguna","A. Si la primera es verdadera",""))</x:f>
      </x:c>
      <x:c r="E108" s="14" t="str">
        <x:f>IF($A108="Verdadero o Falso Simple","Falso",IF($A108="Respuesta A/B/Ambas/Ninguna","B. Si la segunda es verdadera",""))</x:f>
      </x:c>
      <x:c r="F108" s="14" t="str">
        <x:f>IF($A108="Respuesta A/B/Ambas/Ninguna","C. Si ambas son verdaderas","")</x:f>
      </x:c>
      <x:c r="G108" s="14" t="str">
        <x:f>IF($A108="Respuesta A/B/Ambas/Ninguna","D. Si ninguna es verdadera","")</x:f>
      </x:c>
      <x:c r="H108" s="14" t="s">
        <x:v>2</x:v>
      </x:c>
      <x:c r="I108" s="14" t="str">
        <x:f>IF($A108="Verdadero o Falso Simple","A","")</x:f>
      </x:c>
      <x:c r="J108" s="14" t="s">
        <x:v>18</x:v>
      </x:c>
      <x:c r="K108" s="14" t="s">
        <x:v>4</x:v>
      </x:c>
      <x:c r="L108" s="16" t="str">
        <x:f>IF(TRIM($A108)="","",IF(COUNTIF($M108:$AG108,"?*")=0,"OK","Falta revisar: "&amp;$M108&amp;$N108&amp;$O108&amp;$P108&amp;$Q108&amp;$R108&amp;$S108&amp;$T108&amp;$U108&amp;$V108&amp;$W108&amp;$X108&amp;$Y108&amp;$Z108&amp;$AA108&amp;$AB108&amp;$AC108&amp;$AD108&amp;$AE108&amp;$AF108&amp;$AG108))</x:f>
        <x:v>OK</x:v>
      </x:c>
      <x:c r="M108" t="str">
        <x:f>IF(TRIM($C108)="","enunciado","")</x:f>
        <x:v>enunciado</x:v>
      </x:c>
      <x:c r="N108" t="str">
        <x:f>IF(TRIM($K108)="",IF(COUNTIF($M108:$M108,"?*")&gt;0,", ","")&amp;"parcial","")</x:f>
      </x:c>
      <x:c r="O108" t="str">
        <x:f>IF(AND(TRIM($K108)&lt;&gt;"",TRIM($K108)&lt;&gt;"EF"),IF(COUNTIF($M108:$N108,"?*")&gt;0,", ","")&amp;"parcial distinto a EF","")</x:f>
      </x:c>
      <x:c r="P108" t="str">
        <x:f>IF(AND(OR($A108="Ítems agrupados por caso clínico o problema",$A108="Subítem de caso o problema",$A108="Emparejamiento Ampliado",$A108="Opción de Emparejamiento Ampliado"),TRIM($B108)=""),IF(COUNTIF($M108:$O108,"?*")&gt;0,", ","")&amp;"grupo","")</x:f>
      </x:c>
      <x:c r="Q108" t="str">
        <x:f>IF(AND(OR($A108="Verdadero o Falso Simple",$A108="Respuesta A/B/Ambas/Ninguna",$A108="Verdadero o Falso Complejas",$A108="Selección de la mejor respuesta",$A108="Subítem de caso o problema",$A108="Opción de Emparejamiento Ampliado"),TRIM($I108)=""),IF(COUNTIF($M108:$P108,"?*")&gt;0,", ","")&amp;"respuesta_correcta","")</x:f>
      </x:c>
      <x:c r="R108" t="str">
        <x:f>IF(AND(OR($A108="Verdadero o Falso Simple",$A108="Respuesta A/B/Ambas/Ninguna",$A108="Verdadero o Falso Complejas",$A108="Selección de la mejor respuesta",$A108="Subítem de caso o problema",$A108="Opción de Emparejamiento Ampliado"),TRIM($J108)=""),IF(COUNTIF($M108:$Q108,"?*")&gt;0,", ","")&amp;"dificultad","")</x:f>
      </x:c>
      <x:c r="S108" t="str">
        <x:f>IF(AND(OR($A108="Ítems agrupados por caso clínico o problema",$A108="Emparejamiento Ampliado"),TRIM($I108)&lt;&gt;""),IF(COUNTIF($M108:$R108,"?*")&gt;0,", ","")&amp;"respuesta debe ir vacia","")</x:f>
      </x:c>
      <x:c r="T108" t="str">
        <x:f>IF(AND(OR($A108="Ítems agrupados por caso clínico o problema",$A108="Emparejamiento Ampliado"),TRIM($J108)&lt;&gt;""),IF(COUNTIF($M108:$S108,"?*")&gt;0,", ","")&amp;"dificultad debe ir vacia","")</x:f>
      </x:c>
      <x:c r="U108" t="str">
        <x:f>IF(AND($A108="Verdadero o Falso Simple",OR(COUNTIF($D108:$E108,"?*")&lt;2,COUNTIF($F108:$H108,"?*")&gt;0)),IF(COUNTIF($M108:$T108,"?*")&gt;0,", ","")&amp;"incisos A-B","")</x:f>
      </x:c>
      <x:c r="V108" t="str">
        <x:f>IF(AND($A108="Verdadero o Falso Simple",TRIM($I108)&lt;&gt;"",NOT(OR(LEFT(TRIM($I108),1)="A",LEFT(TRIM($I108),1)="B"))),IF(COUNTIF($M108:$U108,"?*")&gt;0,", ","")&amp;"respuesta A-B","")</x:f>
      </x:c>
      <x:c r="W108" t="str">
        <x:f>IF(AND($A108="Respuesta A/B/Ambas/Ninguna",COUNTIF($D108:$G108,"?*")&lt;4),IF(COUNTIF($M108:$V108,"?*")&gt;0,", ","")&amp;"opciones A-D","")</x:f>
      </x:c>
      <x:c r="X108" t="str">
        <x:f>IF(AND($A108="Respuesta A/B/Ambas/Ninguna",COUNTIF($H108:$H108,"?*")&gt;0),IF(COUNTIF($M108:$W108,"?*")&gt;0,", ","")&amp;"opcion E deshabilitada","")</x:f>
      </x:c>
      <x:c r="Y108" t="str">
        <x:f>IF(AND($A108="Respuesta A/B/Ambas/Ninguna",TRIM($I108)&lt;&gt;"",NOT(OR(LEFT(TRIM($I108),1)="A",LEFT(TRIM($I108),1)="B",LEFT(TRIM($I108),1)="C",LEFT(TRIM($I108),1)="D"))),IF(COUNTIF($M108:$X108,"?*")&gt;0,", ","")&amp;"respuesta A-D","")</x:f>
      </x:c>
      <x:c r="Z108" t="str">
        <x:f>IF(AND($A108="Verdadero o Falso Complejas",OR(LEN(TRIM(SUBSTITUTE($D108,"1.","")))=0,LEN(TRIM(SUBSTITUTE($E108,"2.","")))=0,LEN(TRIM(SUBSTITUTE($F108,"3.","")))=0,LEN(TRIM(SUBSTITUTE($G108,"4.","")))=0)),IF(COUNTIF($M108:$Y108,"?*")&gt;0,", ","")&amp;"incisos 1-4","")</x:f>
      </x:c>
      <x:c r="AA108" t="str">
        <x:f>IF(AND($A108="Verdadero o Falso Complejas",COUNTIF($H108:$H108,"?*")&gt;0),IF(COUNTIF($M108:$Z108,"?*")&gt;0,", ","")&amp;"opcion E deshabilitada","")</x:f>
      </x:c>
      <x:c r="AB108" t="str">
        <x:f>IF(AND($A108="Verdadero o Falso Complejas",TRIM($I108)&lt;&gt;"",NOT(OR(LEFT(TRIM($I108),1)="A",LEFT(TRIM($I108),1)="B",LEFT(TRIM($I108),1)="C",LEFT(TRIM($I108),1)="D",LEFT(TRIM($I108),1)="E"))),IF(COUNTIF($M108:$AA108,"?*")&gt;0,", ","")&amp;"respuesta A-E","")</x:f>
      </x:c>
      <x:c r="AC108" t="str">
        <x:f>IF(AND(OR($A108="Selección de la mejor respuesta",$A108="Subítem de caso o problema"),COUNTIF($D108:$H108,"?*")&lt;5),IF(COUNTIF($M108:$AB108,"?*")&gt;0,", ","")&amp;"incisos A-E","")</x:f>
      </x:c>
      <x:c r="AD108" t="str">
        <x:f>IF(AND(OR($A108="Selección de la mejor respuesta",$A108="Subítem de caso o problema"),TRIM($I108)&lt;&gt;"",NOT(OR(LEFT(TRIM($I108),1)="A",LEFT(TRIM($I108),1)="B",LEFT(TRIM($I108),1)="C",LEFT(TRIM($I108),1)="D",LEFT(TRIM($I108),1)="E"))),IF(COUNTIF($M108:$AC108,"?*")&gt;0,", ","")&amp;"respuesta A-E","")</x:f>
      </x:c>
      <x:c r="AE108" t="str">
        <x:f>IF(AND(OR($A108="Ítems agrupados por caso clínico o problema",$A108="Opción de Emparejamiento Ampliado"),COUNTIF($D108:$H108,"?*")&gt;0),IF(COUNTIF($M108:$AD108,"?*")&gt;0,", ","")&amp;"sin incisos","")</x:f>
      </x:c>
      <x:c r="AF108" t="str">
        <x:f>IF(AND($A108="Emparejamiento Ampliado",COUNTIF($D108:$H108,"?*")&lt;2),IF(COUNTIF($M108:$AE108,"?*")&gt;0,", ","")&amp;"minimo 2 claves","")</x:f>
      </x:c>
      <x:c r="AG108" t="str">
        <x:f>IF(AND($A108="Opción de Emparejamiento Ampliado",NOT(OR(LEFT(TRIM($I108),1)="A",LEFT(TRIM($I108),1)="B",LEFT(TRIM($I108),1)="C",LEFT(TRIM($I108),1)="D",LEFT(TRIM($I108),1)="E"))),IF(COUNTIF($M108:$AF108,"?*")&gt;0,", ","")&amp;"respuesta A-E","")</x:f>
      </x:c>
      <x:c r="AK108" s="32" t="str"/>
    </x:row>
    <x:row r="109" ht="24" customHeight="1">
      <x:c r="A109" s="14" t="s">
        <x:v>2</x:v>
      </x:c>
      <x:c r="B109" s="14" t="s">
        <x:v>2</x:v>
      </x:c>
      <x:c r="C109" s="15" t="str">
        <x:f>IF($A109="Emparejamiento Ampliado",VALIDACIONES!$I$1,IF($A109="Respuesta A/B/Ambas/Ninguna","I. "&amp;CHAR(10)&amp;"II. ",""))</x:f>
      </x:c>
      <x:c r="D109" s="14" t="str">
        <x:f>IF($A109="Verdadero o Falso Simple","Verdadero",IF($A109="Respuesta A/B/Ambas/Ninguna","A. Si la primera es verdadera",""))</x:f>
      </x:c>
      <x:c r="E109" s="14" t="str">
        <x:f>IF($A109="Verdadero o Falso Simple","Falso",IF($A109="Respuesta A/B/Ambas/Ninguna","B. Si la segunda es verdadera",""))</x:f>
      </x:c>
      <x:c r="F109" s="14" t="str">
        <x:f>IF($A109="Respuesta A/B/Ambas/Ninguna","C. Si ambas son verdaderas","")</x:f>
      </x:c>
      <x:c r="G109" s="14" t="str">
        <x:f>IF($A109="Respuesta A/B/Ambas/Ninguna","D. Si ninguna es verdadera","")</x:f>
      </x:c>
      <x:c r="H109" s="14" t="s">
        <x:v>2</x:v>
      </x:c>
      <x:c r="I109" s="14" t="str">
        <x:f>IF($A109="Verdadero o Falso Simple","A","")</x:f>
      </x:c>
      <x:c r="J109" s="14" t="s">
        <x:v>18</x:v>
      </x:c>
      <x:c r="K109" s="14" t="s">
        <x:v>4</x:v>
      </x:c>
      <x:c r="L109" s="16" t="str">
        <x:f>IF(TRIM($A109)="","",IF(COUNTIF($M109:$AG109,"?*")=0,"OK","Falta revisar: "&amp;$M109&amp;$N109&amp;$O109&amp;$P109&amp;$Q109&amp;$R109&amp;$S109&amp;$T109&amp;$U109&amp;$V109&amp;$W109&amp;$X109&amp;$Y109&amp;$Z109&amp;$AA109&amp;$AB109&amp;$AC109&amp;$AD109&amp;$AE109&amp;$AF109&amp;$AG109))</x:f>
        <x:v>OK</x:v>
      </x:c>
      <x:c r="M109" t="str">
        <x:f>IF(TRIM($C109)="","enunciado","")</x:f>
        <x:v>enunciado</x:v>
      </x:c>
      <x:c r="N109" t="str">
        <x:f>IF(TRIM($K109)="",IF(COUNTIF($M109:$M109,"?*")&gt;0,", ","")&amp;"parcial","")</x:f>
      </x:c>
      <x:c r="O109" t="str">
        <x:f>IF(AND(TRIM($K109)&lt;&gt;"",TRIM($K109)&lt;&gt;"EF"),IF(COUNTIF($M109:$N109,"?*")&gt;0,", ","")&amp;"parcial distinto a EF","")</x:f>
      </x:c>
      <x:c r="P109" t="str">
        <x:f>IF(AND(OR($A109="Ítems agrupados por caso clínico o problema",$A109="Subítem de caso o problema",$A109="Emparejamiento Ampliado",$A109="Opción de Emparejamiento Ampliado"),TRIM($B109)=""),IF(COUNTIF($M109:$O109,"?*")&gt;0,", ","")&amp;"grupo","")</x:f>
      </x:c>
      <x:c r="Q109" t="str">
        <x:f>IF(AND(OR($A109="Verdadero o Falso Simple",$A109="Respuesta A/B/Ambas/Ninguna",$A109="Verdadero o Falso Complejas",$A109="Selección de la mejor respuesta",$A109="Subítem de caso o problema",$A109="Opción de Emparejamiento Ampliado"),TRIM($I109)=""),IF(COUNTIF($M109:$P109,"?*")&gt;0,", ","")&amp;"respuesta_correcta","")</x:f>
      </x:c>
      <x:c r="R109" t="str">
        <x:f>IF(AND(OR($A109="Verdadero o Falso Simple",$A109="Respuesta A/B/Ambas/Ninguna",$A109="Verdadero o Falso Complejas",$A109="Selección de la mejor respuesta",$A109="Subítem de caso o problema",$A109="Opción de Emparejamiento Ampliado"),TRIM($J109)=""),IF(COUNTIF($M109:$Q109,"?*")&gt;0,", ","")&amp;"dificultad","")</x:f>
      </x:c>
      <x:c r="S109" t="str">
        <x:f>IF(AND(OR($A109="Ítems agrupados por caso clínico o problema",$A109="Emparejamiento Ampliado"),TRIM($I109)&lt;&gt;""),IF(COUNTIF($M109:$R109,"?*")&gt;0,", ","")&amp;"respuesta debe ir vacia","")</x:f>
      </x:c>
      <x:c r="T109" t="str">
        <x:f>IF(AND(OR($A109="Ítems agrupados por caso clínico o problema",$A109="Emparejamiento Ampliado"),TRIM($J109)&lt;&gt;""),IF(COUNTIF($M109:$S109,"?*")&gt;0,", ","")&amp;"dificultad debe ir vacia","")</x:f>
      </x:c>
      <x:c r="U109" t="str">
        <x:f>IF(AND($A109="Verdadero o Falso Simple",OR(COUNTIF($D109:$E109,"?*")&lt;2,COUNTIF($F109:$H109,"?*")&gt;0)),IF(COUNTIF($M109:$T109,"?*")&gt;0,", ","")&amp;"incisos A-B","")</x:f>
      </x:c>
      <x:c r="V109" t="str">
        <x:f>IF(AND($A109="Verdadero o Falso Simple",TRIM($I109)&lt;&gt;"",NOT(OR(LEFT(TRIM($I109),1)="A",LEFT(TRIM($I109),1)="B"))),IF(COUNTIF($M109:$U109,"?*")&gt;0,", ","")&amp;"respuesta A-B","")</x:f>
      </x:c>
      <x:c r="W109" t="str">
        <x:f>IF(AND($A109="Respuesta A/B/Ambas/Ninguna",COUNTIF($D109:$G109,"?*")&lt;4),IF(COUNTIF($M109:$V109,"?*")&gt;0,", ","")&amp;"opciones A-D","")</x:f>
      </x:c>
      <x:c r="X109" t="str">
        <x:f>IF(AND($A109="Respuesta A/B/Ambas/Ninguna",COUNTIF($H109:$H109,"?*")&gt;0),IF(COUNTIF($M109:$W109,"?*")&gt;0,", ","")&amp;"opcion E deshabilitada","")</x:f>
      </x:c>
      <x:c r="Y109" t="str">
        <x:f>IF(AND($A109="Respuesta A/B/Ambas/Ninguna",TRIM($I109)&lt;&gt;"",NOT(OR(LEFT(TRIM($I109),1)="A",LEFT(TRIM($I109),1)="B",LEFT(TRIM($I109),1)="C",LEFT(TRIM($I109),1)="D"))),IF(COUNTIF($M109:$X109,"?*")&gt;0,", ","")&amp;"respuesta A-D","")</x:f>
      </x:c>
      <x:c r="Z109" t="str">
        <x:f>IF(AND($A109="Verdadero o Falso Complejas",OR(LEN(TRIM(SUBSTITUTE($D109,"1.","")))=0,LEN(TRIM(SUBSTITUTE($E109,"2.","")))=0,LEN(TRIM(SUBSTITUTE($F109,"3.","")))=0,LEN(TRIM(SUBSTITUTE($G109,"4.","")))=0)),IF(COUNTIF($M109:$Y109,"?*")&gt;0,", ","")&amp;"incisos 1-4","")</x:f>
      </x:c>
      <x:c r="AA109" t="str">
        <x:f>IF(AND($A109="Verdadero o Falso Complejas",COUNTIF($H109:$H109,"?*")&gt;0),IF(COUNTIF($M109:$Z109,"?*")&gt;0,", ","")&amp;"opcion E deshabilitada","")</x:f>
      </x:c>
      <x:c r="AB109" t="str">
        <x:f>IF(AND($A109="Verdadero o Falso Complejas",TRIM($I109)&lt;&gt;"",NOT(OR(LEFT(TRIM($I109),1)="A",LEFT(TRIM($I109),1)="B",LEFT(TRIM($I109),1)="C",LEFT(TRIM($I109),1)="D",LEFT(TRIM($I109),1)="E"))),IF(COUNTIF($M109:$AA109,"?*")&gt;0,", ","")&amp;"respuesta A-E","")</x:f>
      </x:c>
      <x:c r="AC109" t="str">
        <x:f>IF(AND(OR($A109="Selección de la mejor respuesta",$A109="Subítem de caso o problema"),COUNTIF($D109:$H109,"?*")&lt;5),IF(COUNTIF($M109:$AB109,"?*")&gt;0,", ","")&amp;"incisos A-E","")</x:f>
      </x:c>
      <x:c r="AD109" t="str">
        <x:f>IF(AND(OR($A109="Selección de la mejor respuesta",$A109="Subítem de caso o problema"),TRIM($I109)&lt;&gt;"",NOT(OR(LEFT(TRIM($I109),1)="A",LEFT(TRIM($I109),1)="B",LEFT(TRIM($I109),1)="C",LEFT(TRIM($I109),1)="D",LEFT(TRIM($I109),1)="E"))),IF(COUNTIF($M109:$AC109,"?*")&gt;0,", ","")&amp;"respuesta A-E","")</x:f>
      </x:c>
      <x:c r="AE109" t="str">
        <x:f>IF(AND(OR($A109="Ítems agrupados por caso clínico o problema",$A109="Opción de Emparejamiento Ampliado"),COUNTIF($D109:$H109,"?*")&gt;0),IF(COUNTIF($M109:$AD109,"?*")&gt;0,", ","")&amp;"sin incisos","")</x:f>
      </x:c>
      <x:c r="AF109" t="str">
        <x:f>IF(AND($A109="Emparejamiento Ampliado",COUNTIF($D109:$H109,"?*")&lt;2),IF(COUNTIF($M109:$AE109,"?*")&gt;0,", ","")&amp;"minimo 2 claves","")</x:f>
      </x:c>
      <x:c r="AG109" t="str">
        <x:f>IF(AND($A109="Opción de Emparejamiento Ampliado",NOT(OR(LEFT(TRIM($I109),1)="A",LEFT(TRIM($I109),1)="B",LEFT(TRIM($I109),1)="C",LEFT(TRIM($I109),1)="D",LEFT(TRIM($I109),1)="E"))),IF(COUNTIF($M109:$AF109,"?*")&gt;0,", ","")&amp;"respuesta A-E","")</x:f>
      </x:c>
      <x:c r="AK109" s="32" t="str"/>
    </x:row>
    <x:row r="110" ht="24" customHeight="1">
      <x:c r="A110" s="14" t="s">
        <x:v>2</x:v>
      </x:c>
      <x:c r="B110" s="14" t="s">
        <x:v>2</x:v>
      </x:c>
      <x:c r="C110" s="15" t="str">
        <x:f>IF($A110="Emparejamiento Ampliado",VALIDACIONES!$I$1,IF($A110="Respuesta A/B/Ambas/Ninguna","I. "&amp;CHAR(10)&amp;"II. ",""))</x:f>
      </x:c>
      <x:c r="D110" s="14" t="str">
        <x:f>IF($A110="Verdadero o Falso Simple","Verdadero",IF($A110="Respuesta A/B/Ambas/Ninguna","A. Si la primera es verdadera",""))</x:f>
      </x:c>
      <x:c r="E110" s="14" t="str">
        <x:f>IF($A110="Verdadero o Falso Simple","Falso",IF($A110="Respuesta A/B/Ambas/Ninguna","B. Si la segunda es verdadera",""))</x:f>
      </x:c>
      <x:c r="F110" s="14" t="str">
        <x:f>IF($A110="Respuesta A/B/Ambas/Ninguna","C. Si ambas son verdaderas","")</x:f>
      </x:c>
      <x:c r="G110" s="14" t="str">
        <x:f>IF($A110="Respuesta A/B/Ambas/Ninguna","D. Si ninguna es verdadera","")</x:f>
      </x:c>
      <x:c r="H110" s="14" t="s">
        <x:v>2</x:v>
      </x:c>
      <x:c r="I110" s="14" t="str">
        <x:f>IF($A110="Verdadero o Falso Simple","A","")</x:f>
      </x:c>
      <x:c r="J110" s="14" t="s">
        <x:v>18</x:v>
      </x:c>
      <x:c r="K110" s="14" t="s">
        <x:v>4</x:v>
      </x:c>
      <x:c r="L110" s="16" t="str">
        <x:f>IF(TRIM($A110)="","",IF(COUNTIF($M110:$AG110,"?*")=0,"OK","Falta revisar: "&amp;$M110&amp;$N110&amp;$O110&amp;$P110&amp;$Q110&amp;$R110&amp;$S110&amp;$T110&amp;$U110&amp;$V110&amp;$W110&amp;$X110&amp;$Y110&amp;$Z110&amp;$AA110&amp;$AB110&amp;$AC110&amp;$AD110&amp;$AE110&amp;$AF110&amp;$AG110))</x:f>
        <x:v>OK</x:v>
      </x:c>
      <x:c r="M110" t="str">
        <x:f>IF(TRIM($C110)="","enunciado","")</x:f>
        <x:v>enunciado</x:v>
      </x:c>
      <x:c r="N110" t="str">
        <x:f>IF(TRIM($K110)="",IF(COUNTIF($M110:$M110,"?*")&gt;0,", ","")&amp;"parcial","")</x:f>
      </x:c>
      <x:c r="O110" t="str">
        <x:f>IF(AND(TRIM($K110)&lt;&gt;"",TRIM($K110)&lt;&gt;"EF"),IF(COUNTIF($M110:$N110,"?*")&gt;0,", ","")&amp;"parcial distinto a EF","")</x:f>
      </x:c>
      <x:c r="P110" t="str">
        <x:f>IF(AND(OR($A110="Ítems agrupados por caso clínico o problema",$A110="Subítem de caso o problema",$A110="Emparejamiento Ampliado",$A110="Opción de Emparejamiento Ampliado"),TRIM($B110)=""),IF(COUNTIF($M110:$O110,"?*")&gt;0,", ","")&amp;"grupo","")</x:f>
      </x:c>
      <x:c r="Q110" t="str">
        <x:f>IF(AND(OR($A110="Verdadero o Falso Simple",$A110="Respuesta A/B/Ambas/Ninguna",$A110="Verdadero o Falso Complejas",$A110="Selección de la mejor respuesta",$A110="Subítem de caso o problema",$A110="Opción de Emparejamiento Ampliado"),TRIM($I110)=""),IF(COUNTIF($M110:$P110,"?*")&gt;0,", ","")&amp;"respuesta_correcta","")</x:f>
      </x:c>
      <x:c r="R110" t="str">
        <x:f>IF(AND(OR($A110="Verdadero o Falso Simple",$A110="Respuesta A/B/Ambas/Ninguna",$A110="Verdadero o Falso Complejas",$A110="Selección de la mejor respuesta",$A110="Subítem de caso o problema",$A110="Opción de Emparejamiento Ampliado"),TRIM($J110)=""),IF(COUNTIF($M110:$Q110,"?*")&gt;0,", ","")&amp;"dificultad","")</x:f>
      </x:c>
      <x:c r="S110" t="str">
        <x:f>IF(AND(OR($A110="Ítems agrupados por caso clínico o problema",$A110="Emparejamiento Ampliado"),TRIM($I110)&lt;&gt;""),IF(COUNTIF($M110:$R110,"?*")&gt;0,", ","")&amp;"respuesta debe ir vacia","")</x:f>
      </x:c>
      <x:c r="T110" t="str">
        <x:f>IF(AND(OR($A110="Ítems agrupados por caso clínico o problema",$A110="Emparejamiento Ampliado"),TRIM($J110)&lt;&gt;""),IF(COUNTIF($M110:$S110,"?*")&gt;0,", ","")&amp;"dificultad debe ir vacia","")</x:f>
      </x:c>
      <x:c r="U110" t="str">
        <x:f>IF(AND($A110="Verdadero o Falso Simple",OR(COUNTIF($D110:$E110,"?*")&lt;2,COUNTIF($F110:$H110,"?*")&gt;0)),IF(COUNTIF($M110:$T110,"?*")&gt;0,", ","")&amp;"incisos A-B","")</x:f>
      </x:c>
      <x:c r="V110" t="str">
        <x:f>IF(AND($A110="Verdadero o Falso Simple",TRIM($I110)&lt;&gt;"",NOT(OR(LEFT(TRIM($I110),1)="A",LEFT(TRIM($I110),1)="B"))),IF(COUNTIF($M110:$U110,"?*")&gt;0,", ","")&amp;"respuesta A-B","")</x:f>
      </x:c>
      <x:c r="W110" t="str">
        <x:f>IF(AND($A110="Respuesta A/B/Ambas/Ninguna",COUNTIF($D110:$G110,"?*")&lt;4),IF(COUNTIF($M110:$V110,"?*")&gt;0,", ","")&amp;"opciones A-D","")</x:f>
      </x:c>
      <x:c r="X110" t="str">
        <x:f>IF(AND($A110="Respuesta A/B/Ambas/Ninguna",COUNTIF($H110:$H110,"?*")&gt;0),IF(COUNTIF($M110:$W110,"?*")&gt;0,", ","")&amp;"opcion E deshabilitada","")</x:f>
      </x:c>
      <x:c r="Y110" t="str">
        <x:f>IF(AND($A110="Respuesta A/B/Ambas/Ninguna",TRIM($I110)&lt;&gt;"",NOT(OR(LEFT(TRIM($I110),1)="A",LEFT(TRIM($I110),1)="B",LEFT(TRIM($I110),1)="C",LEFT(TRIM($I110),1)="D"))),IF(COUNTIF($M110:$X110,"?*")&gt;0,", ","")&amp;"respuesta A-D","")</x:f>
      </x:c>
      <x:c r="Z110" t="str">
        <x:f>IF(AND($A110="Verdadero o Falso Complejas",OR(LEN(TRIM(SUBSTITUTE($D110,"1.","")))=0,LEN(TRIM(SUBSTITUTE($E110,"2.","")))=0,LEN(TRIM(SUBSTITUTE($F110,"3.","")))=0,LEN(TRIM(SUBSTITUTE($G110,"4.","")))=0)),IF(COUNTIF($M110:$Y110,"?*")&gt;0,", ","")&amp;"incisos 1-4","")</x:f>
      </x:c>
      <x:c r="AA110" t="str">
        <x:f>IF(AND($A110="Verdadero o Falso Complejas",COUNTIF($H110:$H110,"?*")&gt;0),IF(COUNTIF($M110:$Z110,"?*")&gt;0,", ","")&amp;"opcion E deshabilitada","")</x:f>
      </x:c>
      <x:c r="AB110" t="str">
        <x:f>IF(AND($A110="Verdadero o Falso Complejas",TRIM($I110)&lt;&gt;"",NOT(OR(LEFT(TRIM($I110),1)="A",LEFT(TRIM($I110),1)="B",LEFT(TRIM($I110),1)="C",LEFT(TRIM($I110),1)="D",LEFT(TRIM($I110),1)="E"))),IF(COUNTIF($M110:$AA110,"?*")&gt;0,", ","")&amp;"respuesta A-E","")</x:f>
      </x:c>
      <x:c r="AC110" t="str">
        <x:f>IF(AND(OR($A110="Selección de la mejor respuesta",$A110="Subítem de caso o problema"),COUNTIF($D110:$H110,"?*")&lt;5),IF(COUNTIF($M110:$AB110,"?*")&gt;0,", ","")&amp;"incisos A-E","")</x:f>
      </x:c>
      <x:c r="AD110" t="str">
        <x:f>IF(AND(OR($A110="Selección de la mejor respuesta",$A110="Subítem de caso o problema"),TRIM($I110)&lt;&gt;"",NOT(OR(LEFT(TRIM($I110),1)="A",LEFT(TRIM($I110),1)="B",LEFT(TRIM($I110),1)="C",LEFT(TRIM($I110),1)="D",LEFT(TRIM($I110),1)="E"))),IF(COUNTIF($M110:$AC110,"?*")&gt;0,", ","")&amp;"respuesta A-E","")</x:f>
      </x:c>
      <x:c r="AE110" t="str">
        <x:f>IF(AND(OR($A110="Ítems agrupados por caso clínico o problema",$A110="Opción de Emparejamiento Ampliado"),COUNTIF($D110:$H110,"?*")&gt;0),IF(COUNTIF($M110:$AD110,"?*")&gt;0,", ","")&amp;"sin incisos","")</x:f>
      </x:c>
      <x:c r="AF110" t="str">
        <x:f>IF(AND($A110="Emparejamiento Ampliado",COUNTIF($D110:$H110,"?*")&lt;2),IF(COUNTIF($M110:$AE110,"?*")&gt;0,", ","")&amp;"minimo 2 claves","")</x:f>
      </x:c>
      <x:c r="AG110" t="str">
        <x:f>IF(AND($A110="Opción de Emparejamiento Ampliado",NOT(OR(LEFT(TRIM($I110),1)="A",LEFT(TRIM($I110),1)="B",LEFT(TRIM($I110),1)="C",LEFT(TRIM($I110),1)="D",LEFT(TRIM($I110),1)="E"))),IF(COUNTIF($M110:$AF110,"?*")&gt;0,", ","")&amp;"respuesta A-E","")</x:f>
      </x:c>
      <x:c r="AK110" s="32" t="str"/>
    </x:row>
    <x:row r="111" ht="24" customHeight="1">
      <x:c r="A111" s="14" t="s">
        <x:v>2</x:v>
      </x:c>
      <x:c r="B111" s="14" t="s">
        <x:v>2</x:v>
      </x:c>
      <x:c r="C111" s="15" t="str">
        <x:f>IF($A111="Emparejamiento Ampliado",VALIDACIONES!$I$1,IF($A111="Respuesta A/B/Ambas/Ninguna","I. "&amp;CHAR(10)&amp;"II. ",""))</x:f>
      </x:c>
      <x:c r="D111" s="14" t="str">
        <x:f>IF($A111="Verdadero o Falso Simple","Verdadero",IF($A111="Respuesta A/B/Ambas/Ninguna","A. Si la primera es verdadera",""))</x:f>
      </x:c>
      <x:c r="E111" s="14" t="str">
        <x:f>IF($A111="Verdadero o Falso Simple","Falso",IF($A111="Respuesta A/B/Ambas/Ninguna","B. Si la segunda es verdadera",""))</x:f>
      </x:c>
      <x:c r="F111" s="14" t="str">
        <x:f>IF($A111="Respuesta A/B/Ambas/Ninguna","C. Si ambas son verdaderas","")</x:f>
      </x:c>
      <x:c r="G111" s="14" t="str">
        <x:f>IF($A111="Respuesta A/B/Ambas/Ninguna","D. Si ninguna es verdadera","")</x:f>
      </x:c>
      <x:c r="H111" s="14" t="s">
        <x:v>2</x:v>
      </x:c>
      <x:c r="I111" s="14" t="str">
        <x:f>IF($A111="Verdadero o Falso Simple","A","")</x:f>
      </x:c>
      <x:c r="J111" s="14" t="s">
        <x:v>18</x:v>
      </x:c>
      <x:c r="K111" s="14" t="s">
        <x:v>4</x:v>
      </x:c>
      <x:c r="L111" s="16" t="str">
        <x:f>IF(TRIM($A111)="","",IF(COUNTIF($M111:$AG111,"?*")=0,"OK","Falta revisar: "&amp;$M111&amp;$N111&amp;$O111&amp;$P111&amp;$Q111&amp;$R111&amp;$S111&amp;$T111&amp;$U111&amp;$V111&amp;$W111&amp;$X111&amp;$Y111&amp;$Z111&amp;$AA111&amp;$AB111&amp;$AC111&amp;$AD111&amp;$AE111&amp;$AF111&amp;$AG111))</x:f>
        <x:v>OK</x:v>
      </x:c>
      <x:c r="M111" t="str">
        <x:f>IF(TRIM($C111)="","enunciado","")</x:f>
        <x:v>enunciado</x:v>
      </x:c>
      <x:c r="N111" t="str">
        <x:f>IF(TRIM($K111)="",IF(COUNTIF($M111:$M111,"?*")&gt;0,", ","")&amp;"parcial","")</x:f>
      </x:c>
      <x:c r="O111" t="str">
        <x:f>IF(AND(TRIM($K111)&lt;&gt;"",TRIM($K111)&lt;&gt;"EF"),IF(COUNTIF($M111:$N111,"?*")&gt;0,", ","")&amp;"parcial distinto a EF","")</x:f>
      </x:c>
      <x:c r="P111" t="str">
        <x:f>IF(AND(OR($A111="Ítems agrupados por caso clínico o problema",$A111="Subítem de caso o problema",$A111="Emparejamiento Ampliado",$A111="Opción de Emparejamiento Ampliado"),TRIM($B111)=""),IF(COUNTIF($M111:$O111,"?*")&gt;0,", ","")&amp;"grupo","")</x:f>
      </x:c>
      <x:c r="Q111" t="str">
        <x:f>IF(AND(OR($A111="Verdadero o Falso Simple",$A111="Respuesta A/B/Ambas/Ninguna",$A111="Verdadero o Falso Complejas",$A111="Selección de la mejor respuesta",$A111="Subítem de caso o problema",$A111="Opción de Emparejamiento Ampliado"),TRIM($I111)=""),IF(COUNTIF($M111:$P111,"?*")&gt;0,", ","")&amp;"respuesta_correcta","")</x:f>
      </x:c>
      <x:c r="R111" t="str">
        <x:f>IF(AND(OR($A111="Verdadero o Falso Simple",$A111="Respuesta A/B/Ambas/Ninguna",$A111="Verdadero o Falso Complejas",$A111="Selección de la mejor respuesta",$A111="Subítem de caso o problema",$A111="Opción de Emparejamiento Ampliado"),TRIM($J111)=""),IF(COUNTIF($M111:$Q111,"?*")&gt;0,", ","")&amp;"dificultad","")</x:f>
      </x:c>
      <x:c r="S111" t="str">
        <x:f>IF(AND(OR($A111="Ítems agrupados por caso clínico o problema",$A111="Emparejamiento Ampliado"),TRIM($I111)&lt;&gt;""),IF(COUNTIF($M111:$R111,"?*")&gt;0,", ","")&amp;"respuesta debe ir vacia","")</x:f>
      </x:c>
      <x:c r="T111" t="str">
        <x:f>IF(AND(OR($A111="Ítems agrupados por caso clínico o problema",$A111="Emparejamiento Ampliado"),TRIM($J111)&lt;&gt;""),IF(COUNTIF($M111:$S111,"?*")&gt;0,", ","")&amp;"dificultad debe ir vacia","")</x:f>
      </x:c>
      <x:c r="U111" t="str">
        <x:f>IF(AND($A111="Verdadero o Falso Simple",OR(COUNTIF($D111:$E111,"?*")&lt;2,COUNTIF($F111:$H111,"?*")&gt;0)),IF(COUNTIF($M111:$T111,"?*")&gt;0,", ","")&amp;"incisos A-B","")</x:f>
      </x:c>
      <x:c r="V111" t="str">
        <x:f>IF(AND($A111="Verdadero o Falso Simple",TRIM($I111)&lt;&gt;"",NOT(OR(LEFT(TRIM($I111),1)="A",LEFT(TRIM($I111),1)="B"))),IF(COUNTIF($M111:$U111,"?*")&gt;0,", ","")&amp;"respuesta A-B","")</x:f>
      </x:c>
      <x:c r="W111" t="str">
        <x:f>IF(AND($A111="Respuesta A/B/Ambas/Ninguna",COUNTIF($D111:$G111,"?*")&lt;4),IF(COUNTIF($M111:$V111,"?*")&gt;0,", ","")&amp;"opciones A-D","")</x:f>
      </x:c>
      <x:c r="X111" t="str">
        <x:f>IF(AND($A111="Respuesta A/B/Ambas/Ninguna",COUNTIF($H111:$H111,"?*")&gt;0),IF(COUNTIF($M111:$W111,"?*")&gt;0,", ","")&amp;"opcion E deshabilitada","")</x:f>
      </x:c>
      <x:c r="Y111" t="str">
        <x:f>IF(AND($A111="Respuesta A/B/Ambas/Ninguna",TRIM($I111)&lt;&gt;"",NOT(OR(LEFT(TRIM($I111),1)="A",LEFT(TRIM($I111),1)="B",LEFT(TRIM($I111),1)="C",LEFT(TRIM($I111),1)="D"))),IF(COUNTIF($M111:$X111,"?*")&gt;0,", ","")&amp;"respuesta A-D","")</x:f>
      </x:c>
      <x:c r="Z111" t="str">
        <x:f>IF(AND($A111="Verdadero o Falso Complejas",OR(LEN(TRIM(SUBSTITUTE($D111,"1.","")))=0,LEN(TRIM(SUBSTITUTE($E111,"2.","")))=0,LEN(TRIM(SUBSTITUTE($F111,"3.","")))=0,LEN(TRIM(SUBSTITUTE($G111,"4.","")))=0)),IF(COUNTIF($M111:$Y111,"?*")&gt;0,", ","")&amp;"incisos 1-4","")</x:f>
      </x:c>
      <x:c r="AA111" t="str">
        <x:f>IF(AND($A111="Verdadero o Falso Complejas",COUNTIF($H111:$H111,"?*")&gt;0),IF(COUNTIF($M111:$Z111,"?*")&gt;0,", ","")&amp;"opcion E deshabilitada","")</x:f>
      </x:c>
      <x:c r="AB111" t="str">
        <x:f>IF(AND($A111="Verdadero o Falso Complejas",TRIM($I111)&lt;&gt;"",NOT(OR(LEFT(TRIM($I111),1)="A",LEFT(TRIM($I111),1)="B",LEFT(TRIM($I111),1)="C",LEFT(TRIM($I111),1)="D",LEFT(TRIM($I111),1)="E"))),IF(COUNTIF($M111:$AA111,"?*")&gt;0,", ","")&amp;"respuesta A-E","")</x:f>
      </x:c>
      <x:c r="AC111" t="str">
        <x:f>IF(AND(OR($A111="Selección de la mejor respuesta",$A111="Subítem de caso o problema"),COUNTIF($D111:$H111,"?*")&lt;5),IF(COUNTIF($M111:$AB111,"?*")&gt;0,", ","")&amp;"incisos A-E","")</x:f>
      </x:c>
      <x:c r="AD111" t="str">
        <x:f>IF(AND(OR($A111="Selección de la mejor respuesta",$A111="Subítem de caso o problema"),TRIM($I111)&lt;&gt;"",NOT(OR(LEFT(TRIM($I111),1)="A",LEFT(TRIM($I111),1)="B",LEFT(TRIM($I111),1)="C",LEFT(TRIM($I111),1)="D",LEFT(TRIM($I111),1)="E"))),IF(COUNTIF($M111:$AC111,"?*")&gt;0,", ","")&amp;"respuesta A-E","")</x:f>
      </x:c>
      <x:c r="AE111" t="str">
        <x:f>IF(AND(OR($A111="Ítems agrupados por caso clínico o problema",$A111="Opción de Emparejamiento Ampliado"),COUNTIF($D111:$H111,"?*")&gt;0),IF(COUNTIF($M111:$AD111,"?*")&gt;0,", ","")&amp;"sin incisos","")</x:f>
      </x:c>
      <x:c r="AF111" t="str">
        <x:f>IF(AND($A111="Emparejamiento Ampliado",COUNTIF($D111:$H111,"?*")&lt;2),IF(COUNTIF($M111:$AE111,"?*")&gt;0,", ","")&amp;"minimo 2 claves","")</x:f>
      </x:c>
      <x:c r="AG111" t="str">
        <x:f>IF(AND($A111="Opción de Emparejamiento Ampliado",NOT(OR(LEFT(TRIM($I111),1)="A",LEFT(TRIM($I111),1)="B",LEFT(TRIM($I111),1)="C",LEFT(TRIM($I111),1)="D",LEFT(TRIM($I111),1)="E"))),IF(COUNTIF($M111:$AF111,"?*")&gt;0,", ","")&amp;"respuesta A-E","")</x:f>
      </x:c>
      <x:c r="AK111" s="32" t="str"/>
    </x:row>
    <x:row r="112" ht="24" customHeight="1">
      <x:c r="A112" s="14" t="s">
        <x:v>2</x:v>
      </x:c>
      <x:c r="B112" s="14" t="s">
        <x:v>2</x:v>
      </x:c>
      <x:c r="C112" s="15" t="str">
        <x:f>IF($A112="Emparejamiento Ampliado",VALIDACIONES!$I$1,IF($A112="Respuesta A/B/Ambas/Ninguna","I. "&amp;CHAR(10)&amp;"II. ",""))</x:f>
      </x:c>
      <x:c r="D112" s="14" t="str">
        <x:f>IF($A112="Verdadero o Falso Simple","Verdadero",IF($A112="Respuesta A/B/Ambas/Ninguna","A. Si la primera es verdadera",""))</x:f>
      </x:c>
      <x:c r="E112" s="14" t="str">
        <x:f>IF($A112="Verdadero o Falso Simple","Falso",IF($A112="Respuesta A/B/Ambas/Ninguna","B. Si la segunda es verdadera",""))</x:f>
      </x:c>
      <x:c r="F112" s="14" t="str">
        <x:f>IF($A112="Respuesta A/B/Ambas/Ninguna","C. Si ambas son verdaderas","")</x:f>
      </x:c>
      <x:c r="G112" s="14" t="str">
        <x:f>IF($A112="Respuesta A/B/Ambas/Ninguna","D. Si ninguna es verdadera","")</x:f>
      </x:c>
      <x:c r="H112" s="14" t="s">
        <x:v>2</x:v>
      </x:c>
      <x:c r="I112" s="14" t="str">
        <x:f>IF($A112="Verdadero o Falso Simple","A","")</x:f>
      </x:c>
      <x:c r="J112" s="14" t="s">
        <x:v>18</x:v>
      </x:c>
      <x:c r="K112" s="14" t="s">
        <x:v>4</x:v>
      </x:c>
      <x:c r="L112" s="16" t="str">
        <x:f>IF(TRIM($A112)="","",IF(COUNTIF($M112:$AG112,"?*")=0,"OK","Falta revisar: "&amp;$M112&amp;$N112&amp;$O112&amp;$P112&amp;$Q112&amp;$R112&amp;$S112&amp;$T112&amp;$U112&amp;$V112&amp;$W112&amp;$X112&amp;$Y112&amp;$Z112&amp;$AA112&amp;$AB112&amp;$AC112&amp;$AD112&amp;$AE112&amp;$AF112&amp;$AG112))</x:f>
        <x:v>OK</x:v>
      </x:c>
      <x:c r="M112" t="str">
        <x:f>IF(TRIM($C112)="","enunciado","")</x:f>
        <x:v>enunciado</x:v>
      </x:c>
      <x:c r="N112" t="str">
        <x:f>IF(TRIM($K112)="",IF(COUNTIF($M112:$M112,"?*")&gt;0,", ","")&amp;"parcial","")</x:f>
      </x:c>
      <x:c r="O112" t="str">
        <x:f>IF(AND(TRIM($K112)&lt;&gt;"",TRIM($K112)&lt;&gt;"EF"),IF(COUNTIF($M112:$N112,"?*")&gt;0,", ","")&amp;"parcial distinto a EF","")</x:f>
      </x:c>
      <x:c r="P112" t="str">
        <x:f>IF(AND(OR($A112="Ítems agrupados por caso clínico o problema",$A112="Subítem de caso o problema",$A112="Emparejamiento Ampliado",$A112="Opción de Emparejamiento Ampliado"),TRIM($B112)=""),IF(COUNTIF($M112:$O112,"?*")&gt;0,", ","")&amp;"grupo","")</x:f>
      </x:c>
      <x:c r="Q112" t="str">
        <x:f>IF(AND(OR($A112="Verdadero o Falso Simple",$A112="Respuesta A/B/Ambas/Ninguna",$A112="Verdadero o Falso Complejas",$A112="Selección de la mejor respuesta",$A112="Subítem de caso o problema",$A112="Opción de Emparejamiento Ampliado"),TRIM($I112)=""),IF(COUNTIF($M112:$P112,"?*")&gt;0,", ","")&amp;"respuesta_correcta","")</x:f>
      </x:c>
      <x:c r="R112" t="str">
        <x:f>IF(AND(OR($A112="Verdadero o Falso Simple",$A112="Respuesta A/B/Ambas/Ninguna",$A112="Verdadero o Falso Complejas",$A112="Selección de la mejor respuesta",$A112="Subítem de caso o problema",$A112="Opción de Emparejamiento Ampliado"),TRIM($J112)=""),IF(COUNTIF($M112:$Q112,"?*")&gt;0,", ","")&amp;"dificultad","")</x:f>
      </x:c>
      <x:c r="S112" t="str">
        <x:f>IF(AND(OR($A112="Ítems agrupados por caso clínico o problema",$A112="Emparejamiento Ampliado"),TRIM($I112)&lt;&gt;""),IF(COUNTIF($M112:$R112,"?*")&gt;0,", ","")&amp;"respuesta debe ir vacia","")</x:f>
      </x:c>
      <x:c r="T112" t="str">
        <x:f>IF(AND(OR($A112="Ítems agrupados por caso clínico o problema",$A112="Emparejamiento Ampliado"),TRIM($J112)&lt;&gt;""),IF(COUNTIF($M112:$S112,"?*")&gt;0,", ","")&amp;"dificultad debe ir vacia","")</x:f>
      </x:c>
      <x:c r="U112" t="str">
        <x:f>IF(AND($A112="Verdadero o Falso Simple",OR(COUNTIF($D112:$E112,"?*")&lt;2,COUNTIF($F112:$H112,"?*")&gt;0)),IF(COUNTIF($M112:$T112,"?*")&gt;0,", ","")&amp;"incisos A-B","")</x:f>
      </x:c>
      <x:c r="V112" t="str">
        <x:f>IF(AND($A112="Verdadero o Falso Simple",TRIM($I112)&lt;&gt;"",NOT(OR(LEFT(TRIM($I112),1)="A",LEFT(TRIM($I112),1)="B"))),IF(COUNTIF($M112:$U112,"?*")&gt;0,", ","")&amp;"respuesta A-B","")</x:f>
      </x:c>
      <x:c r="W112" t="str">
        <x:f>IF(AND($A112="Respuesta A/B/Ambas/Ninguna",COUNTIF($D112:$G112,"?*")&lt;4),IF(COUNTIF($M112:$V112,"?*")&gt;0,", ","")&amp;"opciones A-D","")</x:f>
      </x:c>
      <x:c r="X112" t="str">
        <x:f>IF(AND($A112="Respuesta A/B/Ambas/Ninguna",COUNTIF($H112:$H112,"?*")&gt;0),IF(COUNTIF($M112:$W112,"?*")&gt;0,", ","")&amp;"opcion E deshabilitada","")</x:f>
      </x:c>
      <x:c r="Y112" t="str">
        <x:f>IF(AND($A112="Respuesta A/B/Ambas/Ninguna",TRIM($I112)&lt;&gt;"",NOT(OR(LEFT(TRIM($I112),1)="A",LEFT(TRIM($I112),1)="B",LEFT(TRIM($I112),1)="C",LEFT(TRIM($I112),1)="D"))),IF(COUNTIF($M112:$X112,"?*")&gt;0,", ","")&amp;"respuesta A-D","")</x:f>
      </x:c>
      <x:c r="Z112" t="str">
        <x:f>IF(AND($A112="Verdadero o Falso Complejas",OR(LEN(TRIM(SUBSTITUTE($D112,"1.","")))=0,LEN(TRIM(SUBSTITUTE($E112,"2.","")))=0,LEN(TRIM(SUBSTITUTE($F112,"3.","")))=0,LEN(TRIM(SUBSTITUTE($G112,"4.","")))=0)),IF(COUNTIF($M112:$Y112,"?*")&gt;0,", ","")&amp;"incisos 1-4","")</x:f>
      </x:c>
      <x:c r="AA112" t="str">
        <x:f>IF(AND($A112="Verdadero o Falso Complejas",COUNTIF($H112:$H112,"?*")&gt;0),IF(COUNTIF($M112:$Z112,"?*")&gt;0,", ","")&amp;"opcion E deshabilitada","")</x:f>
      </x:c>
      <x:c r="AB112" t="str">
        <x:f>IF(AND($A112="Verdadero o Falso Complejas",TRIM($I112)&lt;&gt;"",NOT(OR(LEFT(TRIM($I112),1)="A",LEFT(TRIM($I112),1)="B",LEFT(TRIM($I112),1)="C",LEFT(TRIM($I112),1)="D",LEFT(TRIM($I112),1)="E"))),IF(COUNTIF($M112:$AA112,"?*")&gt;0,", ","")&amp;"respuesta A-E","")</x:f>
      </x:c>
      <x:c r="AC112" t="str">
        <x:f>IF(AND(OR($A112="Selección de la mejor respuesta",$A112="Subítem de caso o problema"),COUNTIF($D112:$H112,"?*")&lt;5),IF(COUNTIF($M112:$AB112,"?*")&gt;0,", ","")&amp;"incisos A-E","")</x:f>
      </x:c>
      <x:c r="AD112" t="str">
        <x:f>IF(AND(OR($A112="Selección de la mejor respuesta",$A112="Subítem de caso o problema"),TRIM($I112)&lt;&gt;"",NOT(OR(LEFT(TRIM($I112),1)="A",LEFT(TRIM($I112),1)="B",LEFT(TRIM($I112),1)="C",LEFT(TRIM($I112),1)="D",LEFT(TRIM($I112),1)="E"))),IF(COUNTIF($M112:$AC112,"?*")&gt;0,", ","")&amp;"respuesta A-E","")</x:f>
      </x:c>
      <x:c r="AE112" t="str">
        <x:f>IF(AND(OR($A112="Ítems agrupados por caso clínico o problema",$A112="Opción de Emparejamiento Ampliado"),COUNTIF($D112:$H112,"?*")&gt;0),IF(COUNTIF($M112:$AD112,"?*")&gt;0,", ","")&amp;"sin incisos","")</x:f>
      </x:c>
      <x:c r="AF112" t="str">
        <x:f>IF(AND($A112="Emparejamiento Ampliado",COUNTIF($D112:$H112,"?*")&lt;2),IF(COUNTIF($M112:$AE112,"?*")&gt;0,", ","")&amp;"minimo 2 claves","")</x:f>
      </x:c>
      <x:c r="AG112" t="str">
        <x:f>IF(AND($A112="Opción de Emparejamiento Ampliado",NOT(OR(LEFT(TRIM($I112),1)="A",LEFT(TRIM($I112),1)="B",LEFT(TRIM($I112),1)="C",LEFT(TRIM($I112),1)="D",LEFT(TRIM($I112),1)="E"))),IF(COUNTIF($M112:$AF112,"?*")&gt;0,", ","")&amp;"respuesta A-E","")</x:f>
      </x:c>
      <x:c r="AK112" s="32" t="str"/>
    </x:row>
    <x:row r="113" ht="24" customHeight="1">
      <x:c r="A113" s="14" t="s">
        <x:v>2</x:v>
      </x:c>
      <x:c r="B113" s="14" t="s">
        <x:v>2</x:v>
      </x:c>
      <x:c r="C113" s="15" t="str">
        <x:f>IF($A113="Emparejamiento Ampliado",VALIDACIONES!$I$1,IF($A113="Respuesta A/B/Ambas/Ninguna","I. "&amp;CHAR(10)&amp;"II. ",""))</x:f>
      </x:c>
      <x:c r="D113" s="14" t="str">
        <x:f>IF($A113="Verdadero o Falso Simple","Verdadero",IF($A113="Respuesta A/B/Ambas/Ninguna","A. Si la primera es verdadera",""))</x:f>
      </x:c>
      <x:c r="E113" s="14" t="str">
        <x:f>IF($A113="Verdadero o Falso Simple","Falso",IF($A113="Respuesta A/B/Ambas/Ninguna","B. Si la segunda es verdadera",""))</x:f>
      </x:c>
      <x:c r="F113" s="14" t="str">
        <x:f>IF($A113="Respuesta A/B/Ambas/Ninguna","C. Si ambas son verdaderas","")</x:f>
      </x:c>
      <x:c r="G113" s="14" t="str">
        <x:f>IF($A113="Respuesta A/B/Ambas/Ninguna","D. Si ninguna es verdadera","")</x:f>
      </x:c>
      <x:c r="H113" s="14" t="s">
        <x:v>2</x:v>
      </x:c>
      <x:c r="I113" s="14" t="str">
        <x:f>IF($A113="Verdadero o Falso Simple","A","")</x:f>
      </x:c>
      <x:c r="J113" s="14" t="s">
        <x:v>18</x:v>
      </x:c>
      <x:c r="K113" s="14" t="s">
        <x:v>4</x:v>
      </x:c>
      <x:c r="L113" s="16" t="str">
        <x:f>IF(TRIM($A113)="","",IF(COUNTIF($M113:$AG113,"?*")=0,"OK","Falta revisar: "&amp;$M113&amp;$N113&amp;$O113&amp;$P113&amp;$Q113&amp;$R113&amp;$S113&amp;$T113&amp;$U113&amp;$V113&amp;$W113&amp;$X113&amp;$Y113&amp;$Z113&amp;$AA113&amp;$AB113&amp;$AC113&amp;$AD113&amp;$AE113&amp;$AF113&amp;$AG113))</x:f>
        <x:v>OK</x:v>
      </x:c>
      <x:c r="M113" t="str">
        <x:f>IF(TRIM($C113)="","enunciado","")</x:f>
        <x:v>enunciado</x:v>
      </x:c>
      <x:c r="N113" t="str">
        <x:f>IF(TRIM($K113)="",IF(COUNTIF($M113:$M113,"?*")&gt;0,", ","")&amp;"parcial","")</x:f>
      </x:c>
      <x:c r="O113" t="str">
        <x:f>IF(AND(TRIM($K113)&lt;&gt;"",TRIM($K113)&lt;&gt;"EF"),IF(COUNTIF($M113:$N113,"?*")&gt;0,", ","")&amp;"parcial distinto a EF","")</x:f>
      </x:c>
      <x:c r="P113" t="str">
        <x:f>IF(AND(OR($A113="Ítems agrupados por caso clínico o problema",$A113="Subítem de caso o problema",$A113="Emparejamiento Ampliado",$A113="Opción de Emparejamiento Ampliado"),TRIM($B113)=""),IF(COUNTIF($M113:$O113,"?*")&gt;0,", ","")&amp;"grupo","")</x:f>
      </x:c>
      <x:c r="Q113" t="str">
        <x:f>IF(AND(OR($A113="Verdadero o Falso Simple",$A113="Respuesta A/B/Ambas/Ninguna",$A113="Verdadero o Falso Complejas",$A113="Selección de la mejor respuesta",$A113="Subítem de caso o problema",$A113="Opción de Emparejamiento Ampliado"),TRIM($I113)=""),IF(COUNTIF($M113:$P113,"?*")&gt;0,", ","")&amp;"respuesta_correcta","")</x:f>
      </x:c>
      <x:c r="R113" t="str">
        <x:f>IF(AND(OR($A113="Verdadero o Falso Simple",$A113="Respuesta A/B/Ambas/Ninguna",$A113="Verdadero o Falso Complejas",$A113="Selección de la mejor respuesta",$A113="Subítem de caso o problema",$A113="Opción de Emparejamiento Ampliado"),TRIM($J113)=""),IF(COUNTIF($M113:$Q113,"?*")&gt;0,", ","")&amp;"dificultad","")</x:f>
      </x:c>
      <x:c r="S113" t="str">
        <x:f>IF(AND(OR($A113="Ítems agrupados por caso clínico o problema",$A113="Emparejamiento Ampliado"),TRIM($I113)&lt;&gt;""),IF(COUNTIF($M113:$R113,"?*")&gt;0,", ","")&amp;"respuesta debe ir vacia","")</x:f>
      </x:c>
      <x:c r="T113" t="str">
        <x:f>IF(AND(OR($A113="Ítems agrupados por caso clínico o problema",$A113="Emparejamiento Ampliado"),TRIM($J113)&lt;&gt;""),IF(COUNTIF($M113:$S113,"?*")&gt;0,", ","")&amp;"dificultad debe ir vacia","")</x:f>
      </x:c>
      <x:c r="U113" t="str">
        <x:f>IF(AND($A113="Verdadero o Falso Simple",OR(COUNTIF($D113:$E113,"?*")&lt;2,COUNTIF($F113:$H113,"?*")&gt;0)),IF(COUNTIF($M113:$T113,"?*")&gt;0,", ","")&amp;"incisos A-B","")</x:f>
      </x:c>
      <x:c r="V113" t="str">
        <x:f>IF(AND($A113="Verdadero o Falso Simple",TRIM($I113)&lt;&gt;"",NOT(OR(LEFT(TRIM($I113),1)="A",LEFT(TRIM($I113),1)="B"))),IF(COUNTIF($M113:$U113,"?*")&gt;0,", ","")&amp;"respuesta A-B","")</x:f>
      </x:c>
      <x:c r="W113" t="str">
        <x:f>IF(AND($A113="Respuesta A/B/Ambas/Ninguna",COUNTIF($D113:$G113,"?*")&lt;4),IF(COUNTIF($M113:$V113,"?*")&gt;0,", ","")&amp;"opciones A-D","")</x:f>
      </x:c>
      <x:c r="X113" t="str">
        <x:f>IF(AND($A113="Respuesta A/B/Ambas/Ninguna",COUNTIF($H113:$H113,"?*")&gt;0),IF(COUNTIF($M113:$W113,"?*")&gt;0,", ","")&amp;"opcion E deshabilitada","")</x:f>
      </x:c>
      <x:c r="Y113" t="str">
        <x:f>IF(AND($A113="Respuesta A/B/Ambas/Ninguna",TRIM($I113)&lt;&gt;"",NOT(OR(LEFT(TRIM($I113),1)="A",LEFT(TRIM($I113),1)="B",LEFT(TRIM($I113),1)="C",LEFT(TRIM($I113),1)="D"))),IF(COUNTIF($M113:$X113,"?*")&gt;0,", ","")&amp;"respuesta A-D","")</x:f>
      </x:c>
      <x:c r="Z113" t="str">
        <x:f>IF(AND($A113="Verdadero o Falso Complejas",OR(LEN(TRIM(SUBSTITUTE($D113,"1.","")))=0,LEN(TRIM(SUBSTITUTE($E113,"2.","")))=0,LEN(TRIM(SUBSTITUTE($F113,"3.","")))=0,LEN(TRIM(SUBSTITUTE($G113,"4.","")))=0)),IF(COUNTIF($M113:$Y113,"?*")&gt;0,", ","")&amp;"incisos 1-4","")</x:f>
      </x:c>
      <x:c r="AA113" t="str">
        <x:f>IF(AND($A113="Verdadero o Falso Complejas",COUNTIF($H113:$H113,"?*")&gt;0),IF(COUNTIF($M113:$Z113,"?*")&gt;0,", ","")&amp;"opcion E deshabilitada","")</x:f>
      </x:c>
      <x:c r="AB113" t="str">
        <x:f>IF(AND($A113="Verdadero o Falso Complejas",TRIM($I113)&lt;&gt;"",NOT(OR(LEFT(TRIM($I113),1)="A",LEFT(TRIM($I113),1)="B",LEFT(TRIM($I113),1)="C",LEFT(TRIM($I113),1)="D",LEFT(TRIM($I113),1)="E"))),IF(COUNTIF($M113:$AA113,"?*")&gt;0,", ","")&amp;"respuesta A-E","")</x:f>
      </x:c>
      <x:c r="AC113" t="str">
        <x:f>IF(AND(OR($A113="Selección de la mejor respuesta",$A113="Subítem de caso o problema"),COUNTIF($D113:$H113,"?*")&lt;5),IF(COUNTIF($M113:$AB113,"?*")&gt;0,", ","")&amp;"incisos A-E","")</x:f>
      </x:c>
      <x:c r="AD113" t="str">
        <x:f>IF(AND(OR($A113="Selección de la mejor respuesta",$A113="Subítem de caso o problema"),TRIM($I113)&lt;&gt;"",NOT(OR(LEFT(TRIM($I113),1)="A",LEFT(TRIM($I113),1)="B",LEFT(TRIM($I113),1)="C",LEFT(TRIM($I113),1)="D",LEFT(TRIM($I113),1)="E"))),IF(COUNTIF($M113:$AC113,"?*")&gt;0,", ","")&amp;"respuesta A-E","")</x:f>
      </x:c>
      <x:c r="AE113" t="str">
        <x:f>IF(AND(OR($A113="Ítems agrupados por caso clínico o problema",$A113="Opción de Emparejamiento Ampliado"),COUNTIF($D113:$H113,"?*")&gt;0),IF(COUNTIF($M113:$AD113,"?*")&gt;0,", ","")&amp;"sin incisos","")</x:f>
      </x:c>
      <x:c r="AF113" t="str">
        <x:f>IF(AND($A113="Emparejamiento Ampliado",COUNTIF($D113:$H113,"?*")&lt;2),IF(COUNTIF($M113:$AE113,"?*")&gt;0,", ","")&amp;"minimo 2 claves","")</x:f>
      </x:c>
      <x:c r="AG113" t="str">
        <x:f>IF(AND($A113="Opción de Emparejamiento Ampliado",NOT(OR(LEFT(TRIM($I113),1)="A",LEFT(TRIM($I113),1)="B",LEFT(TRIM($I113),1)="C",LEFT(TRIM($I113),1)="D",LEFT(TRIM($I113),1)="E"))),IF(COUNTIF($M113:$AF113,"?*")&gt;0,", ","")&amp;"respuesta A-E","")</x:f>
      </x:c>
      <x:c r="AK113" s="32" t="str"/>
    </x:row>
    <x:row r="114" ht="24" customHeight="1">
      <x:c r="A114" s="14" t="s">
        <x:v>2</x:v>
      </x:c>
      <x:c r="B114" s="14" t="s">
        <x:v>2</x:v>
      </x:c>
      <x:c r="C114" s="15" t="str">
        <x:f>IF($A114="Emparejamiento Ampliado",VALIDACIONES!$I$1,IF($A114="Respuesta A/B/Ambas/Ninguna","I. "&amp;CHAR(10)&amp;"II. ",""))</x:f>
      </x:c>
      <x:c r="D114" s="14" t="str">
        <x:f>IF($A114="Verdadero o Falso Simple","Verdadero",IF($A114="Respuesta A/B/Ambas/Ninguna","A. Si la primera es verdadera",""))</x:f>
      </x:c>
      <x:c r="E114" s="14" t="str">
        <x:f>IF($A114="Verdadero o Falso Simple","Falso",IF($A114="Respuesta A/B/Ambas/Ninguna","B. Si la segunda es verdadera",""))</x:f>
      </x:c>
      <x:c r="F114" s="14" t="str">
        <x:f>IF($A114="Respuesta A/B/Ambas/Ninguna","C. Si ambas son verdaderas","")</x:f>
      </x:c>
      <x:c r="G114" s="14" t="str">
        <x:f>IF($A114="Respuesta A/B/Ambas/Ninguna","D. Si ninguna es verdadera","")</x:f>
      </x:c>
      <x:c r="H114" s="14" t="s">
        <x:v>2</x:v>
      </x:c>
      <x:c r="I114" s="14" t="str">
        <x:f>IF($A114="Verdadero o Falso Simple","A","")</x:f>
      </x:c>
      <x:c r="J114" s="14" t="s">
        <x:v>18</x:v>
      </x:c>
      <x:c r="K114" s="14" t="s">
        <x:v>4</x:v>
      </x:c>
      <x:c r="L114" s="16" t="str">
        <x:f>IF(TRIM($A114)="","",IF(COUNTIF($M114:$AG114,"?*")=0,"OK","Falta revisar: "&amp;$M114&amp;$N114&amp;$O114&amp;$P114&amp;$Q114&amp;$R114&amp;$S114&amp;$T114&amp;$U114&amp;$V114&amp;$W114&amp;$X114&amp;$Y114&amp;$Z114&amp;$AA114&amp;$AB114&amp;$AC114&amp;$AD114&amp;$AE114&amp;$AF114&amp;$AG114))</x:f>
        <x:v>OK</x:v>
      </x:c>
      <x:c r="M114" t="str">
        <x:f>IF(TRIM($C114)="","enunciado","")</x:f>
        <x:v>enunciado</x:v>
      </x:c>
      <x:c r="N114" t="str">
        <x:f>IF(TRIM($K114)="",IF(COUNTIF($M114:$M114,"?*")&gt;0,", ","")&amp;"parcial","")</x:f>
      </x:c>
      <x:c r="O114" t="str">
        <x:f>IF(AND(TRIM($K114)&lt;&gt;"",TRIM($K114)&lt;&gt;"EF"),IF(COUNTIF($M114:$N114,"?*")&gt;0,", ","")&amp;"parcial distinto a EF","")</x:f>
      </x:c>
      <x:c r="P114" t="str">
        <x:f>IF(AND(OR($A114="Ítems agrupados por caso clínico o problema",$A114="Subítem de caso o problema",$A114="Emparejamiento Ampliado",$A114="Opción de Emparejamiento Ampliado"),TRIM($B114)=""),IF(COUNTIF($M114:$O114,"?*")&gt;0,", ","")&amp;"grupo","")</x:f>
      </x:c>
      <x:c r="Q114" t="str">
        <x:f>IF(AND(OR($A114="Verdadero o Falso Simple",$A114="Respuesta A/B/Ambas/Ninguna",$A114="Verdadero o Falso Complejas",$A114="Selección de la mejor respuesta",$A114="Subítem de caso o problema",$A114="Opción de Emparejamiento Ampliado"),TRIM($I114)=""),IF(COUNTIF($M114:$P114,"?*")&gt;0,", ","")&amp;"respuesta_correcta","")</x:f>
      </x:c>
      <x:c r="R114" t="str">
        <x:f>IF(AND(OR($A114="Verdadero o Falso Simple",$A114="Respuesta A/B/Ambas/Ninguna",$A114="Verdadero o Falso Complejas",$A114="Selección de la mejor respuesta",$A114="Subítem de caso o problema",$A114="Opción de Emparejamiento Ampliado"),TRIM($J114)=""),IF(COUNTIF($M114:$Q114,"?*")&gt;0,", ","")&amp;"dificultad","")</x:f>
      </x:c>
      <x:c r="S114" t="str">
        <x:f>IF(AND(OR($A114="Ítems agrupados por caso clínico o problema",$A114="Emparejamiento Ampliado"),TRIM($I114)&lt;&gt;""),IF(COUNTIF($M114:$R114,"?*")&gt;0,", ","")&amp;"respuesta debe ir vacia","")</x:f>
      </x:c>
      <x:c r="T114" t="str">
        <x:f>IF(AND(OR($A114="Ítems agrupados por caso clínico o problema",$A114="Emparejamiento Ampliado"),TRIM($J114)&lt;&gt;""),IF(COUNTIF($M114:$S114,"?*")&gt;0,", ","")&amp;"dificultad debe ir vacia","")</x:f>
      </x:c>
      <x:c r="U114" t="str">
        <x:f>IF(AND($A114="Verdadero o Falso Simple",OR(COUNTIF($D114:$E114,"?*")&lt;2,COUNTIF($F114:$H114,"?*")&gt;0)),IF(COUNTIF($M114:$T114,"?*")&gt;0,", ","")&amp;"incisos A-B","")</x:f>
      </x:c>
      <x:c r="V114" t="str">
        <x:f>IF(AND($A114="Verdadero o Falso Simple",TRIM($I114)&lt;&gt;"",NOT(OR(LEFT(TRIM($I114),1)="A",LEFT(TRIM($I114),1)="B"))),IF(COUNTIF($M114:$U114,"?*")&gt;0,", ","")&amp;"respuesta A-B","")</x:f>
      </x:c>
      <x:c r="W114" t="str">
        <x:f>IF(AND($A114="Respuesta A/B/Ambas/Ninguna",COUNTIF($D114:$G114,"?*")&lt;4),IF(COUNTIF($M114:$V114,"?*")&gt;0,", ","")&amp;"opciones A-D","")</x:f>
      </x:c>
      <x:c r="X114" t="str">
        <x:f>IF(AND($A114="Respuesta A/B/Ambas/Ninguna",COUNTIF($H114:$H114,"?*")&gt;0),IF(COUNTIF($M114:$W114,"?*")&gt;0,", ","")&amp;"opcion E deshabilitada","")</x:f>
      </x:c>
      <x:c r="Y114" t="str">
        <x:f>IF(AND($A114="Respuesta A/B/Ambas/Ninguna",TRIM($I114)&lt;&gt;"",NOT(OR(LEFT(TRIM($I114),1)="A",LEFT(TRIM($I114),1)="B",LEFT(TRIM($I114),1)="C",LEFT(TRIM($I114),1)="D"))),IF(COUNTIF($M114:$X114,"?*")&gt;0,", ","")&amp;"respuesta A-D","")</x:f>
      </x:c>
      <x:c r="Z114" t="str">
        <x:f>IF(AND($A114="Verdadero o Falso Complejas",OR(LEN(TRIM(SUBSTITUTE($D114,"1.","")))=0,LEN(TRIM(SUBSTITUTE($E114,"2.","")))=0,LEN(TRIM(SUBSTITUTE($F114,"3.","")))=0,LEN(TRIM(SUBSTITUTE($G114,"4.","")))=0)),IF(COUNTIF($M114:$Y114,"?*")&gt;0,", ","")&amp;"incisos 1-4","")</x:f>
      </x:c>
      <x:c r="AA114" t="str">
        <x:f>IF(AND($A114="Verdadero o Falso Complejas",COUNTIF($H114:$H114,"?*")&gt;0),IF(COUNTIF($M114:$Z114,"?*")&gt;0,", ","")&amp;"opcion E deshabilitada","")</x:f>
      </x:c>
      <x:c r="AB114" t="str">
        <x:f>IF(AND($A114="Verdadero o Falso Complejas",TRIM($I114)&lt;&gt;"",NOT(OR(LEFT(TRIM($I114),1)="A",LEFT(TRIM($I114),1)="B",LEFT(TRIM($I114),1)="C",LEFT(TRIM($I114),1)="D",LEFT(TRIM($I114),1)="E"))),IF(COUNTIF($M114:$AA114,"?*")&gt;0,", ","")&amp;"respuesta A-E","")</x:f>
      </x:c>
      <x:c r="AC114" t="str">
        <x:f>IF(AND(OR($A114="Selección de la mejor respuesta",$A114="Subítem de caso o problema"),COUNTIF($D114:$H114,"?*")&lt;5),IF(COUNTIF($M114:$AB114,"?*")&gt;0,", ","")&amp;"incisos A-E","")</x:f>
      </x:c>
      <x:c r="AD114" t="str">
        <x:f>IF(AND(OR($A114="Selección de la mejor respuesta",$A114="Subítem de caso o problema"),TRIM($I114)&lt;&gt;"",NOT(OR(LEFT(TRIM($I114),1)="A",LEFT(TRIM($I114),1)="B",LEFT(TRIM($I114),1)="C",LEFT(TRIM($I114),1)="D",LEFT(TRIM($I114),1)="E"))),IF(COUNTIF($M114:$AC114,"?*")&gt;0,", ","")&amp;"respuesta A-E","")</x:f>
      </x:c>
      <x:c r="AE114" t="str">
        <x:f>IF(AND(OR($A114="Ítems agrupados por caso clínico o problema",$A114="Opción de Emparejamiento Ampliado"),COUNTIF($D114:$H114,"?*")&gt;0),IF(COUNTIF($M114:$AD114,"?*")&gt;0,", ","")&amp;"sin incisos","")</x:f>
      </x:c>
      <x:c r="AF114" t="str">
        <x:f>IF(AND($A114="Emparejamiento Ampliado",COUNTIF($D114:$H114,"?*")&lt;2),IF(COUNTIF($M114:$AE114,"?*")&gt;0,", ","")&amp;"minimo 2 claves","")</x:f>
      </x:c>
      <x:c r="AG114" t="str">
        <x:f>IF(AND($A114="Opción de Emparejamiento Ampliado",NOT(OR(LEFT(TRIM($I114),1)="A",LEFT(TRIM($I114),1)="B",LEFT(TRIM($I114),1)="C",LEFT(TRIM($I114),1)="D",LEFT(TRIM($I114),1)="E"))),IF(COUNTIF($M114:$AF114,"?*")&gt;0,", ","")&amp;"respuesta A-E","")</x:f>
      </x:c>
      <x:c r="AK114" s="32" t="str"/>
    </x:row>
    <x:row r="115" ht="24" customHeight="1">
      <x:c r="A115" s="14" t="s">
        <x:v>2</x:v>
      </x:c>
      <x:c r="B115" s="14" t="s">
        <x:v>2</x:v>
      </x:c>
      <x:c r="C115" s="15" t="str">
        <x:f>IF($A115="Emparejamiento Ampliado",VALIDACIONES!$I$1,IF($A115="Respuesta A/B/Ambas/Ninguna","I. "&amp;CHAR(10)&amp;"II. ",""))</x:f>
      </x:c>
      <x:c r="D115" s="14" t="str">
        <x:f>IF($A115="Verdadero o Falso Simple","Verdadero",IF($A115="Respuesta A/B/Ambas/Ninguna","A. Si la primera es verdadera",""))</x:f>
      </x:c>
      <x:c r="E115" s="14" t="str">
        <x:f>IF($A115="Verdadero o Falso Simple","Falso",IF($A115="Respuesta A/B/Ambas/Ninguna","B. Si la segunda es verdadera",""))</x:f>
      </x:c>
      <x:c r="F115" s="14" t="str">
        <x:f>IF($A115="Respuesta A/B/Ambas/Ninguna","C. Si ambas son verdaderas","")</x:f>
      </x:c>
      <x:c r="G115" s="14" t="str">
        <x:f>IF($A115="Respuesta A/B/Ambas/Ninguna","D. Si ninguna es verdadera","")</x:f>
      </x:c>
      <x:c r="H115" s="14" t="s">
        <x:v>2</x:v>
      </x:c>
      <x:c r="I115" s="14" t="str">
        <x:f>IF($A115="Verdadero o Falso Simple","A","")</x:f>
      </x:c>
      <x:c r="J115" s="14" t="s">
        <x:v>18</x:v>
      </x:c>
      <x:c r="K115" s="14" t="s">
        <x:v>4</x:v>
      </x:c>
      <x:c r="L115" s="16" t="str">
        <x:f>IF(TRIM($A115)="","",IF(COUNTIF($M115:$AG115,"?*")=0,"OK","Falta revisar: "&amp;$M115&amp;$N115&amp;$O115&amp;$P115&amp;$Q115&amp;$R115&amp;$S115&amp;$T115&amp;$U115&amp;$V115&amp;$W115&amp;$X115&amp;$Y115&amp;$Z115&amp;$AA115&amp;$AB115&amp;$AC115&amp;$AD115&amp;$AE115&amp;$AF115&amp;$AG115))</x:f>
        <x:v>OK</x:v>
      </x:c>
      <x:c r="M115" t="str">
        <x:f>IF(TRIM($C115)="","enunciado","")</x:f>
        <x:v>enunciado</x:v>
      </x:c>
      <x:c r="N115" t="str">
        <x:f>IF(TRIM($K115)="",IF(COUNTIF($M115:$M115,"?*")&gt;0,", ","")&amp;"parcial","")</x:f>
      </x:c>
      <x:c r="O115" t="str">
        <x:f>IF(AND(TRIM($K115)&lt;&gt;"",TRIM($K115)&lt;&gt;"EF"),IF(COUNTIF($M115:$N115,"?*")&gt;0,", ","")&amp;"parcial distinto a EF","")</x:f>
      </x:c>
      <x:c r="P115" t="str">
        <x:f>IF(AND(OR($A115="Ítems agrupados por caso clínico o problema",$A115="Subítem de caso o problema",$A115="Emparejamiento Ampliado",$A115="Opción de Emparejamiento Ampliado"),TRIM($B115)=""),IF(COUNTIF($M115:$O115,"?*")&gt;0,", ","")&amp;"grupo","")</x:f>
      </x:c>
      <x:c r="Q115" t="str">
        <x:f>IF(AND(OR($A115="Verdadero o Falso Simple",$A115="Respuesta A/B/Ambas/Ninguna",$A115="Verdadero o Falso Complejas",$A115="Selección de la mejor respuesta",$A115="Subítem de caso o problema",$A115="Opción de Emparejamiento Ampliado"),TRIM($I115)=""),IF(COUNTIF($M115:$P115,"?*")&gt;0,", ","")&amp;"respuesta_correcta","")</x:f>
      </x:c>
      <x:c r="R115" t="str">
        <x:f>IF(AND(OR($A115="Verdadero o Falso Simple",$A115="Respuesta A/B/Ambas/Ninguna",$A115="Verdadero o Falso Complejas",$A115="Selección de la mejor respuesta",$A115="Subítem de caso o problema",$A115="Opción de Emparejamiento Ampliado"),TRIM($J115)=""),IF(COUNTIF($M115:$Q115,"?*")&gt;0,", ","")&amp;"dificultad","")</x:f>
      </x:c>
      <x:c r="S115" t="str">
        <x:f>IF(AND(OR($A115="Ítems agrupados por caso clínico o problema",$A115="Emparejamiento Ampliado"),TRIM($I115)&lt;&gt;""),IF(COUNTIF($M115:$R115,"?*")&gt;0,", ","")&amp;"respuesta debe ir vacia","")</x:f>
      </x:c>
      <x:c r="T115" t="str">
        <x:f>IF(AND(OR($A115="Ítems agrupados por caso clínico o problema",$A115="Emparejamiento Ampliado"),TRIM($J115)&lt;&gt;""),IF(COUNTIF($M115:$S115,"?*")&gt;0,", ","")&amp;"dificultad debe ir vacia","")</x:f>
      </x:c>
      <x:c r="U115" t="str">
        <x:f>IF(AND($A115="Verdadero o Falso Simple",OR(COUNTIF($D115:$E115,"?*")&lt;2,COUNTIF($F115:$H115,"?*")&gt;0)),IF(COUNTIF($M115:$T115,"?*")&gt;0,", ","")&amp;"incisos A-B","")</x:f>
      </x:c>
      <x:c r="V115" t="str">
        <x:f>IF(AND($A115="Verdadero o Falso Simple",TRIM($I115)&lt;&gt;"",NOT(OR(LEFT(TRIM($I115),1)="A",LEFT(TRIM($I115),1)="B"))),IF(COUNTIF($M115:$U115,"?*")&gt;0,", ","")&amp;"respuesta A-B","")</x:f>
      </x:c>
      <x:c r="W115" t="str">
        <x:f>IF(AND($A115="Respuesta A/B/Ambas/Ninguna",COUNTIF($D115:$G115,"?*")&lt;4),IF(COUNTIF($M115:$V115,"?*")&gt;0,", ","")&amp;"opciones A-D","")</x:f>
      </x:c>
      <x:c r="X115" t="str">
        <x:f>IF(AND($A115="Respuesta A/B/Ambas/Ninguna",COUNTIF($H115:$H115,"?*")&gt;0),IF(COUNTIF($M115:$W115,"?*")&gt;0,", ","")&amp;"opcion E deshabilitada","")</x:f>
      </x:c>
      <x:c r="Y115" t="str">
        <x:f>IF(AND($A115="Respuesta A/B/Ambas/Ninguna",TRIM($I115)&lt;&gt;"",NOT(OR(LEFT(TRIM($I115),1)="A",LEFT(TRIM($I115),1)="B",LEFT(TRIM($I115),1)="C",LEFT(TRIM($I115),1)="D"))),IF(COUNTIF($M115:$X115,"?*")&gt;0,", ","")&amp;"respuesta A-D","")</x:f>
      </x:c>
      <x:c r="Z115" t="str">
        <x:f>IF(AND($A115="Verdadero o Falso Complejas",OR(LEN(TRIM(SUBSTITUTE($D115,"1.","")))=0,LEN(TRIM(SUBSTITUTE($E115,"2.","")))=0,LEN(TRIM(SUBSTITUTE($F115,"3.","")))=0,LEN(TRIM(SUBSTITUTE($G115,"4.","")))=0)),IF(COUNTIF($M115:$Y115,"?*")&gt;0,", ","")&amp;"incisos 1-4","")</x:f>
      </x:c>
      <x:c r="AA115" t="str">
        <x:f>IF(AND($A115="Verdadero o Falso Complejas",COUNTIF($H115:$H115,"?*")&gt;0),IF(COUNTIF($M115:$Z115,"?*")&gt;0,", ","")&amp;"opcion E deshabilitada","")</x:f>
      </x:c>
      <x:c r="AB115" t="str">
        <x:f>IF(AND($A115="Verdadero o Falso Complejas",TRIM($I115)&lt;&gt;"",NOT(OR(LEFT(TRIM($I115),1)="A",LEFT(TRIM($I115),1)="B",LEFT(TRIM($I115),1)="C",LEFT(TRIM($I115),1)="D",LEFT(TRIM($I115),1)="E"))),IF(COUNTIF($M115:$AA115,"?*")&gt;0,", ","")&amp;"respuesta A-E","")</x:f>
      </x:c>
      <x:c r="AC115" t="str">
        <x:f>IF(AND(OR($A115="Selección de la mejor respuesta",$A115="Subítem de caso o problema"),COUNTIF($D115:$H115,"?*")&lt;5),IF(COUNTIF($M115:$AB115,"?*")&gt;0,", ","")&amp;"incisos A-E","")</x:f>
      </x:c>
      <x:c r="AD115" t="str">
        <x:f>IF(AND(OR($A115="Selección de la mejor respuesta",$A115="Subítem de caso o problema"),TRIM($I115)&lt;&gt;"",NOT(OR(LEFT(TRIM($I115),1)="A",LEFT(TRIM($I115),1)="B",LEFT(TRIM($I115),1)="C",LEFT(TRIM($I115),1)="D",LEFT(TRIM($I115),1)="E"))),IF(COUNTIF($M115:$AC115,"?*")&gt;0,", ","")&amp;"respuesta A-E","")</x:f>
      </x:c>
      <x:c r="AE115" t="str">
        <x:f>IF(AND(OR($A115="Ítems agrupados por caso clínico o problema",$A115="Opción de Emparejamiento Ampliado"),COUNTIF($D115:$H115,"?*")&gt;0),IF(COUNTIF($M115:$AD115,"?*")&gt;0,", ","")&amp;"sin incisos","")</x:f>
      </x:c>
      <x:c r="AF115" t="str">
        <x:f>IF(AND($A115="Emparejamiento Ampliado",COUNTIF($D115:$H115,"?*")&lt;2),IF(COUNTIF($M115:$AE115,"?*")&gt;0,", ","")&amp;"minimo 2 claves","")</x:f>
      </x:c>
      <x:c r="AG115" t="str">
        <x:f>IF(AND($A115="Opción de Emparejamiento Ampliado",NOT(OR(LEFT(TRIM($I115),1)="A",LEFT(TRIM($I115),1)="B",LEFT(TRIM($I115),1)="C",LEFT(TRIM($I115),1)="D",LEFT(TRIM($I115),1)="E"))),IF(COUNTIF($M115:$AF115,"?*")&gt;0,", ","")&amp;"respuesta A-E","")</x:f>
      </x:c>
      <x:c r="AK115" s="32" t="str"/>
    </x:row>
    <x:row r="116" ht="24" customHeight="1">
      <x:c r="A116" s="14" t="s">
        <x:v>2</x:v>
      </x:c>
      <x:c r="B116" s="14" t="s">
        <x:v>2</x:v>
      </x:c>
      <x:c r="C116" s="15" t="str">
        <x:f>IF($A116="Emparejamiento Ampliado",VALIDACIONES!$I$1,IF($A116="Respuesta A/B/Ambas/Ninguna","I. "&amp;CHAR(10)&amp;"II. ",""))</x:f>
      </x:c>
      <x:c r="D116" s="14" t="str">
        <x:f>IF($A116="Verdadero o Falso Simple","Verdadero",IF($A116="Respuesta A/B/Ambas/Ninguna","A. Si la primera es verdadera",""))</x:f>
      </x:c>
      <x:c r="E116" s="14" t="str">
        <x:f>IF($A116="Verdadero o Falso Simple","Falso",IF($A116="Respuesta A/B/Ambas/Ninguna","B. Si la segunda es verdadera",""))</x:f>
      </x:c>
      <x:c r="F116" s="14" t="str">
        <x:f>IF($A116="Respuesta A/B/Ambas/Ninguna","C. Si ambas son verdaderas","")</x:f>
      </x:c>
      <x:c r="G116" s="14" t="str">
        <x:f>IF($A116="Respuesta A/B/Ambas/Ninguna","D. Si ninguna es verdadera","")</x:f>
      </x:c>
      <x:c r="H116" s="14" t="s">
        <x:v>2</x:v>
      </x:c>
      <x:c r="I116" s="14" t="str">
        <x:f>IF($A116="Verdadero o Falso Simple","A","")</x:f>
      </x:c>
      <x:c r="J116" s="14" t="s">
        <x:v>18</x:v>
      </x:c>
      <x:c r="K116" s="14" t="s">
        <x:v>4</x:v>
      </x:c>
      <x:c r="L116" s="16" t="str">
        <x:f>IF(TRIM($A116)="","",IF(COUNTIF($M116:$AG116,"?*")=0,"OK","Falta revisar: "&amp;$M116&amp;$N116&amp;$O116&amp;$P116&amp;$Q116&amp;$R116&amp;$S116&amp;$T116&amp;$U116&amp;$V116&amp;$W116&amp;$X116&amp;$Y116&amp;$Z116&amp;$AA116&amp;$AB116&amp;$AC116&amp;$AD116&amp;$AE116&amp;$AF116&amp;$AG116))</x:f>
        <x:v>OK</x:v>
      </x:c>
      <x:c r="M116" t="str">
        <x:f>IF(TRIM($C116)="","enunciado","")</x:f>
        <x:v>enunciado</x:v>
      </x:c>
      <x:c r="N116" t="str">
        <x:f>IF(TRIM($K116)="",IF(COUNTIF($M116:$M116,"?*")&gt;0,", ","")&amp;"parcial","")</x:f>
      </x:c>
      <x:c r="O116" t="str">
        <x:f>IF(AND(TRIM($K116)&lt;&gt;"",TRIM($K116)&lt;&gt;"EF"),IF(COUNTIF($M116:$N116,"?*")&gt;0,", ","")&amp;"parcial distinto a EF","")</x:f>
      </x:c>
      <x:c r="P116" t="str">
        <x:f>IF(AND(OR($A116="Ítems agrupados por caso clínico o problema",$A116="Subítem de caso o problema",$A116="Emparejamiento Ampliado",$A116="Opción de Emparejamiento Ampliado"),TRIM($B116)=""),IF(COUNTIF($M116:$O116,"?*")&gt;0,", ","")&amp;"grupo","")</x:f>
      </x:c>
      <x:c r="Q116" t="str">
        <x:f>IF(AND(OR($A116="Verdadero o Falso Simple",$A116="Respuesta A/B/Ambas/Ninguna",$A116="Verdadero o Falso Complejas",$A116="Selección de la mejor respuesta",$A116="Subítem de caso o problema",$A116="Opción de Emparejamiento Ampliado"),TRIM($I116)=""),IF(COUNTIF($M116:$P116,"?*")&gt;0,", ","")&amp;"respuesta_correcta","")</x:f>
      </x:c>
      <x:c r="R116" t="str">
        <x:f>IF(AND(OR($A116="Verdadero o Falso Simple",$A116="Respuesta A/B/Ambas/Ninguna",$A116="Verdadero o Falso Complejas",$A116="Selección de la mejor respuesta",$A116="Subítem de caso o problema",$A116="Opción de Emparejamiento Ampliado"),TRIM($J116)=""),IF(COUNTIF($M116:$Q116,"?*")&gt;0,", ","")&amp;"dificultad","")</x:f>
      </x:c>
      <x:c r="S116" t="str">
        <x:f>IF(AND(OR($A116="Ítems agrupados por caso clínico o problema",$A116="Emparejamiento Ampliado"),TRIM($I116)&lt;&gt;""),IF(COUNTIF($M116:$R116,"?*")&gt;0,", ","")&amp;"respuesta debe ir vacia","")</x:f>
      </x:c>
      <x:c r="T116" t="str">
        <x:f>IF(AND(OR($A116="Ítems agrupados por caso clínico o problema",$A116="Emparejamiento Ampliado"),TRIM($J116)&lt;&gt;""),IF(COUNTIF($M116:$S116,"?*")&gt;0,", ","")&amp;"dificultad debe ir vacia","")</x:f>
      </x:c>
      <x:c r="U116" t="str">
        <x:f>IF(AND($A116="Verdadero o Falso Simple",OR(COUNTIF($D116:$E116,"?*")&lt;2,COUNTIF($F116:$H116,"?*")&gt;0)),IF(COUNTIF($M116:$T116,"?*")&gt;0,", ","")&amp;"incisos A-B","")</x:f>
      </x:c>
      <x:c r="V116" t="str">
        <x:f>IF(AND($A116="Verdadero o Falso Simple",TRIM($I116)&lt;&gt;"",NOT(OR(LEFT(TRIM($I116),1)="A",LEFT(TRIM($I116),1)="B"))),IF(COUNTIF($M116:$U116,"?*")&gt;0,", ","")&amp;"respuesta A-B","")</x:f>
      </x:c>
      <x:c r="W116" t="str">
        <x:f>IF(AND($A116="Respuesta A/B/Ambas/Ninguna",COUNTIF($D116:$G116,"?*")&lt;4),IF(COUNTIF($M116:$V116,"?*")&gt;0,", ","")&amp;"opciones A-D","")</x:f>
      </x:c>
      <x:c r="X116" t="str">
        <x:f>IF(AND($A116="Respuesta A/B/Ambas/Ninguna",COUNTIF($H116:$H116,"?*")&gt;0),IF(COUNTIF($M116:$W116,"?*")&gt;0,", ","")&amp;"opcion E deshabilitada","")</x:f>
      </x:c>
      <x:c r="Y116" t="str">
        <x:f>IF(AND($A116="Respuesta A/B/Ambas/Ninguna",TRIM($I116)&lt;&gt;"",NOT(OR(LEFT(TRIM($I116),1)="A",LEFT(TRIM($I116),1)="B",LEFT(TRIM($I116),1)="C",LEFT(TRIM($I116),1)="D"))),IF(COUNTIF($M116:$X116,"?*")&gt;0,", ","")&amp;"respuesta A-D","")</x:f>
      </x:c>
      <x:c r="Z116" t="str">
        <x:f>IF(AND($A116="Verdadero o Falso Complejas",OR(LEN(TRIM(SUBSTITUTE($D116,"1.","")))=0,LEN(TRIM(SUBSTITUTE($E116,"2.","")))=0,LEN(TRIM(SUBSTITUTE($F116,"3.","")))=0,LEN(TRIM(SUBSTITUTE($G116,"4.","")))=0)),IF(COUNTIF($M116:$Y116,"?*")&gt;0,", ","")&amp;"incisos 1-4","")</x:f>
      </x:c>
      <x:c r="AA116" t="str">
        <x:f>IF(AND($A116="Verdadero o Falso Complejas",COUNTIF($H116:$H116,"?*")&gt;0),IF(COUNTIF($M116:$Z116,"?*")&gt;0,", ","")&amp;"opcion E deshabilitada","")</x:f>
      </x:c>
      <x:c r="AB116" t="str">
        <x:f>IF(AND($A116="Verdadero o Falso Complejas",TRIM($I116)&lt;&gt;"",NOT(OR(LEFT(TRIM($I116),1)="A",LEFT(TRIM($I116),1)="B",LEFT(TRIM($I116),1)="C",LEFT(TRIM($I116),1)="D",LEFT(TRIM($I116),1)="E"))),IF(COUNTIF($M116:$AA116,"?*")&gt;0,", ","")&amp;"respuesta A-E","")</x:f>
      </x:c>
      <x:c r="AC116" t="str">
        <x:f>IF(AND(OR($A116="Selección de la mejor respuesta",$A116="Subítem de caso o problema"),COUNTIF($D116:$H116,"?*")&lt;5),IF(COUNTIF($M116:$AB116,"?*")&gt;0,", ","")&amp;"incisos A-E","")</x:f>
      </x:c>
      <x:c r="AD116" t="str">
        <x:f>IF(AND(OR($A116="Selección de la mejor respuesta",$A116="Subítem de caso o problema"),TRIM($I116)&lt;&gt;"",NOT(OR(LEFT(TRIM($I116),1)="A",LEFT(TRIM($I116),1)="B",LEFT(TRIM($I116),1)="C",LEFT(TRIM($I116),1)="D",LEFT(TRIM($I116),1)="E"))),IF(COUNTIF($M116:$AC116,"?*")&gt;0,", ","")&amp;"respuesta A-E","")</x:f>
      </x:c>
      <x:c r="AE116" t="str">
        <x:f>IF(AND(OR($A116="Ítems agrupados por caso clínico o problema",$A116="Opción de Emparejamiento Ampliado"),COUNTIF($D116:$H116,"?*")&gt;0),IF(COUNTIF($M116:$AD116,"?*")&gt;0,", ","")&amp;"sin incisos","")</x:f>
      </x:c>
      <x:c r="AF116" t="str">
        <x:f>IF(AND($A116="Emparejamiento Ampliado",COUNTIF($D116:$H116,"?*")&lt;2),IF(COUNTIF($M116:$AE116,"?*")&gt;0,", ","")&amp;"minimo 2 claves","")</x:f>
      </x:c>
      <x:c r="AG116" t="str">
        <x:f>IF(AND($A116="Opción de Emparejamiento Ampliado",NOT(OR(LEFT(TRIM($I116),1)="A",LEFT(TRIM($I116),1)="B",LEFT(TRIM($I116),1)="C",LEFT(TRIM($I116),1)="D",LEFT(TRIM($I116),1)="E"))),IF(COUNTIF($M116:$AF116,"?*")&gt;0,", ","")&amp;"respuesta A-E","")</x:f>
      </x:c>
      <x:c r="AK116" s="32" t="str"/>
    </x:row>
    <x:row r="117" ht="24" customHeight="1">
      <x:c r="A117" s="14" t="s">
        <x:v>2</x:v>
      </x:c>
      <x:c r="B117" s="14" t="s">
        <x:v>2</x:v>
      </x:c>
      <x:c r="C117" s="15" t="str">
        <x:f>IF($A117="Emparejamiento Ampliado",VALIDACIONES!$I$1,IF($A117="Respuesta A/B/Ambas/Ninguna","I. "&amp;CHAR(10)&amp;"II. ",""))</x:f>
      </x:c>
      <x:c r="D117" s="14" t="str">
        <x:f>IF($A117="Verdadero o Falso Simple","Verdadero",IF($A117="Respuesta A/B/Ambas/Ninguna","A. Si la primera es verdadera",""))</x:f>
      </x:c>
      <x:c r="E117" s="14" t="str">
        <x:f>IF($A117="Verdadero o Falso Simple","Falso",IF($A117="Respuesta A/B/Ambas/Ninguna","B. Si la segunda es verdadera",""))</x:f>
      </x:c>
      <x:c r="F117" s="14" t="str">
        <x:f>IF($A117="Respuesta A/B/Ambas/Ninguna","C. Si ambas son verdaderas","")</x:f>
      </x:c>
      <x:c r="G117" s="14" t="str">
        <x:f>IF($A117="Respuesta A/B/Ambas/Ninguna","D. Si ninguna es verdadera","")</x:f>
      </x:c>
      <x:c r="H117" s="14" t="s">
        <x:v>2</x:v>
      </x:c>
      <x:c r="I117" s="14" t="str">
        <x:f>IF($A117="Verdadero o Falso Simple","A","")</x:f>
      </x:c>
      <x:c r="J117" s="14" t="s">
        <x:v>18</x:v>
      </x:c>
      <x:c r="K117" s="14" t="s">
        <x:v>4</x:v>
      </x:c>
      <x:c r="L117" s="16" t="str">
        <x:f>IF(TRIM($A117)="","",IF(COUNTIF($M117:$AG117,"?*")=0,"OK","Falta revisar: "&amp;$M117&amp;$N117&amp;$O117&amp;$P117&amp;$Q117&amp;$R117&amp;$S117&amp;$T117&amp;$U117&amp;$V117&amp;$W117&amp;$X117&amp;$Y117&amp;$Z117&amp;$AA117&amp;$AB117&amp;$AC117&amp;$AD117&amp;$AE117&amp;$AF117&amp;$AG117))</x:f>
        <x:v>OK</x:v>
      </x:c>
      <x:c r="M117" t="str">
        <x:f>IF(TRIM($C117)="","enunciado","")</x:f>
        <x:v>enunciado</x:v>
      </x:c>
      <x:c r="N117" t="str">
        <x:f>IF(TRIM($K117)="",IF(COUNTIF($M117:$M117,"?*")&gt;0,", ","")&amp;"parcial","")</x:f>
      </x:c>
      <x:c r="O117" t="str">
        <x:f>IF(AND(TRIM($K117)&lt;&gt;"",TRIM($K117)&lt;&gt;"EF"),IF(COUNTIF($M117:$N117,"?*")&gt;0,", ","")&amp;"parcial distinto a EF","")</x:f>
      </x:c>
      <x:c r="P117" t="str">
        <x:f>IF(AND(OR($A117="Ítems agrupados por caso clínico o problema",$A117="Subítem de caso o problema",$A117="Emparejamiento Ampliado",$A117="Opción de Emparejamiento Ampliado"),TRIM($B117)=""),IF(COUNTIF($M117:$O117,"?*")&gt;0,", ","")&amp;"grupo","")</x:f>
      </x:c>
      <x:c r="Q117" t="str">
        <x:f>IF(AND(OR($A117="Verdadero o Falso Simple",$A117="Respuesta A/B/Ambas/Ninguna",$A117="Verdadero o Falso Complejas",$A117="Selección de la mejor respuesta",$A117="Subítem de caso o problema",$A117="Opción de Emparejamiento Ampliado"),TRIM($I117)=""),IF(COUNTIF($M117:$P117,"?*")&gt;0,", ","")&amp;"respuesta_correcta","")</x:f>
      </x:c>
      <x:c r="R117" t="str">
        <x:f>IF(AND(OR($A117="Verdadero o Falso Simple",$A117="Respuesta A/B/Ambas/Ninguna",$A117="Verdadero o Falso Complejas",$A117="Selección de la mejor respuesta",$A117="Subítem de caso o problema",$A117="Opción de Emparejamiento Ampliado"),TRIM($J117)=""),IF(COUNTIF($M117:$Q117,"?*")&gt;0,", ","")&amp;"dificultad","")</x:f>
      </x:c>
      <x:c r="S117" t="str">
        <x:f>IF(AND(OR($A117="Ítems agrupados por caso clínico o problema",$A117="Emparejamiento Ampliado"),TRIM($I117)&lt;&gt;""),IF(COUNTIF($M117:$R117,"?*")&gt;0,", ","")&amp;"respuesta debe ir vacia","")</x:f>
      </x:c>
      <x:c r="T117" t="str">
        <x:f>IF(AND(OR($A117="Ítems agrupados por caso clínico o problema",$A117="Emparejamiento Ampliado"),TRIM($J117)&lt;&gt;""),IF(COUNTIF($M117:$S117,"?*")&gt;0,", ","")&amp;"dificultad debe ir vacia","")</x:f>
      </x:c>
      <x:c r="U117" t="str">
        <x:f>IF(AND($A117="Verdadero o Falso Simple",OR(COUNTIF($D117:$E117,"?*")&lt;2,COUNTIF($F117:$H117,"?*")&gt;0)),IF(COUNTIF($M117:$T117,"?*")&gt;0,", ","")&amp;"incisos A-B","")</x:f>
      </x:c>
      <x:c r="V117" t="str">
        <x:f>IF(AND($A117="Verdadero o Falso Simple",TRIM($I117)&lt;&gt;"",NOT(OR(LEFT(TRIM($I117),1)="A",LEFT(TRIM($I117),1)="B"))),IF(COUNTIF($M117:$U117,"?*")&gt;0,", ","")&amp;"respuesta A-B","")</x:f>
      </x:c>
      <x:c r="W117" t="str">
        <x:f>IF(AND($A117="Respuesta A/B/Ambas/Ninguna",COUNTIF($D117:$G117,"?*")&lt;4),IF(COUNTIF($M117:$V117,"?*")&gt;0,", ","")&amp;"opciones A-D","")</x:f>
      </x:c>
      <x:c r="X117" t="str">
        <x:f>IF(AND($A117="Respuesta A/B/Ambas/Ninguna",COUNTIF($H117:$H117,"?*")&gt;0),IF(COUNTIF($M117:$W117,"?*")&gt;0,", ","")&amp;"opcion E deshabilitada","")</x:f>
      </x:c>
      <x:c r="Y117" t="str">
        <x:f>IF(AND($A117="Respuesta A/B/Ambas/Ninguna",TRIM($I117)&lt;&gt;"",NOT(OR(LEFT(TRIM($I117),1)="A",LEFT(TRIM($I117),1)="B",LEFT(TRIM($I117),1)="C",LEFT(TRIM($I117),1)="D"))),IF(COUNTIF($M117:$X117,"?*")&gt;0,", ","")&amp;"respuesta A-D","")</x:f>
      </x:c>
      <x:c r="Z117" t="str">
        <x:f>IF(AND($A117="Verdadero o Falso Complejas",OR(LEN(TRIM(SUBSTITUTE($D117,"1.","")))=0,LEN(TRIM(SUBSTITUTE($E117,"2.","")))=0,LEN(TRIM(SUBSTITUTE($F117,"3.","")))=0,LEN(TRIM(SUBSTITUTE($G117,"4.","")))=0)),IF(COUNTIF($M117:$Y117,"?*")&gt;0,", ","")&amp;"incisos 1-4","")</x:f>
      </x:c>
      <x:c r="AA117" t="str">
        <x:f>IF(AND($A117="Verdadero o Falso Complejas",COUNTIF($H117:$H117,"?*")&gt;0),IF(COUNTIF($M117:$Z117,"?*")&gt;0,", ","")&amp;"opcion E deshabilitada","")</x:f>
      </x:c>
      <x:c r="AB117" t="str">
        <x:f>IF(AND($A117="Verdadero o Falso Complejas",TRIM($I117)&lt;&gt;"",NOT(OR(LEFT(TRIM($I117),1)="A",LEFT(TRIM($I117),1)="B",LEFT(TRIM($I117),1)="C",LEFT(TRIM($I117),1)="D",LEFT(TRIM($I117),1)="E"))),IF(COUNTIF($M117:$AA117,"?*")&gt;0,", ","")&amp;"respuesta A-E","")</x:f>
      </x:c>
      <x:c r="AC117" t="str">
        <x:f>IF(AND(OR($A117="Selección de la mejor respuesta",$A117="Subítem de caso o problema"),COUNTIF($D117:$H117,"?*")&lt;5),IF(COUNTIF($M117:$AB117,"?*")&gt;0,", ","")&amp;"incisos A-E","")</x:f>
      </x:c>
      <x:c r="AD117" t="str">
        <x:f>IF(AND(OR($A117="Selección de la mejor respuesta",$A117="Subítem de caso o problema"),TRIM($I117)&lt;&gt;"",NOT(OR(LEFT(TRIM($I117),1)="A",LEFT(TRIM($I117),1)="B",LEFT(TRIM($I117),1)="C",LEFT(TRIM($I117),1)="D",LEFT(TRIM($I117),1)="E"))),IF(COUNTIF($M117:$AC117,"?*")&gt;0,", ","")&amp;"respuesta A-E","")</x:f>
      </x:c>
      <x:c r="AE117" t="str">
        <x:f>IF(AND(OR($A117="Ítems agrupados por caso clínico o problema",$A117="Opción de Emparejamiento Ampliado"),COUNTIF($D117:$H117,"?*")&gt;0),IF(COUNTIF($M117:$AD117,"?*")&gt;0,", ","")&amp;"sin incisos","")</x:f>
      </x:c>
      <x:c r="AF117" t="str">
        <x:f>IF(AND($A117="Emparejamiento Ampliado",COUNTIF($D117:$H117,"?*")&lt;2),IF(COUNTIF($M117:$AE117,"?*")&gt;0,", ","")&amp;"minimo 2 claves","")</x:f>
      </x:c>
      <x:c r="AG117" t="str">
        <x:f>IF(AND($A117="Opción de Emparejamiento Ampliado",NOT(OR(LEFT(TRIM($I117),1)="A",LEFT(TRIM($I117),1)="B",LEFT(TRIM($I117),1)="C",LEFT(TRIM($I117),1)="D",LEFT(TRIM($I117),1)="E"))),IF(COUNTIF($M117:$AF117,"?*")&gt;0,", ","")&amp;"respuesta A-E","")</x:f>
      </x:c>
      <x:c r="AK117" s="32" t="str"/>
    </x:row>
    <x:row r="118" ht="24" customHeight="1">
      <x:c r="A118" s="14" t="s">
        <x:v>2</x:v>
      </x:c>
      <x:c r="B118" s="14" t="s">
        <x:v>2</x:v>
      </x:c>
      <x:c r="C118" s="15" t="str">
        <x:f>IF($A118="Emparejamiento Ampliado",VALIDACIONES!$I$1,IF($A118="Respuesta A/B/Ambas/Ninguna","I. "&amp;CHAR(10)&amp;"II. ",""))</x:f>
      </x:c>
      <x:c r="D118" s="14" t="str">
        <x:f>IF($A118="Verdadero o Falso Simple","Verdadero",IF($A118="Respuesta A/B/Ambas/Ninguna","A. Si la primera es verdadera",""))</x:f>
      </x:c>
      <x:c r="E118" s="14" t="str">
        <x:f>IF($A118="Verdadero o Falso Simple","Falso",IF($A118="Respuesta A/B/Ambas/Ninguna","B. Si la segunda es verdadera",""))</x:f>
      </x:c>
      <x:c r="F118" s="14" t="str">
        <x:f>IF($A118="Respuesta A/B/Ambas/Ninguna","C. Si ambas son verdaderas","")</x:f>
      </x:c>
      <x:c r="G118" s="14" t="str">
        <x:f>IF($A118="Respuesta A/B/Ambas/Ninguna","D. Si ninguna es verdadera","")</x:f>
      </x:c>
      <x:c r="H118" s="14" t="s">
        <x:v>2</x:v>
      </x:c>
      <x:c r="I118" s="14" t="str">
        <x:f>IF($A118="Verdadero o Falso Simple","A","")</x:f>
      </x:c>
      <x:c r="J118" s="14" t="s">
        <x:v>18</x:v>
      </x:c>
      <x:c r="K118" s="14" t="s">
        <x:v>4</x:v>
      </x:c>
      <x:c r="L118" s="16" t="str">
        <x:f>IF(TRIM($A118)="","",IF(COUNTIF($M118:$AG118,"?*")=0,"OK","Falta revisar: "&amp;$M118&amp;$N118&amp;$O118&amp;$P118&amp;$Q118&amp;$R118&amp;$S118&amp;$T118&amp;$U118&amp;$V118&amp;$W118&amp;$X118&amp;$Y118&amp;$Z118&amp;$AA118&amp;$AB118&amp;$AC118&amp;$AD118&amp;$AE118&amp;$AF118&amp;$AG118))</x:f>
        <x:v>OK</x:v>
      </x:c>
      <x:c r="M118" t="str">
        <x:f>IF(TRIM($C118)="","enunciado","")</x:f>
        <x:v>enunciado</x:v>
      </x:c>
      <x:c r="N118" t="str">
        <x:f>IF(TRIM($K118)="",IF(COUNTIF($M118:$M118,"?*")&gt;0,", ","")&amp;"parcial","")</x:f>
      </x:c>
      <x:c r="O118" t="str">
        <x:f>IF(AND(TRIM($K118)&lt;&gt;"",TRIM($K118)&lt;&gt;"EF"),IF(COUNTIF($M118:$N118,"?*")&gt;0,", ","")&amp;"parcial distinto a EF","")</x:f>
      </x:c>
      <x:c r="P118" t="str">
        <x:f>IF(AND(OR($A118="Ítems agrupados por caso clínico o problema",$A118="Subítem de caso o problema",$A118="Emparejamiento Ampliado",$A118="Opción de Emparejamiento Ampliado"),TRIM($B118)=""),IF(COUNTIF($M118:$O118,"?*")&gt;0,", ","")&amp;"grupo","")</x:f>
      </x:c>
      <x:c r="Q118" t="str">
        <x:f>IF(AND(OR($A118="Verdadero o Falso Simple",$A118="Respuesta A/B/Ambas/Ninguna",$A118="Verdadero o Falso Complejas",$A118="Selección de la mejor respuesta",$A118="Subítem de caso o problema",$A118="Opción de Emparejamiento Ampliado"),TRIM($I118)=""),IF(COUNTIF($M118:$P118,"?*")&gt;0,", ","")&amp;"respuesta_correcta","")</x:f>
      </x:c>
      <x:c r="R118" t="str">
        <x:f>IF(AND(OR($A118="Verdadero o Falso Simple",$A118="Respuesta A/B/Ambas/Ninguna",$A118="Verdadero o Falso Complejas",$A118="Selección de la mejor respuesta",$A118="Subítem de caso o problema",$A118="Opción de Emparejamiento Ampliado"),TRIM($J118)=""),IF(COUNTIF($M118:$Q118,"?*")&gt;0,", ","")&amp;"dificultad","")</x:f>
      </x:c>
      <x:c r="S118" t="str">
        <x:f>IF(AND(OR($A118="Ítems agrupados por caso clínico o problema",$A118="Emparejamiento Ampliado"),TRIM($I118)&lt;&gt;""),IF(COUNTIF($M118:$R118,"?*")&gt;0,", ","")&amp;"respuesta debe ir vacia","")</x:f>
      </x:c>
      <x:c r="T118" t="str">
        <x:f>IF(AND(OR($A118="Ítems agrupados por caso clínico o problema",$A118="Emparejamiento Ampliado"),TRIM($J118)&lt;&gt;""),IF(COUNTIF($M118:$S118,"?*")&gt;0,", ","")&amp;"dificultad debe ir vacia","")</x:f>
      </x:c>
      <x:c r="U118" t="str">
        <x:f>IF(AND($A118="Verdadero o Falso Simple",OR(COUNTIF($D118:$E118,"?*")&lt;2,COUNTIF($F118:$H118,"?*")&gt;0)),IF(COUNTIF($M118:$T118,"?*")&gt;0,", ","")&amp;"incisos A-B","")</x:f>
      </x:c>
      <x:c r="V118" t="str">
        <x:f>IF(AND($A118="Verdadero o Falso Simple",TRIM($I118)&lt;&gt;"",NOT(OR(LEFT(TRIM($I118),1)="A",LEFT(TRIM($I118),1)="B"))),IF(COUNTIF($M118:$U118,"?*")&gt;0,", ","")&amp;"respuesta A-B","")</x:f>
      </x:c>
      <x:c r="W118" t="str">
        <x:f>IF(AND($A118="Respuesta A/B/Ambas/Ninguna",COUNTIF($D118:$G118,"?*")&lt;4),IF(COUNTIF($M118:$V118,"?*")&gt;0,", ","")&amp;"opciones A-D","")</x:f>
      </x:c>
      <x:c r="X118" t="str">
        <x:f>IF(AND($A118="Respuesta A/B/Ambas/Ninguna",COUNTIF($H118:$H118,"?*")&gt;0),IF(COUNTIF($M118:$W118,"?*")&gt;0,", ","")&amp;"opcion E deshabilitada","")</x:f>
      </x:c>
      <x:c r="Y118" t="str">
        <x:f>IF(AND($A118="Respuesta A/B/Ambas/Ninguna",TRIM($I118)&lt;&gt;"",NOT(OR(LEFT(TRIM($I118),1)="A",LEFT(TRIM($I118),1)="B",LEFT(TRIM($I118),1)="C",LEFT(TRIM($I118),1)="D"))),IF(COUNTIF($M118:$X118,"?*")&gt;0,", ","")&amp;"respuesta A-D","")</x:f>
      </x:c>
      <x:c r="Z118" t="str">
        <x:f>IF(AND($A118="Verdadero o Falso Complejas",OR(LEN(TRIM(SUBSTITUTE($D118,"1.","")))=0,LEN(TRIM(SUBSTITUTE($E118,"2.","")))=0,LEN(TRIM(SUBSTITUTE($F118,"3.","")))=0,LEN(TRIM(SUBSTITUTE($G118,"4.","")))=0)),IF(COUNTIF($M118:$Y118,"?*")&gt;0,", ","")&amp;"incisos 1-4","")</x:f>
      </x:c>
      <x:c r="AA118" t="str">
        <x:f>IF(AND($A118="Verdadero o Falso Complejas",COUNTIF($H118:$H118,"?*")&gt;0),IF(COUNTIF($M118:$Z118,"?*")&gt;0,", ","")&amp;"opcion E deshabilitada","")</x:f>
      </x:c>
      <x:c r="AB118" t="str">
        <x:f>IF(AND($A118="Verdadero o Falso Complejas",TRIM($I118)&lt;&gt;"",NOT(OR(LEFT(TRIM($I118),1)="A",LEFT(TRIM($I118),1)="B",LEFT(TRIM($I118),1)="C",LEFT(TRIM($I118),1)="D",LEFT(TRIM($I118),1)="E"))),IF(COUNTIF($M118:$AA118,"?*")&gt;0,", ","")&amp;"respuesta A-E","")</x:f>
      </x:c>
      <x:c r="AC118" t="str">
        <x:f>IF(AND(OR($A118="Selección de la mejor respuesta",$A118="Subítem de caso o problema"),COUNTIF($D118:$H118,"?*")&lt;5),IF(COUNTIF($M118:$AB118,"?*")&gt;0,", ","")&amp;"incisos A-E","")</x:f>
      </x:c>
      <x:c r="AD118" t="str">
        <x:f>IF(AND(OR($A118="Selección de la mejor respuesta",$A118="Subítem de caso o problema"),TRIM($I118)&lt;&gt;"",NOT(OR(LEFT(TRIM($I118),1)="A",LEFT(TRIM($I118),1)="B",LEFT(TRIM($I118),1)="C",LEFT(TRIM($I118),1)="D",LEFT(TRIM($I118),1)="E"))),IF(COUNTIF($M118:$AC118,"?*")&gt;0,", ","")&amp;"respuesta A-E","")</x:f>
      </x:c>
      <x:c r="AE118" t="str">
        <x:f>IF(AND(OR($A118="Ítems agrupados por caso clínico o problema",$A118="Opción de Emparejamiento Ampliado"),COUNTIF($D118:$H118,"?*")&gt;0),IF(COUNTIF($M118:$AD118,"?*")&gt;0,", ","")&amp;"sin incisos","")</x:f>
      </x:c>
      <x:c r="AF118" t="str">
        <x:f>IF(AND($A118="Emparejamiento Ampliado",COUNTIF($D118:$H118,"?*")&lt;2),IF(COUNTIF($M118:$AE118,"?*")&gt;0,", ","")&amp;"minimo 2 claves","")</x:f>
      </x:c>
      <x:c r="AG118" t="str">
        <x:f>IF(AND($A118="Opción de Emparejamiento Ampliado",NOT(OR(LEFT(TRIM($I118),1)="A",LEFT(TRIM($I118),1)="B",LEFT(TRIM($I118),1)="C",LEFT(TRIM($I118),1)="D",LEFT(TRIM($I118),1)="E"))),IF(COUNTIF($M118:$AF118,"?*")&gt;0,", ","")&amp;"respuesta A-E","")</x:f>
      </x:c>
      <x:c r="AK118" s="32" t="str"/>
    </x:row>
    <x:row r="119" ht="24" customHeight="1">
      <x:c r="A119" s="14" t="s">
        <x:v>2</x:v>
      </x:c>
      <x:c r="B119" s="14" t="s">
        <x:v>2</x:v>
      </x:c>
      <x:c r="C119" s="15" t="str">
        <x:f>IF($A119="Emparejamiento Ampliado",VALIDACIONES!$I$1,IF($A119="Respuesta A/B/Ambas/Ninguna","I. "&amp;CHAR(10)&amp;"II. ",""))</x:f>
      </x:c>
      <x:c r="D119" s="14" t="str">
        <x:f>IF($A119="Verdadero o Falso Simple","Verdadero",IF($A119="Respuesta A/B/Ambas/Ninguna","A. Si la primera es verdadera",""))</x:f>
      </x:c>
      <x:c r="E119" s="14" t="str">
        <x:f>IF($A119="Verdadero o Falso Simple","Falso",IF($A119="Respuesta A/B/Ambas/Ninguna","B. Si la segunda es verdadera",""))</x:f>
      </x:c>
      <x:c r="F119" s="14" t="str">
        <x:f>IF($A119="Respuesta A/B/Ambas/Ninguna","C. Si ambas son verdaderas","")</x:f>
      </x:c>
      <x:c r="G119" s="14" t="str">
        <x:f>IF($A119="Respuesta A/B/Ambas/Ninguna","D. Si ninguna es verdadera","")</x:f>
      </x:c>
      <x:c r="H119" s="14" t="s">
        <x:v>2</x:v>
      </x:c>
      <x:c r="I119" s="14" t="str">
        <x:f>IF($A119="Verdadero o Falso Simple","A","")</x:f>
      </x:c>
      <x:c r="J119" s="14" t="s">
        <x:v>18</x:v>
      </x:c>
      <x:c r="K119" s="14" t="s">
        <x:v>4</x:v>
      </x:c>
      <x:c r="L119" s="16" t="str">
        <x:f>IF(TRIM($A119)="","",IF(COUNTIF($M119:$AG119,"?*")=0,"OK","Falta revisar: "&amp;$M119&amp;$N119&amp;$O119&amp;$P119&amp;$Q119&amp;$R119&amp;$S119&amp;$T119&amp;$U119&amp;$V119&amp;$W119&amp;$X119&amp;$Y119&amp;$Z119&amp;$AA119&amp;$AB119&amp;$AC119&amp;$AD119&amp;$AE119&amp;$AF119&amp;$AG119))</x:f>
        <x:v>OK</x:v>
      </x:c>
      <x:c r="M119" t="str">
        <x:f>IF(TRIM($C119)="","enunciado","")</x:f>
        <x:v>enunciado</x:v>
      </x:c>
      <x:c r="N119" t="str">
        <x:f>IF(TRIM($K119)="",IF(COUNTIF($M119:$M119,"?*")&gt;0,", ","")&amp;"parcial","")</x:f>
      </x:c>
      <x:c r="O119" t="str">
        <x:f>IF(AND(TRIM($K119)&lt;&gt;"",TRIM($K119)&lt;&gt;"EF"),IF(COUNTIF($M119:$N119,"?*")&gt;0,", ","")&amp;"parcial distinto a EF","")</x:f>
      </x:c>
      <x:c r="P119" t="str">
        <x:f>IF(AND(OR($A119="Ítems agrupados por caso clínico o problema",$A119="Subítem de caso o problema",$A119="Emparejamiento Ampliado",$A119="Opción de Emparejamiento Ampliado"),TRIM($B119)=""),IF(COUNTIF($M119:$O119,"?*")&gt;0,", ","")&amp;"grupo","")</x:f>
      </x:c>
      <x:c r="Q119" t="str">
        <x:f>IF(AND(OR($A119="Verdadero o Falso Simple",$A119="Respuesta A/B/Ambas/Ninguna",$A119="Verdadero o Falso Complejas",$A119="Selección de la mejor respuesta",$A119="Subítem de caso o problema",$A119="Opción de Emparejamiento Ampliado"),TRIM($I119)=""),IF(COUNTIF($M119:$P119,"?*")&gt;0,", ","")&amp;"respuesta_correcta","")</x:f>
      </x:c>
      <x:c r="R119" t="str">
        <x:f>IF(AND(OR($A119="Verdadero o Falso Simple",$A119="Respuesta A/B/Ambas/Ninguna",$A119="Verdadero o Falso Complejas",$A119="Selección de la mejor respuesta",$A119="Subítem de caso o problema",$A119="Opción de Emparejamiento Ampliado"),TRIM($J119)=""),IF(COUNTIF($M119:$Q119,"?*")&gt;0,", ","")&amp;"dificultad","")</x:f>
      </x:c>
      <x:c r="S119" t="str">
        <x:f>IF(AND(OR($A119="Ítems agrupados por caso clínico o problema",$A119="Emparejamiento Ampliado"),TRIM($I119)&lt;&gt;""),IF(COUNTIF($M119:$R119,"?*")&gt;0,", ","")&amp;"respuesta debe ir vacia","")</x:f>
      </x:c>
      <x:c r="T119" t="str">
        <x:f>IF(AND(OR($A119="Ítems agrupados por caso clínico o problema",$A119="Emparejamiento Ampliado"),TRIM($J119)&lt;&gt;""),IF(COUNTIF($M119:$S119,"?*")&gt;0,", ","")&amp;"dificultad debe ir vacia","")</x:f>
      </x:c>
      <x:c r="U119" t="str">
        <x:f>IF(AND($A119="Verdadero o Falso Simple",OR(COUNTIF($D119:$E119,"?*")&lt;2,COUNTIF($F119:$H119,"?*")&gt;0)),IF(COUNTIF($M119:$T119,"?*")&gt;0,", ","")&amp;"incisos A-B","")</x:f>
      </x:c>
      <x:c r="V119" t="str">
        <x:f>IF(AND($A119="Verdadero o Falso Simple",TRIM($I119)&lt;&gt;"",NOT(OR(LEFT(TRIM($I119),1)="A",LEFT(TRIM($I119),1)="B"))),IF(COUNTIF($M119:$U119,"?*")&gt;0,", ","")&amp;"respuesta A-B","")</x:f>
      </x:c>
      <x:c r="W119" t="str">
        <x:f>IF(AND($A119="Respuesta A/B/Ambas/Ninguna",COUNTIF($D119:$G119,"?*")&lt;4),IF(COUNTIF($M119:$V119,"?*")&gt;0,", ","")&amp;"opciones A-D","")</x:f>
      </x:c>
      <x:c r="X119" t="str">
        <x:f>IF(AND($A119="Respuesta A/B/Ambas/Ninguna",COUNTIF($H119:$H119,"?*")&gt;0),IF(COUNTIF($M119:$W119,"?*")&gt;0,", ","")&amp;"opcion E deshabilitada","")</x:f>
      </x:c>
      <x:c r="Y119" t="str">
        <x:f>IF(AND($A119="Respuesta A/B/Ambas/Ninguna",TRIM($I119)&lt;&gt;"",NOT(OR(LEFT(TRIM($I119),1)="A",LEFT(TRIM($I119),1)="B",LEFT(TRIM($I119),1)="C",LEFT(TRIM($I119),1)="D"))),IF(COUNTIF($M119:$X119,"?*")&gt;0,", ","")&amp;"respuesta A-D","")</x:f>
      </x:c>
      <x:c r="Z119" t="str">
        <x:f>IF(AND($A119="Verdadero o Falso Complejas",OR(LEN(TRIM(SUBSTITUTE($D119,"1.","")))=0,LEN(TRIM(SUBSTITUTE($E119,"2.","")))=0,LEN(TRIM(SUBSTITUTE($F119,"3.","")))=0,LEN(TRIM(SUBSTITUTE($G119,"4.","")))=0)),IF(COUNTIF($M119:$Y119,"?*")&gt;0,", ","")&amp;"incisos 1-4","")</x:f>
      </x:c>
      <x:c r="AA119" t="str">
        <x:f>IF(AND($A119="Verdadero o Falso Complejas",COUNTIF($H119:$H119,"?*")&gt;0),IF(COUNTIF($M119:$Z119,"?*")&gt;0,", ","")&amp;"opcion E deshabilitada","")</x:f>
      </x:c>
      <x:c r="AB119" t="str">
        <x:f>IF(AND($A119="Verdadero o Falso Complejas",TRIM($I119)&lt;&gt;"",NOT(OR(LEFT(TRIM($I119),1)="A",LEFT(TRIM($I119),1)="B",LEFT(TRIM($I119),1)="C",LEFT(TRIM($I119),1)="D",LEFT(TRIM($I119),1)="E"))),IF(COUNTIF($M119:$AA119,"?*")&gt;0,", ","")&amp;"respuesta A-E","")</x:f>
      </x:c>
      <x:c r="AC119" t="str">
        <x:f>IF(AND(OR($A119="Selección de la mejor respuesta",$A119="Subítem de caso o problema"),COUNTIF($D119:$H119,"?*")&lt;5),IF(COUNTIF($M119:$AB119,"?*")&gt;0,", ","")&amp;"incisos A-E","")</x:f>
      </x:c>
      <x:c r="AD119" t="str">
        <x:f>IF(AND(OR($A119="Selección de la mejor respuesta",$A119="Subítem de caso o problema"),TRIM($I119)&lt;&gt;"",NOT(OR(LEFT(TRIM($I119),1)="A",LEFT(TRIM($I119),1)="B",LEFT(TRIM($I119),1)="C",LEFT(TRIM($I119),1)="D",LEFT(TRIM($I119),1)="E"))),IF(COUNTIF($M119:$AC119,"?*")&gt;0,", ","")&amp;"respuesta A-E","")</x:f>
      </x:c>
      <x:c r="AE119" t="str">
        <x:f>IF(AND(OR($A119="Ítems agrupados por caso clínico o problema",$A119="Opción de Emparejamiento Ampliado"),COUNTIF($D119:$H119,"?*")&gt;0),IF(COUNTIF($M119:$AD119,"?*")&gt;0,", ","")&amp;"sin incisos","")</x:f>
      </x:c>
      <x:c r="AF119" t="str">
        <x:f>IF(AND($A119="Emparejamiento Ampliado",COUNTIF($D119:$H119,"?*")&lt;2),IF(COUNTIF($M119:$AE119,"?*")&gt;0,", ","")&amp;"minimo 2 claves","")</x:f>
      </x:c>
      <x:c r="AG119" t="str">
        <x:f>IF(AND($A119="Opción de Emparejamiento Ampliado",NOT(OR(LEFT(TRIM($I119),1)="A",LEFT(TRIM($I119),1)="B",LEFT(TRIM($I119),1)="C",LEFT(TRIM($I119),1)="D",LEFT(TRIM($I119),1)="E"))),IF(COUNTIF($M119:$AF119,"?*")&gt;0,", ","")&amp;"respuesta A-E","")</x:f>
      </x:c>
      <x:c r="AK119" s="32" t="str"/>
    </x:row>
    <x:row r="120" ht="24" customHeight="1">
      <x:c r="A120" s="14" t="s">
        <x:v>2</x:v>
      </x:c>
      <x:c r="B120" s="14" t="s">
        <x:v>2</x:v>
      </x:c>
      <x:c r="C120" s="15" t="str">
        <x:f>IF($A120="Emparejamiento Ampliado",VALIDACIONES!$I$1,IF($A120="Respuesta A/B/Ambas/Ninguna","I. "&amp;CHAR(10)&amp;"II. ",""))</x:f>
      </x:c>
      <x:c r="D120" s="14" t="str">
        <x:f>IF($A120="Verdadero o Falso Simple","Verdadero",IF($A120="Respuesta A/B/Ambas/Ninguna","A. Si la primera es verdadera",""))</x:f>
      </x:c>
      <x:c r="E120" s="14" t="str">
        <x:f>IF($A120="Verdadero o Falso Simple","Falso",IF($A120="Respuesta A/B/Ambas/Ninguna","B. Si la segunda es verdadera",""))</x:f>
      </x:c>
      <x:c r="F120" s="14" t="str">
        <x:f>IF($A120="Respuesta A/B/Ambas/Ninguna","C. Si ambas son verdaderas","")</x:f>
      </x:c>
      <x:c r="G120" s="14" t="str">
        <x:f>IF($A120="Respuesta A/B/Ambas/Ninguna","D. Si ninguna es verdadera","")</x:f>
      </x:c>
      <x:c r="H120" s="14" t="s">
        <x:v>2</x:v>
      </x:c>
      <x:c r="I120" s="14" t="str">
        <x:f>IF($A120="Verdadero o Falso Simple","A","")</x:f>
      </x:c>
      <x:c r="J120" s="14" t="s">
        <x:v>18</x:v>
      </x:c>
      <x:c r="K120" s="14" t="s">
        <x:v>4</x:v>
      </x:c>
      <x:c r="L120" s="16" t="str">
        <x:f>IF(TRIM($A120)="","",IF(COUNTIF($M120:$AG120,"?*")=0,"OK","Falta revisar: "&amp;$M120&amp;$N120&amp;$O120&amp;$P120&amp;$Q120&amp;$R120&amp;$S120&amp;$T120&amp;$U120&amp;$V120&amp;$W120&amp;$X120&amp;$Y120&amp;$Z120&amp;$AA120&amp;$AB120&amp;$AC120&amp;$AD120&amp;$AE120&amp;$AF120&amp;$AG120))</x:f>
        <x:v>OK</x:v>
      </x:c>
      <x:c r="M120" t="str">
        <x:f>IF(TRIM($C120)="","enunciado","")</x:f>
        <x:v>enunciado</x:v>
      </x:c>
      <x:c r="N120" t="str">
        <x:f>IF(TRIM($K120)="",IF(COUNTIF($M120:$M120,"?*")&gt;0,", ","")&amp;"parcial","")</x:f>
      </x:c>
      <x:c r="O120" t="str">
        <x:f>IF(AND(TRIM($K120)&lt;&gt;"",TRIM($K120)&lt;&gt;"EF"),IF(COUNTIF($M120:$N120,"?*")&gt;0,", ","")&amp;"parcial distinto a EF","")</x:f>
      </x:c>
      <x:c r="P120" t="str">
        <x:f>IF(AND(OR($A120="Ítems agrupados por caso clínico o problema",$A120="Subítem de caso o problema",$A120="Emparejamiento Ampliado",$A120="Opción de Emparejamiento Ampliado"),TRIM($B120)=""),IF(COUNTIF($M120:$O120,"?*")&gt;0,", ","")&amp;"grupo","")</x:f>
      </x:c>
      <x:c r="Q120" t="str">
        <x:f>IF(AND(OR($A120="Verdadero o Falso Simple",$A120="Respuesta A/B/Ambas/Ninguna",$A120="Verdadero o Falso Complejas",$A120="Selección de la mejor respuesta",$A120="Subítem de caso o problema",$A120="Opción de Emparejamiento Ampliado"),TRIM($I120)=""),IF(COUNTIF($M120:$P120,"?*")&gt;0,", ","")&amp;"respuesta_correcta","")</x:f>
      </x:c>
      <x:c r="R120" t="str">
        <x:f>IF(AND(OR($A120="Verdadero o Falso Simple",$A120="Respuesta A/B/Ambas/Ninguna",$A120="Verdadero o Falso Complejas",$A120="Selección de la mejor respuesta",$A120="Subítem de caso o problema",$A120="Opción de Emparejamiento Ampliado"),TRIM($J120)=""),IF(COUNTIF($M120:$Q120,"?*")&gt;0,", ","")&amp;"dificultad","")</x:f>
      </x:c>
      <x:c r="S120" t="str">
        <x:f>IF(AND(OR($A120="Ítems agrupados por caso clínico o problema",$A120="Emparejamiento Ampliado"),TRIM($I120)&lt;&gt;""),IF(COUNTIF($M120:$R120,"?*")&gt;0,", ","")&amp;"respuesta debe ir vacia","")</x:f>
      </x:c>
      <x:c r="T120" t="str">
        <x:f>IF(AND(OR($A120="Ítems agrupados por caso clínico o problema",$A120="Emparejamiento Ampliado"),TRIM($J120)&lt;&gt;""),IF(COUNTIF($M120:$S120,"?*")&gt;0,", ","")&amp;"dificultad debe ir vacia","")</x:f>
      </x:c>
      <x:c r="U120" t="str">
        <x:f>IF(AND($A120="Verdadero o Falso Simple",OR(COUNTIF($D120:$E120,"?*")&lt;2,COUNTIF($F120:$H120,"?*")&gt;0)),IF(COUNTIF($M120:$T120,"?*")&gt;0,", ","")&amp;"incisos A-B","")</x:f>
      </x:c>
      <x:c r="V120" t="str">
        <x:f>IF(AND($A120="Verdadero o Falso Simple",TRIM($I120)&lt;&gt;"",NOT(OR(LEFT(TRIM($I120),1)="A",LEFT(TRIM($I120),1)="B"))),IF(COUNTIF($M120:$U120,"?*")&gt;0,", ","")&amp;"respuesta A-B","")</x:f>
      </x:c>
      <x:c r="W120" t="str">
        <x:f>IF(AND($A120="Respuesta A/B/Ambas/Ninguna",COUNTIF($D120:$G120,"?*")&lt;4),IF(COUNTIF($M120:$V120,"?*")&gt;0,", ","")&amp;"opciones A-D","")</x:f>
      </x:c>
      <x:c r="X120" t="str">
        <x:f>IF(AND($A120="Respuesta A/B/Ambas/Ninguna",COUNTIF($H120:$H120,"?*")&gt;0),IF(COUNTIF($M120:$W120,"?*")&gt;0,", ","")&amp;"opcion E deshabilitada","")</x:f>
      </x:c>
      <x:c r="Y120" t="str">
        <x:f>IF(AND($A120="Respuesta A/B/Ambas/Ninguna",TRIM($I120)&lt;&gt;"",NOT(OR(LEFT(TRIM($I120),1)="A",LEFT(TRIM($I120),1)="B",LEFT(TRIM($I120),1)="C",LEFT(TRIM($I120),1)="D"))),IF(COUNTIF($M120:$X120,"?*")&gt;0,", ","")&amp;"respuesta A-D","")</x:f>
      </x:c>
      <x:c r="Z120" t="str">
        <x:f>IF(AND($A120="Verdadero o Falso Complejas",OR(LEN(TRIM(SUBSTITUTE($D120,"1.","")))=0,LEN(TRIM(SUBSTITUTE($E120,"2.","")))=0,LEN(TRIM(SUBSTITUTE($F120,"3.","")))=0,LEN(TRIM(SUBSTITUTE($G120,"4.","")))=0)),IF(COUNTIF($M120:$Y120,"?*")&gt;0,", ","")&amp;"incisos 1-4","")</x:f>
      </x:c>
      <x:c r="AA120" t="str">
        <x:f>IF(AND($A120="Verdadero o Falso Complejas",COUNTIF($H120:$H120,"?*")&gt;0),IF(COUNTIF($M120:$Z120,"?*")&gt;0,", ","")&amp;"opcion E deshabilitada","")</x:f>
      </x:c>
      <x:c r="AB120" t="str">
        <x:f>IF(AND($A120="Verdadero o Falso Complejas",TRIM($I120)&lt;&gt;"",NOT(OR(LEFT(TRIM($I120),1)="A",LEFT(TRIM($I120),1)="B",LEFT(TRIM($I120),1)="C",LEFT(TRIM($I120),1)="D",LEFT(TRIM($I120),1)="E"))),IF(COUNTIF($M120:$AA120,"?*")&gt;0,", ","")&amp;"respuesta A-E","")</x:f>
      </x:c>
      <x:c r="AC120" t="str">
        <x:f>IF(AND(OR($A120="Selección de la mejor respuesta",$A120="Subítem de caso o problema"),COUNTIF($D120:$H120,"?*")&lt;5),IF(COUNTIF($M120:$AB120,"?*")&gt;0,", ","")&amp;"incisos A-E","")</x:f>
      </x:c>
      <x:c r="AD120" t="str">
        <x:f>IF(AND(OR($A120="Selección de la mejor respuesta",$A120="Subítem de caso o problema"),TRIM($I120)&lt;&gt;"",NOT(OR(LEFT(TRIM($I120),1)="A",LEFT(TRIM($I120),1)="B",LEFT(TRIM($I120),1)="C",LEFT(TRIM($I120),1)="D",LEFT(TRIM($I120),1)="E"))),IF(COUNTIF($M120:$AC120,"?*")&gt;0,", ","")&amp;"respuesta A-E","")</x:f>
      </x:c>
      <x:c r="AE120" t="str">
        <x:f>IF(AND(OR($A120="Ítems agrupados por caso clínico o problema",$A120="Opción de Emparejamiento Ampliado"),COUNTIF($D120:$H120,"?*")&gt;0),IF(COUNTIF($M120:$AD120,"?*")&gt;0,", ","")&amp;"sin incisos","")</x:f>
      </x:c>
      <x:c r="AF120" t="str">
        <x:f>IF(AND($A120="Emparejamiento Ampliado",COUNTIF($D120:$H120,"?*")&lt;2),IF(COUNTIF($M120:$AE120,"?*")&gt;0,", ","")&amp;"minimo 2 claves","")</x:f>
      </x:c>
      <x:c r="AG120" t="str">
        <x:f>IF(AND($A120="Opción de Emparejamiento Ampliado",NOT(OR(LEFT(TRIM($I120),1)="A",LEFT(TRIM($I120),1)="B",LEFT(TRIM($I120),1)="C",LEFT(TRIM($I120),1)="D",LEFT(TRIM($I120),1)="E"))),IF(COUNTIF($M120:$AF120,"?*")&gt;0,", ","")&amp;"respuesta A-E","")</x:f>
      </x:c>
      <x:c r="AK120" s="32" t="str"/>
    </x:row>
    <x:row r="121" ht="24" customHeight="1">
      <x:c r="A121" s="14" t="s">
        <x:v>2</x:v>
      </x:c>
      <x:c r="B121" s="14" t="s">
        <x:v>2</x:v>
      </x:c>
      <x:c r="C121" s="15" t="str">
        <x:f>IF($A121="Emparejamiento Ampliado",VALIDACIONES!$I$1,IF($A121="Respuesta A/B/Ambas/Ninguna","I. "&amp;CHAR(10)&amp;"II. ",""))</x:f>
      </x:c>
      <x:c r="D121" s="14" t="str">
        <x:f>IF($A121="Verdadero o Falso Simple","Verdadero",IF($A121="Respuesta A/B/Ambas/Ninguna","A. Si la primera es verdadera",""))</x:f>
      </x:c>
      <x:c r="E121" s="14" t="str">
        <x:f>IF($A121="Verdadero o Falso Simple","Falso",IF($A121="Respuesta A/B/Ambas/Ninguna","B. Si la segunda es verdadera",""))</x:f>
      </x:c>
      <x:c r="F121" s="14" t="str">
        <x:f>IF($A121="Respuesta A/B/Ambas/Ninguna","C. Si ambas son verdaderas","")</x:f>
      </x:c>
      <x:c r="G121" s="14" t="str">
        <x:f>IF($A121="Respuesta A/B/Ambas/Ninguna","D. Si ninguna es verdadera","")</x:f>
      </x:c>
      <x:c r="H121" s="14" t="s">
        <x:v>2</x:v>
      </x:c>
      <x:c r="I121" s="14" t="str">
        <x:f>IF($A121="Verdadero o Falso Simple","A","")</x:f>
      </x:c>
      <x:c r="J121" s="14" t="s">
        <x:v>18</x:v>
      </x:c>
      <x:c r="K121" s="14" t="s">
        <x:v>4</x:v>
      </x:c>
      <x:c r="L121" s="16" t="str">
        <x:f>IF(TRIM($A121)="","",IF(COUNTIF($M121:$AG121,"?*")=0,"OK","Falta revisar: "&amp;$M121&amp;$N121&amp;$O121&amp;$P121&amp;$Q121&amp;$R121&amp;$S121&amp;$T121&amp;$U121&amp;$V121&amp;$W121&amp;$X121&amp;$Y121&amp;$Z121&amp;$AA121&amp;$AB121&amp;$AC121&amp;$AD121&amp;$AE121&amp;$AF121&amp;$AG121))</x:f>
        <x:v>OK</x:v>
      </x:c>
      <x:c r="M121" t="str">
        <x:f>IF(TRIM($C121)="","enunciado","")</x:f>
        <x:v>enunciado</x:v>
      </x:c>
      <x:c r="N121" t="str">
        <x:f>IF(TRIM($K121)="",IF(COUNTIF($M121:$M121,"?*")&gt;0,", ","")&amp;"parcial","")</x:f>
      </x:c>
      <x:c r="O121" t="str">
        <x:f>IF(AND(TRIM($K121)&lt;&gt;"",TRIM($K121)&lt;&gt;"EF"),IF(COUNTIF($M121:$N121,"?*")&gt;0,", ","")&amp;"parcial distinto a EF","")</x:f>
      </x:c>
      <x:c r="P121" t="str">
        <x:f>IF(AND(OR($A121="Ítems agrupados por caso clínico o problema",$A121="Subítem de caso o problema",$A121="Emparejamiento Ampliado",$A121="Opción de Emparejamiento Ampliado"),TRIM($B121)=""),IF(COUNTIF($M121:$O121,"?*")&gt;0,", ","")&amp;"grupo","")</x:f>
      </x:c>
      <x:c r="Q121" t="str">
        <x:f>IF(AND(OR($A121="Verdadero o Falso Simple",$A121="Respuesta A/B/Ambas/Ninguna",$A121="Verdadero o Falso Complejas",$A121="Selección de la mejor respuesta",$A121="Subítem de caso o problema",$A121="Opción de Emparejamiento Ampliado"),TRIM($I121)=""),IF(COUNTIF($M121:$P121,"?*")&gt;0,", ","")&amp;"respuesta_correcta","")</x:f>
      </x:c>
      <x:c r="R121" t="str">
        <x:f>IF(AND(OR($A121="Verdadero o Falso Simple",$A121="Respuesta A/B/Ambas/Ninguna",$A121="Verdadero o Falso Complejas",$A121="Selección de la mejor respuesta",$A121="Subítem de caso o problema",$A121="Opción de Emparejamiento Ampliado"),TRIM($J121)=""),IF(COUNTIF($M121:$Q121,"?*")&gt;0,", ","")&amp;"dificultad","")</x:f>
      </x:c>
      <x:c r="S121" t="str">
        <x:f>IF(AND(OR($A121="Ítems agrupados por caso clínico o problema",$A121="Emparejamiento Ampliado"),TRIM($I121)&lt;&gt;""),IF(COUNTIF($M121:$R121,"?*")&gt;0,", ","")&amp;"respuesta debe ir vacia","")</x:f>
      </x:c>
      <x:c r="T121" t="str">
        <x:f>IF(AND(OR($A121="Ítems agrupados por caso clínico o problema",$A121="Emparejamiento Ampliado"),TRIM($J121)&lt;&gt;""),IF(COUNTIF($M121:$S121,"?*")&gt;0,", ","")&amp;"dificultad debe ir vacia","")</x:f>
      </x:c>
      <x:c r="U121" t="str">
        <x:f>IF(AND($A121="Verdadero o Falso Simple",OR(COUNTIF($D121:$E121,"?*")&lt;2,COUNTIF($F121:$H121,"?*")&gt;0)),IF(COUNTIF($M121:$T121,"?*")&gt;0,", ","")&amp;"incisos A-B","")</x:f>
      </x:c>
      <x:c r="V121" t="str">
        <x:f>IF(AND($A121="Verdadero o Falso Simple",TRIM($I121)&lt;&gt;"",NOT(OR(LEFT(TRIM($I121),1)="A",LEFT(TRIM($I121),1)="B"))),IF(COUNTIF($M121:$U121,"?*")&gt;0,", ","")&amp;"respuesta A-B","")</x:f>
      </x:c>
      <x:c r="W121" t="str">
        <x:f>IF(AND($A121="Respuesta A/B/Ambas/Ninguna",COUNTIF($D121:$G121,"?*")&lt;4),IF(COUNTIF($M121:$V121,"?*")&gt;0,", ","")&amp;"opciones A-D","")</x:f>
      </x:c>
      <x:c r="X121" t="str">
        <x:f>IF(AND($A121="Respuesta A/B/Ambas/Ninguna",COUNTIF($H121:$H121,"?*")&gt;0),IF(COUNTIF($M121:$W121,"?*")&gt;0,", ","")&amp;"opcion E deshabilitada","")</x:f>
      </x:c>
      <x:c r="Y121" t="str">
        <x:f>IF(AND($A121="Respuesta A/B/Ambas/Ninguna",TRIM($I121)&lt;&gt;"",NOT(OR(LEFT(TRIM($I121),1)="A",LEFT(TRIM($I121),1)="B",LEFT(TRIM($I121),1)="C",LEFT(TRIM($I121),1)="D"))),IF(COUNTIF($M121:$X121,"?*")&gt;0,", ","")&amp;"respuesta A-D","")</x:f>
      </x:c>
      <x:c r="Z121" t="str">
        <x:f>IF(AND($A121="Verdadero o Falso Complejas",OR(LEN(TRIM(SUBSTITUTE($D121,"1.","")))=0,LEN(TRIM(SUBSTITUTE($E121,"2.","")))=0,LEN(TRIM(SUBSTITUTE($F121,"3.","")))=0,LEN(TRIM(SUBSTITUTE($G121,"4.","")))=0)),IF(COUNTIF($M121:$Y121,"?*")&gt;0,", ","")&amp;"incisos 1-4","")</x:f>
      </x:c>
      <x:c r="AA121" t="str">
        <x:f>IF(AND($A121="Verdadero o Falso Complejas",COUNTIF($H121:$H121,"?*")&gt;0),IF(COUNTIF($M121:$Z121,"?*")&gt;0,", ","")&amp;"opcion E deshabilitada","")</x:f>
      </x:c>
      <x:c r="AB121" t="str">
        <x:f>IF(AND($A121="Verdadero o Falso Complejas",TRIM($I121)&lt;&gt;"",NOT(OR(LEFT(TRIM($I121),1)="A",LEFT(TRIM($I121),1)="B",LEFT(TRIM($I121),1)="C",LEFT(TRIM($I121),1)="D",LEFT(TRIM($I121),1)="E"))),IF(COUNTIF($M121:$AA121,"?*")&gt;0,", ","")&amp;"respuesta A-E","")</x:f>
      </x:c>
      <x:c r="AC121" t="str">
        <x:f>IF(AND(OR($A121="Selección de la mejor respuesta",$A121="Subítem de caso o problema"),COUNTIF($D121:$H121,"?*")&lt;5),IF(COUNTIF($M121:$AB121,"?*")&gt;0,", ","")&amp;"incisos A-E","")</x:f>
      </x:c>
      <x:c r="AD121" t="str">
        <x:f>IF(AND(OR($A121="Selección de la mejor respuesta",$A121="Subítem de caso o problema"),TRIM($I121)&lt;&gt;"",NOT(OR(LEFT(TRIM($I121),1)="A",LEFT(TRIM($I121),1)="B",LEFT(TRIM($I121),1)="C",LEFT(TRIM($I121),1)="D",LEFT(TRIM($I121),1)="E"))),IF(COUNTIF($M121:$AC121,"?*")&gt;0,", ","")&amp;"respuesta A-E","")</x:f>
      </x:c>
      <x:c r="AE121" t="str">
        <x:f>IF(AND(OR($A121="Ítems agrupados por caso clínico o problema",$A121="Opción de Emparejamiento Ampliado"),COUNTIF($D121:$H121,"?*")&gt;0),IF(COUNTIF($M121:$AD121,"?*")&gt;0,", ","")&amp;"sin incisos","")</x:f>
      </x:c>
      <x:c r="AF121" t="str">
        <x:f>IF(AND($A121="Emparejamiento Ampliado",COUNTIF($D121:$H121,"?*")&lt;2),IF(COUNTIF($M121:$AE121,"?*")&gt;0,", ","")&amp;"minimo 2 claves","")</x:f>
      </x:c>
      <x:c r="AG121" t="str">
        <x:f>IF(AND($A121="Opción de Emparejamiento Ampliado",NOT(OR(LEFT(TRIM($I121),1)="A",LEFT(TRIM($I121),1)="B",LEFT(TRIM($I121),1)="C",LEFT(TRIM($I121),1)="D",LEFT(TRIM($I121),1)="E"))),IF(COUNTIF($M121:$AF121,"?*")&gt;0,", ","")&amp;"respuesta A-E","")</x:f>
      </x:c>
      <x:c r="AK121" s="32" t="str"/>
    </x:row>
    <x:row r="123">
      <x:c r="I123" s="17" t="s">
        <x:v>99</x:v>
      </x:c>
      <x:c r="J123" t="n">
        <x:f>COUNTIF(J2:J121, 1)</x:f>
        <x:v>30</x:v>
      </x:c>
    </x:row>
    <x:row r="124">
      <x:c r="I124" s="17" t="s">
        <x:v>100</x:v>
      </x:c>
      <x:c r="J124" t="n">
        <x:f>COUNTIF(J2:J121, 2)</x:f>
        <x:v>60</x:v>
      </x:c>
    </x:row>
    <x:row r="125">
      <x:c r="I125" s="17" t="s">
        <x:v>101</x:v>
      </x:c>
      <x:c r="J125" t="n">
        <x:f>COUNTIF(J2:J121, 3)</x:f>
        <x:v>30</x:v>
      </x:c>
    </x:row>
    <x:row r="127">
      <x:c r="I127" s="17" t="s">
        <x:v>102</x:v>
      </x:c>
      <x:c r="J127" t="n">
        <x:f>COUNTIF($A$2:$A$121,"Verdadero o Falso Simple")+COUNTIF($A$2:$A$121,"Verdadero o Falso Complejas")+COUNTIF($A$2:$A$121,"Respuesta A/B/Ambas/Ninguna")</x:f>
        <x:v>0</x:v>
      </x:c>
    </x:row>
    <x:row r="128">
      <x:c r="I128" s="17" t="s">
        <x:v>103</x:v>
      </x:c>
      <x:c r="J128" t="n">
        <x:f>COUNTIF($A$2:$A$121,"Selección de la mejor respuesta")</x:f>
        <x:v>0</x:v>
      </x:c>
    </x:row>
    <x:row r="129">
      <x:c r="I129" s="17" t="s">
        <x:v>104</x:v>
      </x:c>
      <x:c r="J129" t="n">
        <x:f>COUNTIF($A$2:$A$121,"Subítem de caso o problema")+COUNTIF($A$2:$A$121,"Opción de Emparejamiento Ampliado")</x:f>
        <x:v>0</x:v>
      </x:c>
    </x:row>
    <x:row r="131">
      <x:c r="A131" s="17" t="s">
        <x:v>105</x:v>
      </x:c>
    </x:row>
    <x:row r="132">
      <x:c r="A132" t="s">
        <x:v>106</x:v>
      </x:c>
    </x:row>
    <x:row r="133">
      <x:c r="A133" t="s">
        <x:v>107</x:v>
      </x:c>
    </x:row>
    <x:row r="134">
      <x:c r="A134" t="s">
        <x:v>108</x:v>
      </x:c>
    </x:row>
    <x:row r="135">
      <x:c r="A135" t="s">
        <x:v>109</x:v>
      </x:c>
    </x:row>
    <x:row r="136">
      <x:c r="A136" t="s">
        <x:v>110</x:v>
      </x:c>
    </x:row>
    <x:row r="137">
      <x:c r="A137" t="s">
        <x:v>111</x:v>
      </x:c>
    </x:row>
    <x:row r="138">
      <x:c r="A138" t="s">
        <x:v>112</x:v>
      </x:c>
    </x:row>
    <x:row r="139">
      <x:c r="A139" t="s">
        <x:v>113</x:v>
      </x:c>
    </x:row>
    <x:row r="140">
      <x:c r="A140" t="s">
        <x:v>114</x:v>
      </x:c>
    </x:row>
  </x:sheetData>
  <x:conditionalFormatting sqref="D2:H121">
    <x:cfRule type="expression" dxfId="0" priority="1">
      <x:formula>OR($A2="Ítems agrupados por caso clínico o problema",$A2="Opción de Emparejamiento Ampliado")</x:formula>
    </x:cfRule>
  </x:conditionalFormatting>
  <x:conditionalFormatting sqref="F2:H121">
    <x:cfRule type="expression" dxfId="1" priority="2">
      <x:formula>$A2="Verdadero o Falso Simple"</x:formula>
    </x:cfRule>
  </x:conditionalFormatting>
  <x:conditionalFormatting sqref="H2:H121">
    <x:cfRule type="expression" dxfId="2" priority="3">
      <x:formula>OR($A2="Respuesta A/B/Ambas/Ninguna",$A2="Verdadero o Falso Complejas")</x:formula>
    </x:cfRule>
  </x:conditionalFormatting>
  <x:conditionalFormatting sqref="I2:J121">
    <x:cfRule type="expression" dxfId="3" priority="4">
      <x:formula>OR($A2="Ítems agrupados por caso clínico o problema",$A2="Emparejamiento Ampliado")</x:formula>
    </x:cfRule>
  </x:conditionalFormatting>
  <x:conditionalFormatting sqref="L2:L121">
    <x:cfRule type="expression" dxfId="4" priority="5">
      <x:formula>LEFT($L2,2)="OK"</x:formula>
    </x:cfRule>
    <x:cfRule type="expression" dxfId="5" priority="6">
      <x:formula>AND($L2&lt;&gt;"",LEFT($L2,2)&lt;&gt;"OK")</x:formula>
    </x:cfRule>
  </x:conditionalFormatting>
  <x:dataValidations count="966">
    <x:dataValidation type="list" allowBlank="1" showInputMessage="1" showErrorMessage="1" errorTitle="Tipo no valido" error="Seleccione un tipo desde la lista del formato oficial." promptTitle="Tipo de pregunta" prompt="Seleccione el tipo desde la lista. La columna L indicara que estructura corresponde completar." sqref="A10:A121">
      <x:formula1>LISTA_TIPOS_2P</x:formula1>
    </x:dataValidation>
    <x:dataValidation type="list" allowBlank="1" showInputMessage="1" showErrorMessage="1" errorTitle="Tipo no valido" error="Seleccione un tipo desde la lista del formato oficial." promptTitle="Tipo de pregunta" prompt="Seleccione el tipo desde la lista. La columna L indicara que estructura corresponde completar." sqref="A2:A121">
      <x:formula1>LISTA_TIPOS_2P</x:formula1>
    </x:dataValidation>
    <x:dataValidation type="custom" allowBlank="1" showErrorMessage="1" errorTitle="Grupo invalido" error="El grupo solo se llena en casos/problemas, subitems, emparejamiento ampliado y opciones de emparejamiento." sqref="B10">
      <x:formula1>IF(ISNUMBER(MATCH($A10,TIPOS_REQUIEREN_GRUPO,0)),LEN(TRIM($B10))&gt;0,LEN(TRIM($B10))=0)</x:formula1>
    </x:dataValidation>
    <x:dataValidation type="custom" allowBlank="1" showErrorMessage="1" errorTitle="Grupo invalido" error="El grupo solo se llena en casos/problemas, subitems, emparejamiento ampliado y opciones de emparejamiento." sqref="B100">
      <x:formula1>IF(ISNUMBER(MATCH($A100,TIPOS_REQUIEREN_GRUPO,0)),LEN(TRIM($B100))&gt;0,LEN(TRIM($B100))=0)</x:formula1>
    </x:dataValidation>
    <x:dataValidation type="custom" allowBlank="1" showErrorMessage="1" errorTitle="Grupo invalido" error="El grupo solo se llena en casos/problemas, subitems, emparejamiento ampliado y opciones de emparejamiento." sqref="B101">
      <x:formula1>IF(ISNUMBER(MATCH($A101,TIPOS_REQUIEREN_GRUPO,0)),LEN(TRIM($B101))&gt;0,LEN(TRIM($B101))=0)</x:formula1>
    </x:dataValidation>
    <x:dataValidation type="custom" allowBlank="1" showErrorMessage="1" errorTitle="Grupo invalido" error="El grupo solo se llena en casos/problemas, subitems, emparejamiento ampliado y opciones de emparejamiento." sqref="B102">
      <x:formula1>IF(ISNUMBER(MATCH($A102,TIPOS_REQUIEREN_GRUPO,0)),LEN(TRIM($B102))&gt;0,LEN(TRIM($B102))=0)</x:formula1>
    </x:dataValidation>
    <x:dataValidation type="custom" allowBlank="1" showErrorMessage="1" errorTitle="Grupo invalido" error="El grupo solo se llena en casos/problemas, subitems, emparejamiento ampliado y opciones de emparejamiento." sqref="B103">
      <x:formula1>IF(ISNUMBER(MATCH($A103,TIPOS_REQUIEREN_GRUPO,0)),LEN(TRIM($B103))&gt;0,LEN(TRIM($B103))=0)</x:formula1>
    </x:dataValidation>
    <x:dataValidation type="custom" allowBlank="1" showErrorMessage="1" errorTitle="Grupo invalido" error="El grupo solo se llena en casos/problemas, subitems, emparejamiento ampliado y opciones de emparejamiento." sqref="B104">
      <x:formula1>IF(ISNUMBER(MATCH($A104,TIPOS_REQUIEREN_GRUPO,0)),LEN(TRIM($B104))&gt;0,LEN(TRIM($B104))=0)</x:formula1>
    </x:dataValidation>
    <x:dataValidation type="custom" allowBlank="1" showErrorMessage="1" errorTitle="Grupo invalido" error="El grupo solo se llena en casos/problemas, subitems, emparejamiento ampliado y opciones de emparejamiento." sqref="B105">
      <x:formula1>IF(ISNUMBER(MATCH($A105,TIPOS_REQUIEREN_GRUPO,0)),LEN(TRIM($B105))&gt;0,LEN(TRIM($B105))=0)</x:formula1>
    </x:dataValidation>
    <x:dataValidation type="custom" allowBlank="1" showErrorMessage="1" errorTitle="Grupo invalido" error="El grupo solo se llena en casos/problemas, subitems, emparejamiento ampliado y opciones de emparejamiento." sqref="B106">
      <x:formula1>IF(ISNUMBER(MATCH($A106,TIPOS_REQUIEREN_GRUPO,0)),LEN(TRIM($B106))&gt;0,LEN(TRIM($B106))=0)</x:formula1>
    </x:dataValidation>
    <x:dataValidation type="custom" allowBlank="1" showErrorMessage="1" errorTitle="Grupo invalido" error="El grupo solo se llena en casos/problemas, subitems, emparejamiento ampliado y opciones de emparejamiento." sqref="B107">
      <x:formula1>IF(ISNUMBER(MATCH($A107,TIPOS_REQUIEREN_GRUPO,0)),LEN(TRIM($B107))&gt;0,LEN(TRIM($B107))=0)</x:formula1>
    </x:dataValidation>
    <x:dataValidation type="custom" allowBlank="1" showErrorMessage="1" errorTitle="Grupo invalido" error="El grupo solo se llena en casos/problemas, subitems, emparejamiento ampliado y opciones de emparejamiento." sqref="B108">
      <x:formula1>IF(ISNUMBER(MATCH($A108,TIPOS_REQUIEREN_GRUPO,0)),LEN(TRIM($B108))&gt;0,LEN(TRIM($B108))=0)</x:formula1>
    </x:dataValidation>
    <x:dataValidation type="custom" allowBlank="1" showErrorMessage="1" errorTitle="Grupo invalido" error="El grupo solo se llena en casos/problemas, subitems, emparejamiento ampliado y opciones de emparejamiento." sqref="B109">
      <x:formula1>IF(ISNUMBER(MATCH($A109,TIPOS_REQUIEREN_GRUPO,0)),LEN(TRIM($B109))&gt;0,LEN(TRIM($B109))=0)</x:formula1>
    </x:dataValidation>
    <x:dataValidation type="custom" allowBlank="1" showErrorMessage="1" errorTitle="Grupo invalido" error="El grupo solo se llena en casos/problemas, subitems, emparejamiento ampliado y opciones de emparejamiento." sqref="B11">
      <x:formula1>IF(ISNUMBER(MATCH($A11,TIPOS_REQUIEREN_GRUPO,0)),LEN(TRIM($B11))&gt;0,LEN(TRIM($B11))=0)</x:formula1>
    </x:dataValidation>
    <x:dataValidation type="custom" allowBlank="1" showErrorMessage="1" errorTitle="Grupo invalido" error="El grupo solo se llena en casos/problemas, subitems, emparejamiento ampliado y opciones de emparejamiento." sqref="B110">
      <x:formula1>IF(ISNUMBER(MATCH($A110,TIPOS_REQUIEREN_GRUPO,0)),LEN(TRIM($B110))&gt;0,LEN(TRIM($B110))=0)</x:formula1>
    </x:dataValidation>
    <x:dataValidation type="custom" allowBlank="1" showErrorMessage="1" errorTitle="Grupo invalido" error="El grupo solo se llena en casos/problemas, subitems, emparejamiento ampliado y opciones de emparejamiento." sqref="B111">
      <x:formula1>IF(ISNUMBER(MATCH($A111,TIPOS_REQUIEREN_GRUPO,0)),LEN(TRIM($B111))&gt;0,LEN(TRIM($B111))=0)</x:formula1>
    </x:dataValidation>
    <x:dataValidation type="custom" allowBlank="1" showErrorMessage="1" errorTitle="Grupo invalido" error="El grupo solo se llena en casos/problemas, subitems, emparejamiento ampliado y opciones de emparejamiento." sqref="B112">
      <x:formula1>IF(ISNUMBER(MATCH($A112,TIPOS_REQUIEREN_GRUPO,0)),LEN(TRIM($B112))&gt;0,LEN(TRIM($B112))=0)</x:formula1>
    </x:dataValidation>
    <x:dataValidation type="custom" allowBlank="1" showErrorMessage="1" errorTitle="Grupo invalido" error="El grupo solo se llena en casos/problemas, subitems, emparejamiento ampliado y opciones de emparejamiento." sqref="B113">
      <x:formula1>IF(ISNUMBER(MATCH($A113,TIPOS_REQUIEREN_GRUPO,0)),LEN(TRIM($B113))&gt;0,LEN(TRIM($B113))=0)</x:formula1>
    </x:dataValidation>
    <x:dataValidation type="custom" allowBlank="1" showErrorMessage="1" errorTitle="Grupo invalido" error="El grupo solo se llena en casos/problemas, subitems, emparejamiento ampliado y opciones de emparejamiento." sqref="B114">
      <x:formula1>IF(ISNUMBER(MATCH($A114,TIPOS_REQUIEREN_GRUPO,0)),LEN(TRIM($B114))&gt;0,LEN(TRIM($B114))=0)</x:formula1>
    </x:dataValidation>
    <x:dataValidation type="custom" allowBlank="1" showErrorMessage="1" errorTitle="Grupo invalido" error="El grupo solo se llena en casos/problemas, subitems, emparejamiento ampliado y opciones de emparejamiento." sqref="B115">
      <x:formula1>IF(ISNUMBER(MATCH($A115,TIPOS_REQUIEREN_GRUPO,0)),LEN(TRIM($B115))&gt;0,LEN(TRIM($B115))=0)</x:formula1>
    </x:dataValidation>
    <x:dataValidation type="custom" allowBlank="1" showErrorMessage="1" errorTitle="Grupo invalido" error="El grupo solo se llena en casos/problemas, subitems, emparejamiento ampliado y opciones de emparejamiento." sqref="B116">
      <x:formula1>IF(ISNUMBER(MATCH($A116,TIPOS_REQUIEREN_GRUPO,0)),LEN(TRIM($B116))&gt;0,LEN(TRIM($B116))=0)</x:formula1>
    </x:dataValidation>
    <x:dataValidation type="custom" allowBlank="1" showErrorMessage="1" errorTitle="Grupo invalido" error="El grupo solo se llena en casos/problemas, subitems, emparejamiento ampliado y opciones de emparejamiento." sqref="B117">
      <x:formula1>IF(ISNUMBER(MATCH($A117,TIPOS_REQUIEREN_GRUPO,0)),LEN(TRIM($B117))&gt;0,LEN(TRIM($B117))=0)</x:formula1>
    </x:dataValidation>
    <x:dataValidation type="custom" allowBlank="1" showErrorMessage="1" errorTitle="Grupo invalido" error="El grupo solo se llena en casos/problemas, subitems, emparejamiento ampliado y opciones de emparejamiento." sqref="B118">
      <x:formula1>IF(ISNUMBER(MATCH($A118,TIPOS_REQUIEREN_GRUPO,0)),LEN(TRIM($B118))&gt;0,LEN(TRIM($B118))=0)</x:formula1>
    </x:dataValidation>
    <x:dataValidation type="custom" allowBlank="1" showErrorMessage="1" errorTitle="Grupo invalido" error="El grupo solo se llena en casos/problemas, subitems, emparejamiento ampliado y opciones de emparejamiento." sqref="B119">
      <x:formula1>IF(ISNUMBER(MATCH($A119,TIPOS_REQUIEREN_GRUPO,0)),LEN(TRIM($B119))&gt;0,LEN(TRIM($B119))=0)</x:formula1>
    </x:dataValidation>
    <x:dataValidation type="custom" allowBlank="1" showErrorMessage="1" errorTitle="Grupo invalido" error="El grupo solo se llena en casos/problemas, subitems, emparejamiento ampliado y opciones de emparejamiento." sqref="B12">
      <x:formula1>IF(ISNUMBER(MATCH($A12,TIPOS_REQUIEREN_GRUPO,0)),LEN(TRIM($B12))&gt;0,LEN(TRIM($B12))=0)</x:formula1>
    </x:dataValidation>
    <x:dataValidation type="custom" allowBlank="1" showErrorMessage="1" errorTitle="Grupo invalido" error="El grupo solo se llena en casos/problemas, subitems, emparejamiento ampliado y opciones de emparejamiento." sqref="B120">
      <x:formula1>IF(ISNUMBER(MATCH($A120,TIPOS_REQUIEREN_GRUPO,0)),LEN(TRIM($B120))&gt;0,LEN(TRIM($B120))=0)</x:formula1>
    </x:dataValidation>
    <x:dataValidation type="custom" allowBlank="1" showErrorMessage="1" errorTitle="Grupo invalido" error="El grupo solo se llena en casos/problemas, subitems, emparejamiento ampliado y opciones de emparejamiento." sqref="B121">
      <x:formula1>IF(ISNUMBER(MATCH($A121,TIPOS_REQUIEREN_GRUPO,0)),LEN(TRIM($B121))&gt;0,LEN(TRIM($B121))=0)</x:formula1>
    </x:dataValidation>
    <x:dataValidation type="custom" allowBlank="1" showErrorMessage="1" errorTitle="Grupo invalido" error="El grupo solo se llena en casos/problemas, subitems, emparejamiento ampliado y opciones de emparejamiento." sqref="B13">
      <x:formula1>IF(ISNUMBER(MATCH($A13,TIPOS_REQUIEREN_GRUPO,0)),LEN(TRIM($B13))&gt;0,LEN(TRIM($B13))=0)</x:formula1>
    </x:dataValidation>
    <x:dataValidation type="custom" allowBlank="1" showErrorMessage="1" errorTitle="Grupo invalido" error="El grupo solo se llena en casos/problemas, subitems, emparejamiento ampliado y opciones de emparejamiento." sqref="B14">
      <x:formula1>IF(ISNUMBER(MATCH($A14,TIPOS_REQUIEREN_GRUPO,0)),LEN(TRIM($B14))&gt;0,LEN(TRIM($B14))=0)</x:formula1>
    </x:dataValidation>
    <x:dataValidation type="custom" allowBlank="1" showErrorMessage="1" errorTitle="Grupo invalido" error="El grupo solo se llena en casos/problemas, subitems, emparejamiento ampliado y opciones de emparejamiento." sqref="B15">
      <x:formula1>IF(ISNUMBER(MATCH($A15,TIPOS_REQUIEREN_GRUPO,0)),LEN(TRIM($B15))&gt;0,LEN(TRIM($B15))=0)</x:formula1>
    </x:dataValidation>
    <x:dataValidation type="custom" allowBlank="1" showErrorMessage="1" errorTitle="Grupo invalido" error="El grupo solo se llena en casos/problemas, subitems, emparejamiento ampliado y opciones de emparejamiento." sqref="B16">
      <x:formula1>IF(ISNUMBER(MATCH($A16,TIPOS_REQUIEREN_GRUPO,0)),LEN(TRIM($B16))&gt;0,LEN(TRIM($B16))=0)</x:formula1>
    </x:dataValidation>
    <x:dataValidation type="custom" allowBlank="1" showErrorMessage="1" errorTitle="Grupo invalido" error="El grupo solo se llena en casos/problemas, subitems, emparejamiento ampliado y opciones de emparejamiento." sqref="B17">
      <x:formula1>IF(ISNUMBER(MATCH($A17,TIPOS_REQUIEREN_GRUPO,0)),LEN(TRIM($B17))&gt;0,LEN(TRIM($B17))=0)</x:formula1>
    </x:dataValidation>
    <x:dataValidation type="custom" allowBlank="1" showErrorMessage="1" errorTitle="Grupo invalido" error="El grupo solo se llena en casos/problemas, subitems, emparejamiento ampliado y opciones de emparejamiento." sqref="B18">
      <x:formula1>IF(ISNUMBER(MATCH($A18,TIPOS_REQUIEREN_GRUPO,0)),LEN(TRIM($B18))&gt;0,LEN(TRIM($B18))=0)</x:formula1>
    </x:dataValidation>
    <x:dataValidation type="custom" allowBlank="1" showErrorMessage="1" errorTitle="Grupo invalido" error="El grupo solo se llena en casos/problemas, subitems, emparejamiento ampliado y opciones de emparejamiento." sqref="B19">
      <x:formula1>IF(ISNUMBER(MATCH($A19,TIPOS_REQUIEREN_GRUPO,0)),LEN(TRIM($B19))&gt;0,LEN(TRIM($B19))=0)</x:formula1>
    </x:dataValidation>
    <x:dataValidation type="custom" allowBlank="1" showErrorMessage="1" errorTitle="Grupo invalido" error="El grupo solo se llena en casos/problemas, subitems, emparejamiento ampliado y opciones de emparejamiento." sqref="B2">
      <x:formula1>IF(ISNUMBER(MATCH($A2,TIPOS_REQUIEREN_GRUPO,0)),LEN(TRIM($B2))&gt;0,LEN(TRIM($B2))=0)</x:formula1>
    </x:dataValidation>
    <x:dataValidation type="custom" allowBlank="1" showErrorMessage="1" errorTitle="Grupo invalido" error="El grupo solo se llena en casos/problemas, subitems, emparejamiento ampliado y opciones de emparejamiento." sqref="B20">
      <x:formula1>IF(ISNUMBER(MATCH($A20,TIPOS_REQUIEREN_GRUPO,0)),LEN(TRIM($B20))&gt;0,LEN(TRIM($B20))=0)</x:formula1>
    </x:dataValidation>
    <x:dataValidation type="custom" allowBlank="1" showErrorMessage="1" errorTitle="Grupo invalido" error="El grupo solo se llena en casos/problemas, subitems, emparejamiento ampliado y opciones de emparejamiento." sqref="B21">
      <x:formula1>IF(ISNUMBER(MATCH($A21,TIPOS_REQUIEREN_GRUPO,0)),LEN(TRIM($B21))&gt;0,LEN(TRIM($B21))=0)</x:formula1>
    </x:dataValidation>
    <x:dataValidation type="custom" allowBlank="1" showErrorMessage="1" errorTitle="Grupo invalido" error="El grupo solo se llena en casos/problemas, subitems, emparejamiento ampliado y opciones de emparejamiento." sqref="B22">
      <x:formula1>IF(ISNUMBER(MATCH($A22,TIPOS_REQUIEREN_GRUPO,0)),LEN(TRIM($B22))&gt;0,LEN(TRIM($B22))=0)</x:formula1>
    </x:dataValidation>
    <x:dataValidation type="custom" allowBlank="1" showErrorMessage="1" errorTitle="Grupo invalido" error="El grupo solo se llena en casos/problemas, subitems, emparejamiento ampliado y opciones de emparejamiento." sqref="B23">
      <x:formula1>IF(ISNUMBER(MATCH($A23,TIPOS_REQUIEREN_GRUPO,0)),LEN(TRIM($B23))&gt;0,LEN(TRIM($B23))=0)</x:formula1>
    </x:dataValidation>
    <x:dataValidation type="custom" allowBlank="1" showErrorMessage="1" errorTitle="Grupo invalido" error="El grupo solo se llena en casos/problemas, subitems, emparejamiento ampliado y opciones de emparejamiento." sqref="B24">
      <x:formula1>IF(ISNUMBER(MATCH($A24,TIPOS_REQUIEREN_GRUPO,0)),LEN(TRIM($B24))&gt;0,LEN(TRIM($B24))=0)</x:formula1>
    </x:dataValidation>
    <x:dataValidation type="custom" allowBlank="1" showErrorMessage="1" errorTitle="Grupo invalido" error="El grupo solo se llena en casos/problemas, subitems, emparejamiento ampliado y opciones de emparejamiento." sqref="B25">
      <x:formula1>IF(ISNUMBER(MATCH($A25,TIPOS_REQUIEREN_GRUPO,0)),LEN(TRIM($B25))&gt;0,LEN(TRIM($B25))=0)</x:formula1>
    </x:dataValidation>
    <x:dataValidation type="custom" allowBlank="1" showErrorMessage="1" errorTitle="Grupo invalido" error="El grupo solo se llena en casos/problemas, subitems, emparejamiento ampliado y opciones de emparejamiento." sqref="B26">
      <x:formula1>IF(ISNUMBER(MATCH($A26,TIPOS_REQUIEREN_GRUPO,0)),LEN(TRIM($B26))&gt;0,LEN(TRIM($B26))=0)</x:formula1>
    </x:dataValidation>
    <x:dataValidation type="custom" allowBlank="1" showErrorMessage="1" errorTitle="Grupo invalido" error="El grupo solo se llena en casos/problemas, subitems, emparejamiento ampliado y opciones de emparejamiento." sqref="B27">
      <x:formula1>IF(ISNUMBER(MATCH($A27,TIPOS_REQUIEREN_GRUPO,0)),LEN(TRIM($B27))&gt;0,LEN(TRIM($B27))=0)</x:formula1>
    </x:dataValidation>
    <x:dataValidation type="custom" allowBlank="1" showErrorMessage="1" errorTitle="Grupo invalido" error="El grupo solo se llena en casos/problemas, subitems, emparejamiento ampliado y opciones de emparejamiento." sqref="B28">
      <x:formula1>IF(ISNUMBER(MATCH($A28,TIPOS_REQUIEREN_GRUPO,0)),LEN(TRIM($B28))&gt;0,LEN(TRIM($B28))=0)</x:formula1>
    </x:dataValidation>
    <x:dataValidation type="custom" allowBlank="1" showErrorMessage="1" errorTitle="Grupo invalido" error="El grupo solo se llena en casos/problemas, subitems, emparejamiento ampliado y opciones de emparejamiento." sqref="B29">
      <x:formula1>IF(ISNUMBER(MATCH($A29,TIPOS_REQUIEREN_GRUPO,0)),LEN(TRIM($B29))&gt;0,LEN(TRIM($B29))=0)</x:formula1>
    </x:dataValidation>
    <x:dataValidation type="custom" allowBlank="1" showErrorMessage="1" errorTitle="Grupo invalido" error="El grupo solo se llena en casos/problemas, subitems, emparejamiento ampliado y opciones de emparejamiento." sqref="B3">
      <x:formula1>IF(ISNUMBER(MATCH($A3,TIPOS_REQUIEREN_GRUPO,0)),LEN(TRIM($B3))&gt;0,LEN(TRIM($B3))=0)</x:formula1>
    </x:dataValidation>
    <x:dataValidation type="custom" allowBlank="1" showErrorMessage="1" errorTitle="Grupo invalido" error="El grupo solo se llena en casos/problemas, subitems, emparejamiento ampliado y opciones de emparejamiento." sqref="B30">
      <x:formula1>IF(ISNUMBER(MATCH($A30,TIPOS_REQUIEREN_GRUPO,0)),LEN(TRIM($B30))&gt;0,LEN(TRIM($B30))=0)</x:formula1>
    </x:dataValidation>
    <x:dataValidation type="custom" allowBlank="1" showErrorMessage="1" errorTitle="Grupo invalido" error="El grupo solo se llena en casos/problemas, subitems, emparejamiento ampliado y opciones de emparejamiento." sqref="B31">
      <x:formula1>IF(ISNUMBER(MATCH($A31,TIPOS_REQUIEREN_GRUPO,0)),LEN(TRIM($B31))&gt;0,LEN(TRIM($B31))=0)</x:formula1>
    </x:dataValidation>
    <x:dataValidation type="custom" allowBlank="1" showErrorMessage="1" errorTitle="Grupo invalido" error="El grupo solo se llena en casos/problemas, subitems, emparejamiento ampliado y opciones de emparejamiento." sqref="B32">
      <x:formula1>IF(ISNUMBER(MATCH($A32,TIPOS_REQUIEREN_GRUPO,0)),LEN(TRIM($B32))&gt;0,LEN(TRIM($B32))=0)</x:formula1>
    </x:dataValidation>
    <x:dataValidation type="custom" allowBlank="1" showErrorMessage="1" errorTitle="Grupo invalido" error="El grupo solo se llena en casos/problemas, subitems, emparejamiento ampliado y opciones de emparejamiento." sqref="B33">
      <x:formula1>IF(ISNUMBER(MATCH($A33,TIPOS_REQUIEREN_GRUPO,0)),LEN(TRIM($B33))&gt;0,LEN(TRIM($B33))=0)</x:formula1>
    </x:dataValidation>
    <x:dataValidation type="custom" allowBlank="1" showErrorMessage="1" errorTitle="Grupo invalido" error="El grupo solo se llena en casos/problemas, subitems, emparejamiento ampliado y opciones de emparejamiento." sqref="B34">
      <x:formula1>IF(ISNUMBER(MATCH($A34,TIPOS_REQUIEREN_GRUPO,0)),LEN(TRIM($B34))&gt;0,LEN(TRIM($B34))=0)</x:formula1>
    </x:dataValidation>
    <x:dataValidation type="custom" allowBlank="1" showErrorMessage="1" errorTitle="Grupo invalido" error="El grupo solo se llena en casos/problemas, subitems, emparejamiento ampliado y opciones de emparejamiento." sqref="B35">
      <x:formula1>IF(ISNUMBER(MATCH($A35,TIPOS_REQUIEREN_GRUPO,0)),LEN(TRIM($B35))&gt;0,LEN(TRIM($B35))=0)</x:formula1>
    </x:dataValidation>
    <x:dataValidation type="custom" allowBlank="1" showErrorMessage="1" errorTitle="Grupo invalido" error="El grupo solo se llena en casos/problemas, subitems, emparejamiento ampliado y opciones de emparejamiento." sqref="B36">
      <x:formula1>IF(ISNUMBER(MATCH($A36,TIPOS_REQUIEREN_GRUPO,0)),LEN(TRIM($B36))&gt;0,LEN(TRIM($B36))=0)</x:formula1>
    </x:dataValidation>
    <x:dataValidation type="custom" allowBlank="1" showErrorMessage="1" errorTitle="Grupo invalido" error="El grupo solo se llena en casos/problemas, subitems, emparejamiento ampliado y opciones de emparejamiento." sqref="B37">
      <x:formula1>IF(ISNUMBER(MATCH($A37,TIPOS_REQUIEREN_GRUPO,0)),LEN(TRIM($B37))&gt;0,LEN(TRIM($B37))=0)</x:formula1>
    </x:dataValidation>
    <x:dataValidation type="custom" allowBlank="1" showErrorMessage="1" errorTitle="Grupo invalido" error="El grupo solo se llena en casos/problemas, subitems, emparejamiento ampliado y opciones de emparejamiento." sqref="B38">
      <x:formula1>IF(ISNUMBER(MATCH($A38,TIPOS_REQUIEREN_GRUPO,0)),LEN(TRIM($B38))&gt;0,LEN(TRIM($B38))=0)</x:formula1>
    </x:dataValidation>
    <x:dataValidation type="custom" allowBlank="1" showErrorMessage="1" errorTitle="Grupo invalido" error="El grupo solo se llena en casos/problemas, subitems, emparejamiento ampliado y opciones de emparejamiento." sqref="B39">
      <x:formula1>IF(ISNUMBER(MATCH($A39,TIPOS_REQUIEREN_GRUPO,0)),LEN(TRIM($B39))&gt;0,LEN(TRIM($B39))=0)</x:formula1>
    </x:dataValidation>
    <x:dataValidation type="custom" allowBlank="1" showErrorMessage="1" errorTitle="Grupo invalido" error="El grupo solo se llena en casos/problemas, subitems, emparejamiento ampliado y opciones de emparejamiento." sqref="B4">
      <x:formula1>IF(ISNUMBER(MATCH($A4,TIPOS_REQUIEREN_GRUPO,0)),LEN(TRIM($B4))&gt;0,LEN(TRIM($B4))=0)</x:formula1>
    </x:dataValidation>
    <x:dataValidation type="custom" allowBlank="1" showErrorMessage="1" errorTitle="Grupo invalido" error="El grupo solo se llena en casos/problemas, subitems, emparejamiento ampliado y opciones de emparejamiento." sqref="B40">
      <x:formula1>IF(ISNUMBER(MATCH($A40,TIPOS_REQUIEREN_GRUPO,0)),LEN(TRIM($B40))&gt;0,LEN(TRIM($B40))=0)</x:formula1>
    </x:dataValidation>
    <x:dataValidation type="custom" allowBlank="1" showErrorMessage="1" errorTitle="Grupo invalido" error="El grupo solo se llena en casos/problemas, subitems, emparejamiento ampliado y opciones de emparejamiento." sqref="B41">
      <x:formula1>IF(ISNUMBER(MATCH($A41,TIPOS_REQUIEREN_GRUPO,0)),LEN(TRIM($B41))&gt;0,LEN(TRIM($B41))=0)</x:formula1>
    </x:dataValidation>
    <x:dataValidation type="custom" allowBlank="1" showErrorMessage="1" errorTitle="Grupo invalido" error="El grupo solo se llena en casos/problemas, subitems, emparejamiento ampliado y opciones de emparejamiento." sqref="B42">
      <x:formula1>IF(ISNUMBER(MATCH($A42,TIPOS_REQUIEREN_GRUPO,0)),LEN(TRIM($B42))&gt;0,LEN(TRIM($B42))=0)</x:formula1>
    </x:dataValidation>
    <x:dataValidation type="custom" allowBlank="1" showErrorMessage="1" errorTitle="Grupo invalido" error="El grupo solo se llena en casos/problemas, subitems, emparejamiento ampliado y opciones de emparejamiento." sqref="B43">
      <x:formula1>IF(ISNUMBER(MATCH($A43,TIPOS_REQUIEREN_GRUPO,0)),LEN(TRIM($B43))&gt;0,LEN(TRIM($B43))=0)</x:formula1>
    </x:dataValidation>
    <x:dataValidation type="custom" allowBlank="1" showErrorMessage="1" errorTitle="Grupo invalido" error="El grupo solo se llena en casos/problemas, subitems, emparejamiento ampliado y opciones de emparejamiento." sqref="B44">
      <x:formula1>IF(ISNUMBER(MATCH($A44,TIPOS_REQUIEREN_GRUPO,0)),LEN(TRIM($B44))&gt;0,LEN(TRIM($B44))=0)</x:formula1>
    </x:dataValidation>
    <x:dataValidation type="custom" allowBlank="1" showErrorMessage="1" errorTitle="Grupo invalido" error="El grupo solo se llena en casos/problemas, subitems, emparejamiento ampliado y opciones de emparejamiento." sqref="B45">
      <x:formula1>IF(ISNUMBER(MATCH($A45,TIPOS_REQUIEREN_GRUPO,0)),LEN(TRIM($B45))&gt;0,LEN(TRIM($B45))=0)</x:formula1>
    </x:dataValidation>
    <x:dataValidation type="custom" allowBlank="1" showErrorMessage="1" errorTitle="Grupo invalido" error="El grupo solo se llena en casos/problemas, subitems, emparejamiento ampliado y opciones de emparejamiento." sqref="B46">
      <x:formula1>IF(ISNUMBER(MATCH($A46,TIPOS_REQUIEREN_GRUPO,0)),LEN(TRIM($B46))&gt;0,LEN(TRIM($B46))=0)</x:formula1>
    </x:dataValidation>
    <x:dataValidation type="custom" allowBlank="1" showErrorMessage="1" errorTitle="Grupo invalido" error="El grupo solo se llena en casos/problemas, subitems, emparejamiento ampliado y opciones de emparejamiento." sqref="B47">
      <x:formula1>IF(ISNUMBER(MATCH($A47,TIPOS_REQUIEREN_GRUPO,0)),LEN(TRIM($B47))&gt;0,LEN(TRIM($B47))=0)</x:formula1>
    </x:dataValidation>
    <x:dataValidation type="custom" allowBlank="1" showErrorMessage="1" errorTitle="Grupo invalido" error="El grupo solo se llena en casos/problemas, subitems, emparejamiento ampliado y opciones de emparejamiento." sqref="B48">
      <x:formula1>IF(ISNUMBER(MATCH($A48,TIPOS_REQUIEREN_GRUPO,0)),LEN(TRIM($B48))&gt;0,LEN(TRIM($B48))=0)</x:formula1>
    </x:dataValidation>
    <x:dataValidation type="custom" allowBlank="1" showErrorMessage="1" errorTitle="Grupo invalido" error="El grupo solo se llena en casos/problemas, subitems, emparejamiento ampliado y opciones de emparejamiento." sqref="B49">
      <x:formula1>IF(ISNUMBER(MATCH($A49,TIPOS_REQUIEREN_GRUPO,0)),LEN(TRIM($B49))&gt;0,LEN(TRIM($B49))=0)</x:formula1>
    </x:dataValidation>
    <x:dataValidation type="custom" allowBlank="1" showErrorMessage="1" errorTitle="Grupo invalido" error="El grupo solo se llena en casos/problemas, subitems, emparejamiento ampliado y opciones de emparejamiento." sqref="B5">
      <x:formula1>IF(ISNUMBER(MATCH($A5,TIPOS_REQUIEREN_GRUPO,0)),LEN(TRIM($B5))&gt;0,LEN(TRIM($B5))=0)</x:formula1>
    </x:dataValidation>
    <x:dataValidation type="custom" allowBlank="1" showErrorMessage="1" errorTitle="Grupo invalido" error="El grupo solo se llena en casos/problemas, subitems, emparejamiento ampliado y opciones de emparejamiento." sqref="B50">
      <x:formula1>IF(ISNUMBER(MATCH($A50,TIPOS_REQUIEREN_GRUPO,0)),LEN(TRIM($B50))&gt;0,LEN(TRIM($B50))=0)</x:formula1>
    </x:dataValidation>
    <x:dataValidation type="custom" allowBlank="1" showErrorMessage="1" errorTitle="Grupo invalido" error="El grupo solo se llena en casos/problemas, subitems, emparejamiento ampliado y opciones de emparejamiento." sqref="B51">
      <x:formula1>IF(ISNUMBER(MATCH($A51,TIPOS_REQUIEREN_GRUPO,0)),LEN(TRIM($B51))&gt;0,LEN(TRIM($B51))=0)</x:formula1>
    </x:dataValidation>
    <x:dataValidation type="custom" allowBlank="1" showErrorMessage="1" errorTitle="Grupo invalido" error="El grupo solo se llena en casos/problemas, subitems, emparejamiento ampliado y opciones de emparejamiento." sqref="B52">
      <x:formula1>IF(ISNUMBER(MATCH($A52,TIPOS_REQUIEREN_GRUPO,0)),LEN(TRIM($B52))&gt;0,LEN(TRIM($B52))=0)</x:formula1>
    </x:dataValidation>
    <x:dataValidation type="custom" allowBlank="1" showErrorMessage="1" errorTitle="Grupo invalido" error="El grupo solo se llena en casos/problemas, subitems, emparejamiento ampliado y opciones de emparejamiento." sqref="B53">
      <x:formula1>IF(ISNUMBER(MATCH($A53,TIPOS_REQUIEREN_GRUPO,0)),LEN(TRIM($B53))&gt;0,LEN(TRIM($B53))=0)</x:formula1>
    </x:dataValidation>
    <x:dataValidation type="custom" allowBlank="1" showErrorMessage="1" errorTitle="Grupo invalido" error="El grupo solo se llena en casos/problemas, subitems, emparejamiento ampliado y opciones de emparejamiento." sqref="B54">
      <x:formula1>IF(ISNUMBER(MATCH($A54,TIPOS_REQUIEREN_GRUPO,0)),LEN(TRIM($B54))&gt;0,LEN(TRIM($B54))=0)</x:formula1>
    </x:dataValidation>
    <x:dataValidation type="custom" allowBlank="1" showErrorMessage="1" errorTitle="Grupo invalido" error="El grupo solo se llena en casos/problemas, subitems, emparejamiento ampliado y opciones de emparejamiento." sqref="B55">
      <x:formula1>IF(ISNUMBER(MATCH($A55,TIPOS_REQUIEREN_GRUPO,0)),LEN(TRIM($B55))&gt;0,LEN(TRIM($B55))=0)</x:formula1>
    </x:dataValidation>
    <x:dataValidation type="custom" allowBlank="1" showErrorMessage="1" errorTitle="Grupo invalido" error="El grupo solo se llena en casos/problemas, subitems, emparejamiento ampliado y opciones de emparejamiento." sqref="B56">
      <x:formula1>IF(ISNUMBER(MATCH($A56,TIPOS_REQUIEREN_GRUPO,0)),LEN(TRIM($B56))&gt;0,LEN(TRIM($B56))=0)</x:formula1>
    </x:dataValidation>
    <x:dataValidation type="custom" allowBlank="1" showErrorMessage="1" errorTitle="Grupo invalido" error="El grupo solo se llena en casos/problemas, subitems, emparejamiento ampliado y opciones de emparejamiento." sqref="B57">
      <x:formula1>IF(ISNUMBER(MATCH($A57,TIPOS_REQUIEREN_GRUPO,0)),LEN(TRIM($B57))&gt;0,LEN(TRIM($B57))=0)</x:formula1>
    </x:dataValidation>
    <x:dataValidation type="custom" allowBlank="1" showErrorMessage="1" errorTitle="Grupo invalido" error="El grupo solo se llena en casos/problemas, subitems, emparejamiento ampliado y opciones de emparejamiento." sqref="B58">
      <x:formula1>IF(ISNUMBER(MATCH($A58,TIPOS_REQUIEREN_GRUPO,0)),LEN(TRIM($B58))&gt;0,LEN(TRIM($B58))=0)</x:formula1>
    </x:dataValidation>
    <x:dataValidation type="custom" allowBlank="1" showErrorMessage="1" errorTitle="Grupo invalido" error="El grupo solo se llena en casos/problemas, subitems, emparejamiento ampliado y opciones de emparejamiento." sqref="B59">
      <x:formula1>IF(ISNUMBER(MATCH($A59,TIPOS_REQUIEREN_GRUPO,0)),LEN(TRIM($B59))&gt;0,LEN(TRIM($B59))=0)</x:formula1>
    </x:dataValidation>
    <x:dataValidation type="custom" allowBlank="1" showErrorMessage="1" errorTitle="Grupo invalido" error="El grupo solo se llena en casos/problemas, subitems, emparejamiento ampliado y opciones de emparejamiento." sqref="B6">
      <x:formula1>IF(ISNUMBER(MATCH($A6,TIPOS_REQUIEREN_GRUPO,0)),LEN(TRIM($B6))&gt;0,LEN(TRIM($B6))=0)</x:formula1>
    </x:dataValidation>
    <x:dataValidation type="custom" allowBlank="1" showErrorMessage="1" errorTitle="Grupo invalido" error="El grupo solo se llena en casos/problemas, subitems, emparejamiento ampliado y opciones de emparejamiento." sqref="B60">
      <x:formula1>IF(ISNUMBER(MATCH($A60,TIPOS_REQUIEREN_GRUPO,0)),LEN(TRIM($B60))&gt;0,LEN(TRIM($B60))=0)</x:formula1>
    </x:dataValidation>
    <x:dataValidation type="custom" allowBlank="1" showErrorMessage="1" errorTitle="Grupo invalido" error="El grupo solo se llena en casos/problemas, subitems, emparejamiento ampliado y opciones de emparejamiento." sqref="B61">
      <x:formula1>IF(ISNUMBER(MATCH($A61,TIPOS_REQUIEREN_GRUPO,0)),LEN(TRIM($B61))&gt;0,LEN(TRIM($B61))=0)</x:formula1>
    </x:dataValidation>
    <x:dataValidation type="custom" allowBlank="1" showErrorMessage="1" errorTitle="Grupo invalido" error="El grupo solo se llena en casos/problemas, subitems, emparejamiento ampliado y opciones de emparejamiento." sqref="B62">
      <x:formula1>IF(ISNUMBER(MATCH($A62,TIPOS_REQUIEREN_GRUPO,0)),LEN(TRIM($B62))&gt;0,LEN(TRIM($B62))=0)</x:formula1>
    </x:dataValidation>
    <x:dataValidation type="custom" allowBlank="1" showErrorMessage="1" errorTitle="Grupo invalido" error="El grupo solo se llena en casos/problemas, subitems, emparejamiento ampliado y opciones de emparejamiento." sqref="B63">
      <x:formula1>IF(ISNUMBER(MATCH($A63,TIPOS_REQUIEREN_GRUPO,0)),LEN(TRIM($B63))&gt;0,LEN(TRIM($B63))=0)</x:formula1>
    </x:dataValidation>
    <x:dataValidation type="custom" allowBlank="1" showErrorMessage="1" errorTitle="Grupo invalido" error="El grupo solo se llena en casos/problemas, subitems, emparejamiento ampliado y opciones de emparejamiento." sqref="B64">
      <x:formula1>IF(ISNUMBER(MATCH($A64,TIPOS_REQUIEREN_GRUPO,0)),LEN(TRIM($B64))&gt;0,LEN(TRIM($B64))=0)</x:formula1>
    </x:dataValidation>
    <x:dataValidation type="custom" allowBlank="1" showErrorMessage="1" errorTitle="Grupo invalido" error="El grupo solo se llena en casos/problemas, subitems, emparejamiento ampliado y opciones de emparejamiento." sqref="B65">
      <x:formula1>IF(ISNUMBER(MATCH($A65,TIPOS_REQUIEREN_GRUPO,0)),LEN(TRIM($B65))&gt;0,LEN(TRIM($B65))=0)</x:formula1>
    </x:dataValidation>
    <x:dataValidation type="custom" allowBlank="1" showErrorMessage="1" errorTitle="Grupo invalido" error="El grupo solo se llena en casos/problemas, subitems, emparejamiento ampliado y opciones de emparejamiento." sqref="B66">
      <x:formula1>IF(ISNUMBER(MATCH($A66,TIPOS_REQUIEREN_GRUPO,0)),LEN(TRIM($B66))&gt;0,LEN(TRIM($B66))=0)</x:formula1>
    </x:dataValidation>
    <x:dataValidation type="custom" allowBlank="1" showErrorMessage="1" errorTitle="Grupo invalido" error="El grupo solo se llena en casos/problemas, subitems, emparejamiento ampliado y opciones de emparejamiento." sqref="B67">
      <x:formula1>IF(ISNUMBER(MATCH($A67,TIPOS_REQUIEREN_GRUPO,0)),LEN(TRIM($B67))&gt;0,LEN(TRIM($B67))=0)</x:formula1>
    </x:dataValidation>
    <x:dataValidation type="custom" allowBlank="1" showErrorMessage="1" errorTitle="Grupo invalido" error="El grupo solo se llena en casos/problemas, subitems, emparejamiento ampliado y opciones de emparejamiento." sqref="B68">
      <x:formula1>IF(ISNUMBER(MATCH($A68,TIPOS_REQUIEREN_GRUPO,0)),LEN(TRIM($B68))&gt;0,LEN(TRIM($B68))=0)</x:formula1>
    </x:dataValidation>
    <x:dataValidation type="custom" allowBlank="1" showErrorMessage="1" errorTitle="Grupo invalido" error="El grupo solo se llena en casos/problemas, subitems, emparejamiento ampliado y opciones de emparejamiento." sqref="B69">
      <x:formula1>IF(ISNUMBER(MATCH($A69,TIPOS_REQUIEREN_GRUPO,0)),LEN(TRIM($B69))&gt;0,LEN(TRIM($B69))=0)</x:formula1>
    </x:dataValidation>
    <x:dataValidation type="custom" allowBlank="1" showErrorMessage="1" errorTitle="Grupo invalido" error="El grupo solo se llena en casos/problemas, subitems, emparejamiento ampliado y opciones de emparejamiento." sqref="B7">
      <x:formula1>IF(ISNUMBER(MATCH($A7,TIPOS_REQUIEREN_GRUPO,0)),LEN(TRIM($B7))&gt;0,LEN(TRIM($B7))=0)</x:formula1>
    </x:dataValidation>
    <x:dataValidation type="custom" allowBlank="1" showErrorMessage="1" errorTitle="Grupo invalido" error="El grupo solo se llena en casos/problemas, subitems, emparejamiento ampliado y opciones de emparejamiento." sqref="B70">
      <x:formula1>IF(ISNUMBER(MATCH($A70,TIPOS_REQUIEREN_GRUPO,0)),LEN(TRIM($B70))&gt;0,LEN(TRIM($B70))=0)</x:formula1>
    </x:dataValidation>
    <x:dataValidation type="custom" allowBlank="1" showErrorMessage="1" errorTitle="Grupo invalido" error="El grupo solo se llena en casos/problemas, subitems, emparejamiento ampliado y opciones de emparejamiento." sqref="B71">
      <x:formula1>IF(ISNUMBER(MATCH($A71,TIPOS_REQUIEREN_GRUPO,0)),LEN(TRIM($B71))&gt;0,LEN(TRIM($B71))=0)</x:formula1>
    </x:dataValidation>
    <x:dataValidation type="custom" allowBlank="1" showErrorMessage="1" errorTitle="Grupo invalido" error="El grupo solo se llena en casos/problemas, subitems, emparejamiento ampliado y opciones de emparejamiento." sqref="B72">
      <x:formula1>IF(ISNUMBER(MATCH($A72,TIPOS_REQUIEREN_GRUPO,0)),LEN(TRIM($B72))&gt;0,LEN(TRIM($B72))=0)</x:formula1>
    </x:dataValidation>
    <x:dataValidation type="custom" allowBlank="1" showErrorMessage="1" errorTitle="Grupo invalido" error="El grupo solo se llena en casos/problemas, subitems, emparejamiento ampliado y opciones de emparejamiento." sqref="B73">
      <x:formula1>IF(ISNUMBER(MATCH($A73,TIPOS_REQUIEREN_GRUPO,0)),LEN(TRIM($B73))&gt;0,LEN(TRIM($B73))=0)</x:formula1>
    </x:dataValidation>
    <x:dataValidation type="custom" allowBlank="1" showErrorMessage="1" errorTitle="Grupo invalido" error="El grupo solo se llena en casos/problemas, subitems, emparejamiento ampliado y opciones de emparejamiento." sqref="B74">
      <x:formula1>IF(ISNUMBER(MATCH($A74,TIPOS_REQUIEREN_GRUPO,0)),LEN(TRIM($B74))&gt;0,LEN(TRIM($B74))=0)</x:formula1>
    </x:dataValidation>
    <x:dataValidation type="custom" allowBlank="1" showErrorMessage="1" errorTitle="Grupo invalido" error="El grupo solo se llena en casos/problemas, subitems, emparejamiento ampliado y opciones de emparejamiento." sqref="B75">
      <x:formula1>IF(ISNUMBER(MATCH($A75,TIPOS_REQUIEREN_GRUPO,0)),LEN(TRIM($B75))&gt;0,LEN(TRIM($B75))=0)</x:formula1>
    </x:dataValidation>
    <x:dataValidation type="custom" allowBlank="1" showErrorMessage="1" errorTitle="Grupo invalido" error="El grupo solo se llena en casos/problemas, subitems, emparejamiento ampliado y opciones de emparejamiento." sqref="B76">
      <x:formula1>IF(ISNUMBER(MATCH($A76,TIPOS_REQUIEREN_GRUPO,0)),LEN(TRIM($B76))&gt;0,LEN(TRIM($B76))=0)</x:formula1>
    </x:dataValidation>
    <x:dataValidation type="custom" allowBlank="1" showErrorMessage="1" errorTitle="Grupo invalido" error="El grupo solo se llena en casos/problemas, subitems, emparejamiento ampliado y opciones de emparejamiento." sqref="B77">
      <x:formula1>IF(ISNUMBER(MATCH($A77,TIPOS_REQUIEREN_GRUPO,0)),LEN(TRIM($B77))&gt;0,LEN(TRIM($B77))=0)</x:formula1>
    </x:dataValidation>
    <x:dataValidation type="custom" allowBlank="1" showErrorMessage="1" errorTitle="Grupo invalido" error="El grupo solo se llena en casos/problemas, subitems, emparejamiento ampliado y opciones de emparejamiento." sqref="B78">
      <x:formula1>IF(ISNUMBER(MATCH($A78,TIPOS_REQUIEREN_GRUPO,0)),LEN(TRIM($B78))&gt;0,LEN(TRIM($B78))=0)</x:formula1>
    </x:dataValidation>
    <x:dataValidation type="custom" allowBlank="1" showErrorMessage="1" errorTitle="Grupo invalido" error="El grupo solo se llena en casos/problemas, subitems, emparejamiento ampliado y opciones de emparejamiento." sqref="B79">
      <x:formula1>IF(ISNUMBER(MATCH($A79,TIPOS_REQUIEREN_GRUPO,0)),LEN(TRIM($B79))&gt;0,LEN(TRIM($B79))=0)</x:formula1>
    </x:dataValidation>
    <x:dataValidation type="custom" allowBlank="1" showErrorMessage="1" errorTitle="Grupo invalido" error="El grupo solo se llena en casos/problemas, subitems, emparejamiento ampliado y opciones de emparejamiento." sqref="B8">
      <x:formula1>IF(ISNUMBER(MATCH($A8,TIPOS_REQUIEREN_GRUPO,0)),LEN(TRIM($B8))&gt;0,LEN(TRIM($B8))=0)</x:formula1>
    </x:dataValidation>
    <x:dataValidation type="custom" allowBlank="1" showErrorMessage="1" errorTitle="Grupo invalido" error="El grupo solo se llena en casos/problemas, subitems, emparejamiento ampliado y opciones de emparejamiento." sqref="B80">
      <x:formula1>IF(ISNUMBER(MATCH($A80,TIPOS_REQUIEREN_GRUPO,0)),LEN(TRIM($B80))&gt;0,LEN(TRIM($B80))=0)</x:formula1>
    </x:dataValidation>
    <x:dataValidation type="custom" allowBlank="1" showErrorMessage="1" errorTitle="Grupo invalido" error="El grupo solo se llena en casos/problemas, subitems, emparejamiento ampliado y opciones de emparejamiento." sqref="B81">
      <x:formula1>IF(ISNUMBER(MATCH($A81,TIPOS_REQUIEREN_GRUPO,0)),LEN(TRIM($B81))&gt;0,LEN(TRIM($B81))=0)</x:formula1>
    </x:dataValidation>
    <x:dataValidation type="custom" allowBlank="1" showErrorMessage="1" errorTitle="Grupo invalido" error="El grupo solo se llena en casos/problemas, subitems, emparejamiento ampliado y opciones de emparejamiento." sqref="B82">
      <x:formula1>IF(ISNUMBER(MATCH($A82,TIPOS_REQUIEREN_GRUPO,0)),LEN(TRIM($B82))&gt;0,LEN(TRIM($B82))=0)</x:formula1>
    </x:dataValidation>
    <x:dataValidation type="custom" allowBlank="1" showErrorMessage="1" errorTitle="Grupo invalido" error="El grupo solo se llena en casos/problemas, subitems, emparejamiento ampliado y opciones de emparejamiento." sqref="B83">
      <x:formula1>IF(ISNUMBER(MATCH($A83,TIPOS_REQUIEREN_GRUPO,0)),LEN(TRIM($B83))&gt;0,LEN(TRIM($B83))=0)</x:formula1>
    </x:dataValidation>
    <x:dataValidation type="custom" allowBlank="1" showErrorMessage="1" errorTitle="Grupo invalido" error="El grupo solo se llena en casos/problemas, subitems, emparejamiento ampliado y opciones de emparejamiento." sqref="B84">
      <x:formula1>IF(ISNUMBER(MATCH($A84,TIPOS_REQUIEREN_GRUPO,0)),LEN(TRIM($B84))&gt;0,LEN(TRIM($B84))=0)</x:formula1>
    </x:dataValidation>
    <x:dataValidation type="custom" allowBlank="1" showErrorMessage="1" errorTitle="Grupo invalido" error="El grupo solo se llena en casos/problemas, subitems, emparejamiento ampliado y opciones de emparejamiento." sqref="B85">
      <x:formula1>IF(ISNUMBER(MATCH($A85,TIPOS_REQUIEREN_GRUPO,0)),LEN(TRIM($B85))&gt;0,LEN(TRIM($B85))=0)</x:formula1>
    </x:dataValidation>
    <x:dataValidation type="custom" allowBlank="1" showErrorMessage="1" errorTitle="Grupo invalido" error="El grupo solo se llena en casos/problemas, subitems, emparejamiento ampliado y opciones de emparejamiento." sqref="B86">
      <x:formula1>IF(ISNUMBER(MATCH($A86,TIPOS_REQUIEREN_GRUPO,0)),LEN(TRIM($B86))&gt;0,LEN(TRIM($B86))=0)</x:formula1>
    </x:dataValidation>
    <x:dataValidation type="custom" allowBlank="1" showErrorMessage="1" errorTitle="Grupo invalido" error="El grupo solo se llena en casos/problemas, subitems, emparejamiento ampliado y opciones de emparejamiento." sqref="B87">
      <x:formula1>IF(ISNUMBER(MATCH($A87,TIPOS_REQUIEREN_GRUPO,0)),LEN(TRIM($B87))&gt;0,LEN(TRIM($B87))=0)</x:formula1>
    </x:dataValidation>
    <x:dataValidation type="custom" allowBlank="1" showErrorMessage="1" errorTitle="Grupo invalido" error="El grupo solo se llena en casos/problemas, subitems, emparejamiento ampliado y opciones de emparejamiento." sqref="B88">
      <x:formula1>IF(ISNUMBER(MATCH($A88,TIPOS_REQUIEREN_GRUPO,0)),LEN(TRIM($B88))&gt;0,LEN(TRIM($B88))=0)</x:formula1>
    </x:dataValidation>
    <x:dataValidation type="custom" allowBlank="1" showErrorMessage="1" errorTitle="Grupo invalido" error="El grupo solo se llena en casos/problemas, subitems, emparejamiento ampliado y opciones de emparejamiento." sqref="B89">
      <x:formula1>IF(ISNUMBER(MATCH($A89,TIPOS_REQUIEREN_GRUPO,0)),LEN(TRIM($B89))&gt;0,LEN(TRIM($B89))=0)</x:formula1>
    </x:dataValidation>
    <x:dataValidation type="custom" allowBlank="1" showErrorMessage="1" errorTitle="Grupo invalido" error="El grupo solo se llena en casos/problemas, subitems, emparejamiento ampliado y opciones de emparejamiento." sqref="B9">
      <x:formula1>IF(ISNUMBER(MATCH($A9,TIPOS_REQUIEREN_GRUPO,0)),LEN(TRIM($B9))&gt;0,LEN(TRIM($B9))=0)</x:formula1>
    </x:dataValidation>
    <x:dataValidation type="custom" allowBlank="1" showErrorMessage="1" errorTitle="Grupo invalido" error="El grupo solo se llena en casos/problemas, subitems, emparejamiento ampliado y opciones de emparejamiento." sqref="B90">
      <x:formula1>IF(ISNUMBER(MATCH($A90,TIPOS_REQUIEREN_GRUPO,0)),LEN(TRIM($B90))&gt;0,LEN(TRIM($B90))=0)</x:formula1>
    </x:dataValidation>
    <x:dataValidation type="custom" allowBlank="1" showErrorMessage="1" errorTitle="Grupo invalido" error="El grupo solo se llena en casos/problemas, subitems, emparejamiento ampliado y opciones de emparejamiento." sqref="B91">
      <x:formula1>IF(ISNUMBER(MATCH($A91,TIPOS_REQUIEREN_GRUPO,0)),LEN(TRIM($B91))&gt;0,LEN(TRIM($B91))=0)</x:formula1>
    </x:dataValidation>
    <x:dataValidation type="custom" allowBlank="1" showErrorMessage="1" errorTitle="Grupo invalido" error="El grupo solo se llena en casos/problemas, subitems, emparejamiento ampliado y opciones de emparejamiento." sqref="B92">
      <x:formula1>IF(ISNUMBER(MATCH($A92,TIPOS_REQUIEREN_GRUPO,0)),LEN(TRIM($B92))&gt;0,LEN(TRIM($B92))=0)</x:formula1>
    </x:dataValidation>
    <x:dataValidation type="custom" allowBlank="1" showErrorMessage="1" errorTitle="Grupo invalido" error="El grupo solo se llena en casos/problemas, subitems, emparejamiento ampliado y opciones de emparejamiento." sqref="B93">
      <x:formula1>IF(ISNUMBER(MATCH($A93,TIPOS_REQUIEREN_GRUPO,0)),LEN(TRIM($B93))&gt;0,LEN(TRIM($B93))=0)</x:formula1>
    </x:dataValidation>
    <x:dataValidation type="custom" allowBlank="1" showErrorMessage="1" errorTitle="Grupo invalido" error="El grupo solo se llena en casos/problemas, subitems, emparejamiento ampliado y opciones de emparejamiento." sqref="B94">
      <x:formula1>IF(ISNUMBER(MATCH($A94,TIPOS_REQUIEREN_GRUPO,0)),LEN(TRIM($B94))&gt;0,LEN(TRIM($B94))=0)</x:formula1>
    </x:dataValidation>
    <x:dataValidation type="custom" allowBlank="1" showErrorMessage="1" errorTitle="Grupo invalido" error="El grupo solo se llena en casos/problemas, subitems, emparejamiento ampliado y opciones de emparejamiento." sqref="B95">
      <x:formula1>IF(ISNUMBER(MATCH($A95,TIPOS_REQUIEREN_GRUPO,0)),LEN(TRIM($B95))&gt;0,LEN(TRIM($B95))=0)</x:formula1>
    </x:dataValidation>
    <x:dataValidation type="custom" allowBlank="1" showErrorMessage="1" errorTitle="Grupo invalido" error="El grupo solo se llena en casos/problemas, subitems, emparejamiento ampliado y opciones de emparejamiento." sqref="B96">
      <x:formula1>IF(ISNUMBER(MATCH($A96,TIPOS_REQUIEREN_GRUPO,0)),LEN(TRIM($B96))&gt;0,LEN(TRIM($B96))=0)</x:formula1>
    </x:dataValidation>
    <x:dataValidation type="custom" allowBlank="1" showErrorMessage="1" errorTitle="Grupo invalido" error="El grupo solo se llena en casos/problemas, subitems, emparejamiento ampliado y opciones de emparejamiento." sqref="B97">
      <x:formula1>IF(ISNUMBER(MATCH($A97,TIPOS_REQUIEREN_GRUPO,0)),LEN(TRIM($B97))&gt;0,LEN(TRIM($B97))=0)</x:formula1>
    </x:dataValidation>
    <x:dataValidation type="custom" allowBlank="1" showErrorMessage="1" errorTitle="Grupo invalido" error="El grupo solo se llena en casos/problemas, subitems, emparejamiento ampliado y opciones de emparejamiento." sqref="B98">
      <x:formula1>IF(ISNUMBER(MATCH($A98,TIPOS_REQUIEREN_GRUPO,0)),LEN(TRIM($B98))&gt;0,LEN(TRIM($B98))=0)</x:formula1>
    </x:dataValidation>
    <x:dataValidation type="custom" allowBlank="1" showErrorMessage="1" errorTitle="Grupo invalido" error="El grupo solo se llena en casos/problemas, subitems, emparejamiento ampliado y opciones de emparejamiento." sqref="B99">
      <x:formula1>IF(ISNUMBER(MATCH($A99,TIPOS_REQUIEREN_GRUPO,0)),LEN(TRIM($B99))&gt;0,LEN(TRIM($B99))=0)</x:formula1>
    </x:dataValidation>
    <x:dataValidation type="custom" allowBlank="1" showInputMessage="1" promptTitle="Ayuda para enunciado" prompt="Emparejamiento Ampliado se completa con el texto base. Respuesta A/B/Ambas/Ninguna usa solo I. y II. Verdadero o Falso Complejas usa solo el enunciado general." sqref="C10:C121">
      <x:formula1>TRUE</x:formula1>
    </x:dataValidation>
    <x:dataValidation type="custom" allowBlank="1" showInputMessage="1" promptTitle="Ayuda para enunciado" prompt="Emparejamiento Ampliado se completa con el texto base. Respuesta A/B/Ambas/Ninguna usa solo I. y II. Verdadero o Falso Complejas usa solo el enunciado general." sqref="C2:C121">
      <x:formula1>TRUE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">
      <x:formula1>IF(ISNUMBER(MATCH($A10,TIPOS_OPCION_D,0)),TRUE,LEN(TRIM($D10))=0)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0">
      <x:formula1>IF(ISNUMBER(MATCH($A100,TIPOS_OPCION_D,0)),TRUE,LEN(TRIM($D100))=0)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1">
      <x:formula1>IF(ISNUMBER(MATCH($A101,TIPOS_OPCION_D,0)),TRUE,LEN(TRIM($D101))=0)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2">
      <x:formula1>IF(ISNUMBER(MATCH($A102,TIPOS_OPCION_D,0)),TRUE,LEN(TRIM($D102))=0)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3">
      <x:formula1>IF(ISNUMBER(MATCH($A103,TIPOS_OPCION_D,0)),TRUE,LEN(TRIM($D103))=0)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4">
      <x:formula1>IF(ISNUMBER(MATCH($A104,TIPOS_OPCION_D,0)),TRUE,LEN(TRIM($D104))=0)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5">
      <x:formula1>IF(ISNUMBER(MATCH($A105,TIPOS_OPCION_D,0)),TRUE,LEN(TRIM($D105))=0)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6">
      <x:formula1>IF(ISNUMBER(MATCH($A106,TIPOS_OPCION_D,0)),TRUE,LEN(TRIM($D106))=0)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7">
      <x:formula1>IF(ISNUMBER(MATCH($A107,TIPOS_OPCION_D,0)),TRUE,LEN(TRIM($D107))=0)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8">
      <x:formula1>IF(ISNUMBER(MATCH($A108,TIPOS_OPCION_D,0)),TRUE,LEN(TRIM($D108))=0)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09">
      <x:formula1>IF(ISNUMBER(MATCH($A109,TIPOS_OPCION_D,0)),TRUE,LEN(TRIM($D109))=0)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">
      <x:formula1>IF(ISNUMBER(MATCH($A11,TIPOS_OPCION_D,0)),TRUE,LEN(TRIM($D11))=0)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0">
      <x:formula1>IF(ISNUMBER(MATCH($A110,TIPOS_OPCION_D,0)),TRUE,LEN(TRIM($D110))=0)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1">
      <x:formula1>IF(ISNUMBER(MATCH($A111,TIPOS_OPCION_D,0)),TRUE,LEN(TRIM($D111))=0)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2">
      <x:formula1>IF(ISNUMBER(MATCH($A112,TIPOS_OPCION_D,0)),TRUE,LEN(TRIM($D112))=0)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3">
      <x:formula1>IF(ISNUMBER(MATCH($A113,TIPOS_OPCION_D,0)),TRUE,LEN(TRIM($D113))=0)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4">
      <x:formula1>IF(ISNUMBER(MATCH($A114,TIPOS_OPCION_D,0)),TRUE,LEN(TRIM($D114))=0)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5">
      <x:formula1>IF(ISNUMBER(MATCH($A115,TIPOS_OPCION_D,0)),TRUE,LEN(TRIM($D115))=0)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6">
      <x:formula1>IF(ISNUMBER(MATCH($A116,TIPOS_OPCION_D,0)),TRUE,LEN(TRIM($D116))=0)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7">
      <x:formula1>IF(ISNUMBER(MATCH($A117,TIPOS_OPCION_D,0)),TRUE,LEN(TRIM($D117))=0)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8">
      <x:formula1>IF(ISNUMBER(MATCH($A118,TIPOS_OPCION_D,0)),TRUE,LEN(TRIM($D118))=0)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19">
      <x:formula1>IF(ISNUMBER(MATCH($A119,TIPOS_OPCION_D,0)),TRUE,LEN(TRIM($D119))=0)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2">
      <x:formula1>IF(ISNUMBER(MATCH($A12,TIPOS_OPCION_D,0)),TRUE,LEN(TRIM($D12))=0)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20">
      <x:formula1>IF(ISNUMBER(MATCH($A120,TIPOS_OPCION_D,0)),TRUE,LEN(TRIM($D120))=0)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21">
      <x:formula1>IF(ISNUMBER(MATCH($A121,TIPOS_OPCION_D,0)),TRUE,LEN(TRIM($D121))=0)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3">
      <x:formula1>IF(ISNUMBER(MATCH($A13,TIPOS_OPCION_D,0)),TRUE,LEN(TRIM($D13))=0)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4">
      <x:formula1>IF(ISNUMBER(MATCH($A14,TIPOS_OPCION_D,0)),TRUE,LEN(TRIM($D14))=0)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5">
      <x:formula1>IF(ISNUMBER(MATCH($A15,TIPOS_OPCION_D,0)),TRUE,LEN(TRIM($D15))=0)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6">
      <x:formula1>IF(ISNUMBER(MATCH($A16,TIPOS_OPCION_D,0)),TRUE,LEN(TRIM($D16))=0)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7">
      <x:formula1>IF(ISNUMBER(MATCH($A17,TIPOS_OPCION_D,0)),TRUE,LEN(TRIM($D17))=0)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8">
      <x:formula1>IF(ISNUMBER(MATCH($A18,TIPOS_OPCION_D,0)),TRUE,LEN(TRIM($D18))=0)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19">
      <x:formula1>IF(ISNUMBER(MATCH($A19,TIPOS_OPCION_D,0)),TRUE,LEN(TRIM($D19))=0)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">
      <x:formula1>IF(ISNUMBER(MATCH($A2,TIPOS_OPCION_D,0)),TRUE,LEN(TRIM($D2))=0)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0">
      <x:formula1>IF(ISNUMBER(MATCH($A20,TIPOS_OPCION_D,0)),TRUE,LEN(TRIM($D20))=0)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1">
      <x:formula1>IF(ISNUMBER(MATCH($A21,TIPOS_OPCION_D,0)),TRUE,LEN(TRIM($D21))=0)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2">
      <x:formula1>IF(ISNUMBER(MATCH($A22,TIPOS_OPCION_D,0)),TRUE,LEN(TRIM($D22))=0)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3">
      <x:formula1>IF(ISNUMBER(MATCH($A23,TIPOS_OPCION_D,0)),TRUE,LEN(TRIM($D23))=0)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4">
      <x:formula1>IF(ISNUMBER(MATCH($A24,TIPOS_OPCION_D,0)),TRUE,LEN(TRIM($D24))=0)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5">
      <x:formula1>IF(ISNUMBER(MATCH($A25,TIPOS_OPCION_D,0)),TRUE,LEN(TRIM($D25))=0)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6">
      <x:formula1>IF(ISNUMBER(MATCH($A26,TIPOS_OPCION_D,0)),TRUE,LEN(TRIM($D26))=0)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7">
      <x:formula1>IF(ISNUMBER(MATCH($A27,TIPOS_OPCION_D,0)),TRUE,LEN(TRIM($D27))=0)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8">
      <x:formula1>IF(ISNUMBER(MATCH($A28,TIPOS_OPCION_D,0)),TRUE,LEN(TRIM($D28))=0)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29">
      <x:formula1>IF(ISNUMBER(MATCH($A29,TIPOS_OPCION_D,0)),TRUE,LEN(TRIM($D29))=0)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">
      <x:formula1>IF(ISNUMBER(MATCH($A3,TIPOS_OPCION_D,0)),TRUE,LEN(TRIM($D3))=0)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0">
      <x:formula1>IF(ISNUMBER(MATCH($A30,TIPOS_OPCION_D,0)),TRUE,LEN(TRIM($D30))=0)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1">
      <x:formula1>IF(ISNUMBER(MATCH($A31,TIPOS_OPCION_D,0)),TRUE,LEN(TRIM($D31))=0)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2">
      <x:formula1>IF(ISNUMBER(MATCH($A32,TIPOS_OPCION_D,0)),TRUE,LEN(TRIM($D32))=0)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3">
      <x:formula1>IF(ISNUMBER(MATCH($A33,TIPOS_OPCION_D,0)),TRUE,LEN(TRIM($D33))=0)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4">
      <x:formula1>IF(ISNUMBER(MATCH($A34,TIPOS_OPCION_D,0)),TRUE,LEN(TRIM($D34))=0)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5">
      <x:formula1>IF(ISNUMBER(MATCH($A35,TIPOS_OPCION_D,0)),TRUE,LEN(TRIM($D35))=0)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6">
      <x:formula1>IF(ISNUMBER(MATCH($A36,TIPOS_OPCION_D,0)),TRUE,LEN(TRIM($D36))=0)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7">
      <x:formula1>IF(ISNUMBER(MATCH($A37,TIPOS_OPCION_D,0)),TRUE,LEN(TRIM($D37))=0)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8">
      <x:formula1>IF(ISNUMBER(MATCH($A38,TIPOS_OPCION_D,0)),TRUE,LEN(TRIM($D38))=0)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39">
      <x:formula1>IF(ISNUMBER(MATCH($A39,TIPOS_OPCION_D,0)),TRUE,LEN(TRIM($D39))=0)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">
      <x:formula1>IF(ISNUMBER(MATCH($A4,TIPOS_OPCION_D,0)),TRUE,LEN(TRIM($D4))=0)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0">
      <x:formula1>IF(ISNUMBER(MATCH($A40,TIPOS_OPCION_D,0)),TRUE,LEN(TRIM($D40))=0)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1">
      <x:formula1>IF(ISNUMBER(MATCH($A41,TIPOS_OPCION_D,0)),TRUE,LEN(TRIM($D41))=0)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2">
      <x:formula1>IF(ISNUMBER(MATCH($A42,TIPOS_OPCION_D,0)),TRUE,LEN(TRIM($D42))=0)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3">
      <x:formula1>IF(ISNUMBER(MATCH($A43,TIPOS_OPCION_D,0)),TRUE,LEN(TRIM($D43))=0)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4">
      <x:formula1>IF(ISNUMBER(MATCH($A44,TIPOS_OPCION_D,0)),TRUE,LEN(TRIM($D44))=0)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5">
      <x:formula1>IF(ISNUMBER(MATCH($A45,TIPOS_OPCION_D,0)),TRUE,LEN(TRIM($D45))=0)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6">
      <x:formula1>IF(ISNUMBER(MATCH($A46,TIPOS_OPCION_D,0)),TRUE,LEN(TRIM($D46))=0)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7">
      <x:formula1>IF(ISNUMBER(MATCH($A47,TIPOS_OPCION_D,0)),TRUE,LEN(TRIM($D47))=0)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8">
      <x:formula1>IF(ISNUMBER(MATCH($A48,TIPOS_OPCION_D,0)),TRUE,LEN(TRIM($D48))=0)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49">
      <x:formula1>IF(ISNUMBER(MATCH($A49,TIPOS_OPCION_D,0)),TRUE,LEN(TRIM($D49))=0)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">
      <x:formula1>IF(ISNUMBER(MATCH($A5,TIPOS_OPCION_D,0)),TRUE,LEN(TRIM($D5))=0)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0">
      <x:formula1>IF(ISNUMBER(MATCH($A50,TIPOS_OPCION_D,0)),TRUE,LEN(TRIM($D50))=0)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1">
      <x:formula1>IF(ISNUMBER(MATCH($A51,TIPOS_OPCION_D,0)),TRUE,LEN(TRIM($D51))=0)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2">
      <x:formula1>IF(ISNUMBER(MATCH($A52,TIPOS_OPCION_D,0)),TRUE,LEN(TRIM($D52))=0)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3">
      <x:formula1>IF(ISNUMBER(MATCH($A53,TIPOS_OPCION_D,0)),TRUE,LEN(TRIM($D53))=0)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4">
      <x:formula1>IF(ISNUMBER(MATCH($A54,TIPOS_OPCION_D,0)),TRUE,LEN(TRIM($D54))=0)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5">
      <x:formula1>IF(ISNUMBER(MATCH($A55,TIPOS_OPCION_D,0)),TRUE,LEN(TRIM($D55))=0)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6">
      <x:formula1>IF(ISNUMBER(MATCH($A56,TIPOS_OPCION_D,0)),TRUE,LEN(TRIM($D56))=0)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7">
      <x:formula1>IF(ISNUMBER(MATCH($A57,TIPOS_OPCION_D,0)),TRUE,LEN(TRIM($D57))=0)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8">
      <x:formula1>IF(ISNUMBER(MATCH($A58,TIPOS_OPCION_D,0)),TRUE,LEN(TRIM($D58))=0)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59">
      <x:formula1>IF(ISNUMBER(MATCH($A59,TIPOS_OPCION_D,0)),TRUE,LEN(TRIM($D59))=0)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">
      <x:formula1>IF(ISNUMBER(MATCH($A6,TIPOS_OPCION_D,0)),TRUE,LEN(TRIM($D6))=0)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0">
      <x:formula1>IF(ISNUMBER(MATCH($A60,TIPOS_OPCION_D,0)),TRUE,LEN(TRIM($D60))=0)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1">
      <x:formula1>IF(ISNUMBER(MATCH($A61,TIPOS_OPCION_D,0)),TRUE,LEN(TRIM($D61))=0)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2">
      <x:formula1>IF(ISNUMBER(MATCH($A62,TIPOS_OPCION_D,0)),TRUE,LEN(TRIM($D62))=0)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3">
      <x:formula1>IF(ISNUMBER(MATCH($A63,TIPOS_OPCION_D,0)),TRUE,LEN(TRIM($D63))=0)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4">
      <x:formula1>IF(ISNUMBER(MATCH($A64,TIPOS_OPCION_D,0)),TRUE,LEN(TRIM($D64))=0)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5">
      <x:formula1>IF(ISNUMBER(MATCH($A65,TIPOS_OPCION_D,0)),TRUE,LEN(TRIM($D65))=0)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6">
      <x:formula1>IF(ISNUMBER(MATCH($A66,TIPOS_OPCION_D,0)),TRUE,LEN(TRIM($D66))=0)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7">
      <x:formula1>IF(ISNUMBER(MATCH($A67,TIPOS_OPCION_D,0)),TRUE,LEN(TRIM($D67))=0)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8">
      <x:formula1>IF(ISNUMBER(MATCH($A68,TIPOS_OPCION_D,0)),TRUE,LEN(TRIM($D68))=0)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69">
      <x:formula1>IF(ISNUMBER(MATCH($A69,TIPOS_OPCION_D,0)),TRUE,LEN(TRIM($D69))=0)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">
      <x:formula1>IF(ISNUMBER(MATCH($A7,TIPOS_OPCION_D,0)),TRUE,LEN(TRIM($D7))=0)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0">
      <x:formula1>IF(ISNUMBER(MATCH($A70,TIPOS_OPCION_D,0)),TRUE,LEN(TRIM($D70))=0)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1">
      <x:formula1>IF(ISNUMBER(MATCH($A71,TIPOS_OPCION_D,0)),TRUE,LEN(TRIM($D71))=0)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2">
      <x:formula1>IF(ISNUMBER(MATCH($A72,TIPOS_OPCION_D,0)),TRUE,LEN(TRIM($D72))=0)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3">
      <x:formula1>IF(ISNUMBER(MATCH($A73,TIPOS_OPCION_D,0)),TRUE,LEN(TRIM($D73))=0)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4">
      <x:formula1>IF(ISNUMBER(MATCH($A74,TIPOS_OPCION_D,0)),TRUE,LEN(TRIM($D74))=0)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5">
      <x:formula1>IF(ISNUMBER(MATCH($A75,TIPOS_OPCION_D,0)),TRUE,LEN(TRIM($D75))=0)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6">
      <x:formula1>IF(ISNUMBER(MATCH($A76,TIPOS_OPCION_D,0)),TRUE,LEN(TRIM($D76))=0)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7">
      <x:formula1>IF(ISNUMBER(MATCH($A77,TIPOS_OPCION_D,0)),TRUE,LEN(TRIM($D77))=0)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8">
      <x:formula1>IF(ISNUMBER(MATCH($A78,TIPOS_OPCION_D,0)),TRUE,LEN(TRIM($D78))=0)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79">
      <x:formula1>IF(ISNUMBER(MATCH($A79,TIPOS_OPCION_D,0)),TRUE,LEN(TRIM($D79))=0)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">
      <x:formula1>IF(ISNUMBER(MATCH($A8,TIPOS_OPCION_D,0)),TRUE,LEN(TRIM($D8))=0)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0">
      <x:formula1>IF(ISNUMBER(MATCH($A80,TIPOS_OPCION_D,0)),TRUE,LEN(TRIM($D80))=0)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1">
      <x:formula1>IF(ISNUMBER(MATCH($A81,TIPOS_OPCION_D,0)),TRUE,LEN(TRIM($D81))=0)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2">
      <x:formula1>IF(ISNUMBER(MATCH($A82,TIPOS_OPCION_D,0)),TRUE,LEN(TRIM($D82))=0)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3">
      <x:formula1>IF(ISNUMBER(MATCH($A83,TIPOS_OPCION_D,0)),TRUE,LEN(TRIM($D83))=0)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4">
      <x:formula1>IF(ISNUMBER(MATCH($A84,TIPOS_OPCION_D,0)),TRUE,LEN(TRIM($D84))=0)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5">
      <x:formula1>IF(ISNUMBER(MATCH($A85,TIPOS_OPCION_D,0)),TRUE,LEN(TRIM($D85))=0)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6">
      <x:formula1>IF(ISNUMBER(MATCH($A86,TIPOS_OPCION_D,0)),TRUE,LEN(TRIM($D86))=0)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7">
      <x:formula1>IF(ISNUMBER(MATCH($A87,TIPOS_OPCION_D,0)),TRUE,LEN(TRIM($D87))=0)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8">
      <x:formula1>IF(ISNUMBER(MATCH($A88,TIPOS_OPCION_D,0)),TRUE,LEN(TRIM($D88))=0)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89">
      <x:formula1>IF(ISNUMBER(MATCH($A89,TIPOS_OPCION_D,0)),TRUE,LEN(TRIM($D89))=0)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">
      <x:formula1>IF(ISNUMBER(MATCH($A9,TIPOS_OPCION_D,0)),TRUE,LEN(TRIM($D9))=0)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0">
      <x:formula1>IF(ISNUMBER(MATCH($A90,TIPOS_OPCION_D,0)),TRUE,LEN(TRIM($D90))=0)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1">
      <x:formula1>IF(ISNUMBER(MATCH($A91,TIPOS_OPCION_D,0)),TRUE,LEN(TRIM($D91))=0)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2">
      <x:formula1>IF(ISNUMBER(MATCH($A92,TIPOS_OPCION_D,0)),TRUE,LEN(TRIM($D92))=0)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3">
      <x:formula1>IF(ISNUMBER(MATCH($A93,TIPOS_OPCION_D,0)),TRUE,LEN(TRIM($D93))=0)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4">
      <x:formula1>IF(ISNUMBER(MATCH($A94,TIPOS_OPCION_D,0)),TRUE,LEN(TRIM($D94))=0)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5">
      <x:formula1>IF(ISNUMBER(MATCH($A95,TIPOS_OPCION_D,0)),TRUE,LEN(TRIM($D95))=0)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6">
      <x:formula1>IF(ISNUMBER(MATCH($A96,TIPOS_OPCION_D,0)),TRUE,LEN(TRIM($D96))=0)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7">
      <x:formula1>IF(ISNUMBER(MATCH($A97,TIPOS_OPCION_D,0)),TRUE,LEN(TRIM($D97))=0)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8">
      <x:formula1>IF(ISNUMBER(MATCH($A98,TIPOS_OPCION_D,0)),TRUE,LEN(TRIM($D98))=0)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D99">
      <x:formula1>IF(ISNUMBER(MATCH($A99,TIPOS_OPCION_D,0)),TRUE,LEN(TRIM($D99))=0)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">
      <x:formula1>IF(ISNUMBER(MATCH($A10,TIPOS_OPCION_E,0)),TRUE,LEN(TRIM($E10))=0)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0">
      <x:formula1>IF(ISNUMBER(MATCH($A100,TIPOS_OPCION_E,0)),TRUE,LEN(TRIM($E100))=0)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1">
      <x:formula1>IF(ISNUMBER(MATCH($A101,TIPOS_OPCION_E,0)),TRUE,LEN(TRIM($E101))=0)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2">
      <x:formula1>IF(ISNUMBER(MATCH($A102,TIPOS_OPCION_E,0)),TRUE,LEN(TRIM($E102))=0)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3">
      <x:formula1>IF(ISNUMBER(MATCH($A103,TIPOS_OPCION_E,0)),TRUE,LEN(TRIM($E103))=0)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4">
      <x:formula1>IF(ISNUMBER(MATCH($A104,TIPOS_OPCION_E,0)),TRUE,LEN(TRIM($E104))=0)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5">
      <x:formula1>IF(ISNUMBER(MATCH($A105,TIPOS_OPCION_E,0)),TRUE,LEN(TRIM($E105))=0)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6">
      <x:formula1>IF(ISNUMBER(MATCH($A106,TIPOS_OPCION_E,0)),TRUE,LEN(TRIM($E106))=0)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7">
      <x:formula1>IF(ISNUMBER(MATCH($A107,TIPOS_OPCION_E,0)),TRUE,LEN(TRIM($E107))=0)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8">
      <x:formula1>IF(ISNUMBER(MATCH($A108,TIPOS_OPCION_E,0)),TRUE,LEN(TRIM($E108))=0)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09">
      <x:formula1>IF(ISNUMBER(MATCH($A109,TIPOS_OPCION_E,0)),TRUE,LEN(TRIM($E109))=0)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">
      <x:formula1>IF(ISNUMBER(MATCH($A11,TIPOS_OPCION_E,0)),TRUE,LEN(TRIM($E11))=0)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0">
      <x:formula1>IF(ISNUMBER(MATCH($A110,TIPOS_OPCION_E,0)),TRUE,LEN(TRIM($E110))=0)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1">
      <x:formula1>IF(ISNUMBER(MATCH($A111,TIPOS_OPCION_E,0)),TRUE,LEN(TRIM($E111))=0)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2">
      <x:formula1>IF(ISNUMBER(MATCH($A112,TIPOS_OPCION_E,0)),TRUE,LEN(TRIM($E112))=0)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3">
      <x:formula1>IF(ISNUMBER(MATCH($A113,TIPOS_OPCION_E,0)),TRUE,LEN(TRIM($E113))=0)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4">
      <x:formula1>IF(ISNUMBER(MATCH($A114,TIPOS_OPCION_E,0)),TRUE,LEN(TRIM($E114))=0)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5">
      <x:formula1>IF(ISNUMBER(MATCH($A115,TIPOS_OPCION_E,0)),TRUE,LEN(TRIM($E115))=0)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6">
      <x:formula1>IF(ISNUMBER(MATCH($A116,TIPOS_OPCION_E,0)),TRUE,LEN(TRIM($E116))=0)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7">
      <x:formula1>IF(ISNUMBER(MATCH($A117,TIPOS_OPCION_E,0)),TRUE,LEN(TRIM($E117))=0)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8">
      <x:formula1>IF(ISNUMBER(MATCH($A118,TIPOS_OPCION_E,0)),TRUE,LEN(TRIM($E118))=0)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19">
      <x:formula1>IF(ISNUMBER(MATCH($A119,TIPOS_OPCION_E,0)),TRUE,LEN(TRIM($E119))=0)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2">
      <x:formula1>IF(ISNUMBER(MATCH($A12,TIPOS_OPCION_E,0)),TRUE,LEN(TRIM($E12))=0)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20">
      <x:formula1>IF(ISNUMBER(MATCH($A120,TIPOS_OPCION_E,0)),TRUE,LEN(TRIM($E120))=0)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21">
      <x:formula1>IF(ISNUMBER(MATCH($A121,TIPOS_OPCION_E,0)),TRUE,LEN(TRIM($E121))=0)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3">
      <x:formula1>IF(ISNUMBER(MATCH($A13,TIPOS_OPCION_E,0)),TRUE,LEN(TRIM($E13))=0)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4">
      <x:formula1>IF(ISNUMBER(MATCH($A14,TIPOS_OPCION_E,0)),TRUE,LEN(TRIM($E14))=0)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5">
      <x:formula1>IF(ISNUMBER(MATCH($A15,TIPOS_OPCION_E,0)),TRUE,LEN(TRIM($E15))=0)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6">
      <x:formula1>IF(ISNUMBER(MATCH($A16,TIPOS_OPCION_E,0)),TRUE,LEN(TRIM($E16))=0)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7">
      <x:formula1>IF(ISNUMBER(MATCH($A17,TIPOS_OPCION_E,0)),TRUE,LEN(TRIM($E17))=0)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8">
      <x:formula1>IF(ISNUMBER(MATCH($A18,TIPOS_OPCION_E,0)),TRUE,LEN(TRIM($E18))=0)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19">
      <x:formula1>IF(ISNUMBER(MATCH($A19,TIPOS_OPCION_E,0)),TRUE,LEN(TRIM($E19))=0)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">
      <x:formula1>IF(ISNUMBER(MATCH($A2,TIPOS_OPCION_E,0)),TRUE,LEN(TRIM($E2))=0)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0">
      <x:formula1>IF(ISNUMBER(MATCH($A20,TIPOS_OPCION_E,0)),TRUE,LEN(TRIM($E20))=0)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1">
      <x:formula1>IF(ISNUMBER(MATCH($A21,TIPOS_OPCION_E,0)),TRUE,LEN(TRIM($E21))=0)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2">
      <x:formula1>IF(ISNUMBER(MATCH($A22,TIPOS_OPCION_E,0)),TRUE,LEN(TRIM($E22))=0)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3">
      <x:formula1>IF(ISNUMBER(MATCH($A23,TIPOS_OPCION_E,0)),TRUE,LEN(TRIM($E23))=0)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4">
      <x:formula1>IF(ISNUMBER(MATCH($A24,TIPOS_OPCION_E,0)),TRUE,LEN(TRIM($E24))=0)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5">
      <x:formula1>IF(ISNUMBER(MATCH($A25,TIPOS_OPCION_E,0)),TRUE,LEN(TRIM($E25))=0)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6">
      <x:formula1>IF(ISNUMBER(MATCH($A26,TIPOS_OPCION_E,0)),TRUE,LEN(TRIM($E26))=0)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7">
      <x:formula1>IF(ISNUMBER(MATCH($A27,TIPOS_OPCION_E,0)),TRUE,LEN(TRIM($E27))=0)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8">
      <x:formula1>IF(ISNUMBER(MATCH($A28,TIPOS_OPCION_E,0)),TRUE,LEN(TRIM($E28))=0)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29">
      <x:formula1>IF(ISNUMBER(MATCH($A29,TIPOS_OPCION_E,0)),TRUE,LEN(TRIM($E29))=0)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">
      <x:formula1>IF(ISNUMBER(MATCH($A3,TIPOS_OPCION_E,0)),TRUE,LEN(TRIM($E3))=0)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0">
      <x:formula1>IF(ISNUMBER(MATCH($A30,TIPOS_OPCION_E,0)),TRUE,LEN(TRIM($E30))=0)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1">
      <x:formula1>IF(ISNUMBER(MATCH($A31,TIPOS_OPCION_E,0)),TRUE,LEN(TRIM($E31))=0)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2">
      <x:formula1>IF(ISNUMBER(MATCH($A32,TIPOS_OPCION_E,0)),TRUE,LEN(TRIM($E32))=0)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3">
      <x:formula1>IF(ISNUMBER(MATCH($A33,TIPOS_OPCION_E,0)),TRUE,LEN(TRIM($E33))=0)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4">
      <x:formula1>IF(ISNUMBER(MATCH($A34,TIPOS_OPCION_E,0)),TRUE,LEN(TRIM($E34))=0)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5">
      <x:formula1>IF(ISNUMBER(MATCH($A35,TIPOS_OPCION_E,0)),TRUE,LEN(TRIM($E35))=0)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6">
      <x:formula1>IF(ISNUMBER(MATCH($A36,TIPOS_OPCION_E,0)),TRUE,LEN(TRIM($E36))=0)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7">
      <x:formula1>IF(ISNUMBER(MATCH($A37,TIPOS_OPCION_E,0)),TRUE,LEN(TRIM($E37))=0)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8">
      <x:formula1>IF(ISNUMBER(MATCH($A38,TIPOS_OPCION_E,0)),TRUE,LEN(TRIM($E38))=0)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39">
      <x:formula1>IF(ISNUMBER(MATCH($A39,TIPOS_OPCION_E,0)),TRUE,LEN(TRIM($E39))=0)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">
      <x:formula1>IF(ISNUMBER(MATCH($A4,TIPOS_OPCION_E,0)),TRUE,LEN(TRIM($E4))=0)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0">
      <x:formula1>IF(ISNUMBER(MATCH($A40,TIPOS_OPCION_E,0)),TRUE,LEN(TRIM($E40))=0)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1">
      <x:formula1>IF(ISNUMBER(MATCH($A41,TIPOS_OPCION_E,0)),TRUE,LEN(TRIM($E41))=0)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2">
      <x:formula1>IF(ISNUMBER(MATCH($A42,TIPOS_OPCION_E,0)),TRUE,LEN(TRIM($E42))=0)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3">
      <x:formula1>IF(ISNUMBER(MATCH($A43,TIPOS_OPCION_E,0)),TRUE,LEN(TRIM($E43))=0)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4">
      <x:formula1>IF(ISNUMBER(MATCH($A44,TIPOS_OPCION_E,0)),TRUE,LEN(TRIM($E44))=0)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5">
      <x:formula1>IF(ISNUMBER(MATCH($A45,TIPOS_OPCION_E,0)),TRUE,LEN(TRIM($E45))=0)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6">
      <x:formula1>IF(ISNUMBER(MATCH($A46,TIPOS_OPCION_E,0)),TRUE,LEN(TRIM($E46))=0)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7">
      <x:formula1>IF(ISNUMBER(MATCH($A47,TIPOS_OPCION_E,0)),TRUE,LEN(TRIM($E47))=0)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8">
      <x:formula1>IF(ISNUMBER(MATCH($A48,TIPOS_OPCION_E,0)),TRUE,LEN(TRIM($E48))=0)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49">
      <x:formula1>IF(ISNUMBER(MATCH($A49,TIPOS_OPCION_E,0)),TRUE,LEN(TRIM($E49))=0)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">
      <x:formula1>IF(ISNUMBER(MATCH($A5,TIPOS_OPCION_E,0)),TRUE,LEN(TRIM($E5))=0)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0">
      <x:formula1>IF(ISNUMBER(MATCH($A50,TIPOS_OPCION_E,0)),TRUE,LEN(TRIM($E50))=0)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1">
      <x:formula1>IF(ISNUMBER(MATCH($A51,TIPOS_OPCION_E,0)),TRUE,LEN(TRIM($E51))=0)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2">
      <x:formula1>IF(ISNUMBER(MATCH($A52,TIPOS_OPCION_E,0)),TRUE,LEN(TRIM($E52))=0)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3">
      <x:formula1>IF(ISNUMBER(MATCH($A53,TIPOS_OPCION_E,0)),TRUE,LEN(TRIM($E53))=0)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4">
      <x:formula1>IF(ISNUMBER(MATCH($A54,TIPOS_OPCION_E,0)),TRUE,LEN(TRIM($E54))=0)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5">
      <x:formula1>IF(ISNUMBER(MATCH($A55,TIPOS_OPCION_E,0)),TRUE,LEN(TRIM($E55))=0)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6">
      <x:formula1>IF(ISNUMBER(MATCH($A56,TIPOS_OPCION_E,0)),TRUE,LEN(TRIM($E56))=0)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7">
      <x:formula1>IF(ISNUMBER(MATCH($A57,TIPOS_OPCION_E,0)),TRUE,LEN(TRIM($E57))=0)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8">
      <x:formula1>IF(ISNUMBER(MATCH($A58,TIPOS_OPCION_E,0)),TRUE,LEN(TRIM($E58))=0)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59">
      <x:formula1>IF(ISNUMBER(MATCH($A59,TIPOS_OPCION_E,0)),TRUE,LEN(TRIM($E59))=0)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">
      <x:formula1>IF(ISNUMBER(MATCH($A6,TIPOS_OPCION_E,0)),TRUE,LEN(TRIM($E6))=0)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0">
      <x:formula1>IF(ISNUMBER(MATCH($A60,TIPOS_OPCION_E,0)),TRUE,LEN(TRIM($E60))=0)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1">
      <x:formula1>IF(ISNUMBER(MATCH($A61,TIPOS_OPCION_E,0)),TRUE,LEN(TRIM($E61))=0)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2">
      <x:formula1>IF(ISNUMBER(MATCH($A62,TIPOS_OPCION_E,0)),TRUE,LEN(TRIM($E62))=0)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3">
      <x:formula1>IF(ISNUMBER(MATCH($A63,TIPOS_OPCION_E,0)),TRUE,LEN(TRIM($E63))=0)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4">
      <x:formula1>IF(ISNUMBER(MATCH($A64,TIPOS_OPCION_E,0)),TRUE,LEN(TRIM($E64))=0)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5">
      <x:formula1>IF(ISNUMBER(MATCH($A65,TIPOS_OPCION_E,0)),TRUE,LEN(TRIM($E65))=0)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6">
      <x:formula1>IF(ISNUMBER(MATCH($A66,TIPOS_OPCION_E,0)),TRUE,LEN(TRIM($E66))=0)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7">
      <x:formula1>IF(ISNUMBER(MATCH($A67,TIPOS_OPCION_E,0)),TRUE,LEN(TRIM($E67))=0)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8">
      <x:formula1>IF(ISNUMBER(MATCH($A68,TIPOS_OPCION_E,0)),TRUE,LEN(TRIM($E68))=0)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69">
      <x:formula1>IF(ISNUMBER(MATCH($A69,TIPOS_OPCION_E,0)),TRUE,LEN(TRIM($E69))=0)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">
      <x:formula1>IF(ISNUMBER(MATCH($A7,TIPOS_OPCION_E,0)),TRUE,LEN(TRIM($E7))=0)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0">
      <x:formula1>IF(ISNUMBER(MATCH($A70,TIPOS_OPCION_E,0)),TRUE,LEN(TRIM($E70))=0)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1">
      <x:formula1>IF(ISNUMBER(MATCH($A71,TIPOS_OPCION_E,0)),TRUE,LEN(TRIM($E71))=0)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2">
      <x:formula1>IF(ISNUMBER(MATCH($A72,TIPOS_OPCION_E,0)),TRUE,LEN(TRIM($E72))=0)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3">
      <x:formula1>IF(ISNUMBER(MATCH($A73,TIPOS_OPCION_E,0)),TRUE,LEN(TRIM($E73))=0)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4">
      <x:formula1>IF(ISNUMBER(MATCH($A74,TIPOS_OPCION_E,0)),TRUE,LEN(TRIM($E74))=0)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5">
      <x:formula1>IF(ISNUMBER(MATCH($A75,TIPOS_OPCION_E,0)),TRUE,LEN(TRIM($E75))=0)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6">
      <x:formula1>IF(ISNUMBER(MATCH($A76,TIPOS_OPCION_E,0)),TRUE,LEN(TRIM($E76))=0)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7">
      <x:formula1>IF(ISNUMBER(MATCH($A77,TIPOS_OPCION_E,0)),TRUE,LEN(TRIM($E77))=0)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8">
      <x:formula1>IF(ISNUMBER(MATCH($A78,TIPOS_OPCION_E,0)),TRUE,LEN(TRIM($E78))=0)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79">
      <x:formula1>IF(ISNUMBER(MATCH($A79,TIPOS_OPCION_E,0)),TRUE,LEN(TRIM($E79))=0)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">
      <x:formula1>IF(ISNUMBER(MATCH($A8,TIPOS_OPCION_E,0)),TRUE,LEN(TRIM($E8))=0)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0">
      <x:formula1>IF(ISNUMBER(MATCH($A80,TIPOS_OPCION_E,0)),TRUE,LEN(TRIM($E80))=0)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1">
      <x:formula1>IF(ISNUMBER(MATCH($A81,TIPOS_OPCION_E,0)),TRUE,LEN(TRIM($E81))=0)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2">
      <x:formula1>IF(ISNUMBER(MATCH($A82,TIPOS_OPCION_E,0)),TRUE,LEN(TRIM($E82))=0)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3">
      <x:formula1>IF(ISNUMBER(MATCH($A83,TIPOS_OPCION_E,0)),TRUE,LEN(TRIM($E83))=0)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4">
      <x:formula1>IF(ISNUMBER(MATCH($A84,TIPOS_OPCION_E,0)),TRUE,LEN(TRIM($E84))=0)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5">
      <x:formula1>IF(ISNUMBER(MATCH($A85,TIPOS_OPCION_E,0)),TRUE,LEN(TRIM($E85))=0)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6">
      <x:formula1>IF(ISNUMBER(MATCH($A86,TIPOS_OPCION_E,0)),TRUE,LEN(TRIM($E86))=0)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7">
      <x:formula1>IF(ISNUMBER(MATCH($A87,TIPOS_OPCION_E,0)),TRUE,LEN(TRIM($E87))=0)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8">
      <x:formula1>IF(ISNUMBER(MATCH($A88,TIPOS_OPCION_E,0)),TRUE,LEN(TRIM($E88))=0)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89">
      <x:formula1>IF(ISNUMBER(MATCH($A89,TIPOS_OPCION_E,0)),TRUE,LEN(TRIM($E89))=0)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">
      <x:formula1>IF(ISNUMBER(MATCH($A9,TIPOS_OPCION_E,0)),TRUE,LEN(TRIM($E9))=0)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0">
      <x:formula1>IF(ISNUMBER(MATCH($A90,TIPOS_OPCION_E,0)),TRUE,LEN(TRIM($E90))=0)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1">
      <x:formula1>IF(ISNUMBER(MATCH($A91,TIPOS_OPCION_E,0)),TRUE,LEN(TRIM($E91))=0)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2">
      <x:formula1>IF(ISNUMBER(MATCH($A92,TIPOS_OPCION_E,0)),TRUE,LEN(TRIM($E92))=0)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3">
      <x:formula1>IF(ISNUMBER(MATCH($A93,TIPOS_OPCION_E,0)),TRUE,LEN(TRIM($E93))=0)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4">
      <x:formula1>IF(ISNUMBER(MATCH($A94,TIPOS_OPCION_E,0)),TRUE,LEN(TRIM($E94))=0)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5">
      <x:formula1>IF(ISNUMBER(MATCH($A95,TIPOS_OPCION_E,0)),TRUE,LEN(TRIM($E95))=0)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6">
      <x:formula1>IF(ISNUMBER(MATCH($A96,TIPOS_OPCION_E,0)),TRUE,LEN(TRIM($E96))=0)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7">
      <x:formula1>IF(ISNUMBER(MATCH($A97,TIPOS_OPCION_E,0)),TRUE,LEN(TRIM($E97))=0)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8">
      <x:formula1>IF(ISNUMBER(MATCH($A98,TIPOS_OPCION_E,0)),TRUE,LEN(TRIM($E98))=0)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E99">
      <x:formula1>IF(ISNUMBER(MATCH($A99,TIPOS_OPCION_E,0)),TRUE,LEN(TRIM($E99))=0)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">
      <x:formula1>IF(ISNUMBER(MATCH($A10,TIPOS_OPCION_F,0)),TRUE,LEN(TRIM($F10))=0)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0">
      <x:formula1>IF(ISNUMBER(MATCH($A100,TIPOS_OPCION_F,0)),TRUE,LEN(TRIM($F100))=0)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1">
      <x:formula1>IF(ISNUMBER(MATCH($A101,TIPOS_OPCION_F,0)),TRUE,LEN(TRIM($F101))=0)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2">
      <x:formula1>IF(ISNUMBER(MATCH($A102,TIPOS_OPCION_F,0)),TRUE,LEN(TRIM($F102))=0)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3">
      <x:formula1>IF(ISNUMBER(MATCH($A103,TIPOS_OPCION_F,0)),TRUE,LEN(TRIM($F103))=0)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4">
      <x:formula1>IF(ISNUMBER(MATCH($A104,TIPOS_OPCION_F,0)),TRUE,LEN(TRIM($F104))=0)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5">
      <x:formula1>IF(ISNUMBER(MATCH($A105,TIPOS_OPCION_F,0)),TRUE,LEN(TRIM($F105))=0)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6">
      <x:formula1>IF(ISNUMBER(MATCH($A106,TIPOS_OPCION_F,0)),TRUE,LEN(TRIM($F106))=0)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7">
      <x:formula1>IF(ISNUMBER(MATCH($A107,TIPOS_OPCION_F,0)),TRUE,LEN(TRIM($F107))=0)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8">
      <x:formula1>IF(ISNUMBER(MATCH($A108,TIPOS_OPCION_F,0)),TRUE,LEN(TRIM($F108))=0)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09">
      <x:formula1>IF(ISNUMBER(MATCH($A109,TIPOS_OPCION_F,0)),TRUE,LEN(TRIM($F109))=0)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">
      <x:formula1>IF(ISNUMBER(MATCH($A11,TIPOS_OPCION_F,0)),TRUE,LEN(TRIM($F11))=0)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0">
      <x:formula1>IF(ISNUMBER(MATCH($A110,TIPOS_OPCION_F,0)),TRUE,LEN(TRIM($F110))=0)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1">
      <x:formula1>IF(ISNUMBER(MATCH($A111,TIPOS_OPCION_F,0)),TRUE,LEN(TRIM($F111))=0)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2">
      <x:formula1>IF(ISNUMBER(MATCH($A112,TIPOS_OPCION_F,0)),TRUE,LEN(TRIM($F112))=0)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3">
      <x:formula1>IF(ISNUMBER(MATCH($A113,TIPOS_OPCION_F,0)),TRUE,LEN(TRIM($F113))=0)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4">
      <x:formula1>IF(ISNUMBER(MATCH($A114,TIPOS_OPCION_F,0)),TRUE,LEN(TRIM($F114))=0)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5">
      <x:formula1>IF(ISNUMBER(MATCH($A115,TIPOS_OPCION_F,0)),TRUE,LEN(TRIM($F115))=0)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6">
      <x:formula1>IF(ISNUMBER(MATCH($A116,TIPOS_OPCION_F,0)),TRUE,LEN(TRIM($F116))=0)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7">
      <x:formula1>IF(ISNUMBER(MATCH($A117,TIPOS_OPCION_F,0)),TRUE,LEN(TRIM($F117))=0)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8">
      <x:formula1>IF(ISNUMBER(MATCH($A118,TIPOS_OPCION_F,0)),TRUE,LEN(TRIM($F118))=0)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19">
      <x:formula1>IF(ISNUMBER(MATCH($A119,TIPOS_OPCION_F,0)),TRUE,LEN(TRIM($F119))=0)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2">
      <x:formula1>IF(ISNUMBER(MATCH($A12,TIPOS_OPCION_F,0)),TRUE,LEN(TRIM($F12))=0)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20">
      <x:formula1>IF(ISNUMBER(MATCH($A120,TIPOS_OPCION_F,0)),TRUE,LEN(TRIM($F120))=0)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21">
      <x:formula1>IF(ISNUMBER(MATCH($A121,TIPOS_OPCION_F,0)),TRUE,LEN(TRIM($F121))=0)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3">
      <x:formula1>IF(ISNUMBER(MATCH($A13,TIPOS_OPCION_F,0)),TRUE,LEN(TRIM($F13))=0)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4">
      <x:formula1>IF(ISNUMBER(MATCH($A14,TIPOS_OPCION_F,0)),TRUE,LEN(TRIM($F14))=0)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5">
      <x:formula1>IF(ISNUMBER(MATCH($A15,TIPOS_OPCION_F,0)),TRUE,LEN(TRIM($F15))=0)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6">
      <x:formula1>IF(ISNUMBER(MATCH($A16,TIPOS_OPCION_F,0)),TRUE,LEN(TRIM($F16))=0)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7">
      <x:formula1>IF(ISNUMBER(MATCH($A17,TIPOS_OPCION_F,0)),TRUE,LEN(TRIM($F17))=0)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8">
      <x:formula1>IF(ISNUMBER(MATCH($A18,TIPOS_OPCION_F,0)),TRUE,LEN(TRIM($F18))=0)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19">
      <x:formula1>IF(ISNUMBER(MATCH($A19,TIPOS_OPCION_F,0)),TRUE,LEN(TRIM($F19))=0)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">
      <x:formula1>IF(ISNUMBER(MATCH($A2,TIPOS_OPCION_F,0)),TRUE,LEN(TRIM($F2))=0)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0">
      <x:formula1>IF(ISNUMBER(MATCH($A20,TIPOS_OPCION_F,0)),TRUE,LEN(TRIM($F20))=0)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1">
      <x:formula1>IF(ISNUMBER(MATCH($A21,TIPOS_OPCION_F,0)),TRUE,LEN(TRIM($F21))=0)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2">
      <x:formula1>IF(ISNUMBER(MATCH($A22,TIPOS_OPCION_F,0)),TRUE,LEN(TRIM($F22))=0)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3">
      <x:formula1>IF(ISNUMBER(MATCH($A23,TIPOS_OPCION_F,0)),TRUE,LEN(TRIM($F23))=0)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4">
      <x:formula1>IF(ISNUMBER(MATCH($A24,TIPOS_OPCION_F,0)),TRUE,LEN(TRIM($F24))=0)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5">
      <x:formula1>IF(ISNUMBER(MATCH($A25,TIPOS_OPCION_F,0)),TRUE,LEN(TRIM($F25))=0)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6">
      <x:formula1>IF(ISNUMBER(MATCH($A26,TIPOS_OPCION_F,0)),TRUE,LEN(TRIM($F26))=0)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7">
      <x:formula1>IF(ISNUMBER(MATCH($A27,TIPOS_OPCION_F,0)),TRUE,LEN(TRIM($F27))=0)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8">
      <x:formula1>IF(ISNUMBER(MATCH($A28,TIPOS_OPCION_F,0)),TRUE,LEN(TRIM($F28))=0)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29">
      <x:formula1>IF(ISNUMBER(MATCH($A29,TIPOS_OPCION_F,0)),TRUE,LEN(TRIM($F29))=0)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">
      <x:formula1>IF(ISNUMBER(MATCH($A3,TIPOS_OPCION_F,0)),TRUE,LEN(TRIM($F3))=0)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0">
      <x:formula1>IF(ISNUMBER(MATCH($A30,TIPOS_OPCION_F,0)),TRUE,LEN(TRIM($F30))=0)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1">
      <x:formula1>IF(ISNUMBER(MATCH($A31,TIPOS_OPCION_F,0)),TRUE,LEN(TRIM($F31))=0)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2">
      <x:formula1>IF(ISNUMBER(MATCH($A32,TIPOS_OPCION_F,0)),TRUE,LEN(TRIM($F32))=0)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3">
      <x:formula1>IF(ISNUMBER(MATCH($A33,TIPOS_OPCION_F,0)),TRUE,LEN(TRIM($F33))=0)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4">
      <x:formula1>IF(ISNUMBER(MATCH($A34,TIPOS_OPCION_F,0)),TRUE,LEN(TRIM($F34))=0)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5">
      <x:formula1>IF(ISNUMBER(MATCH($A35,TIPOS_OPCION_F,0)),TRUE,LEN(TRIM($F35))=0)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6">
      <x:formula1>IF(ISNUMBER(MATCH($A36,TIPOS_OPCION_F,0)),TRUE,LEN(TRIM($F36))=0)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7">
      <x:formula1>IF(ISNUMBER(MATCH($A37,TIPOS_OPCION_F,0)),TRUE,LEN(TRIM($F37))=0)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8">
      <x:formula1>IF(ISNUMBER(MATCH($A38,TIPOS_OPCION_F,0)),TRUE,LEN(TRIM($F38))=0)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39">
      <x:formula1>IF(ISNUMBER(MATCH($A39,TIPOS_OPCION_F,0)),TRUE,LEN(TRIM($F39))=0)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">
      <x:formula1>IF(ISNUMBER(MATCH($A4,TIPOS_OPCION_F,0)),TRUE,LEN(TRIM($F4))=0)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0">
      <x:formula1>IF(ISNUMBER(MATCH($A40,TIPOS_OPCION_F,0)),TRUE,LEN(TRIM($F40))=0)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1">
      <x:formula1>IF(ISNUMBER(MATCH($A41,TIPOS_OPCION_F,0)),TRUE,LEN(TRIM($F41))=0)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2">
      <x:formula1>IF(ISNUMBER(MATCH($A42,TIPOS_OPCION_F,0)),TRUE,LEN(TRIM($F42))=0)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3">
      <x:formula1>IF(ISNUMBER(MATCH($A43,TIPOS_OPCION_F,0)),TRUE,LEN(TRIM($F43))=0)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4">
      <x:formula1>IF(ISNUMBER(MATCH($A44,TIPOS_OPCION_F,0)),TRUE,LEN(TRIM($F44))=0)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5">
      <x:formula1>IF(ISNUMBER(MATCH($A45,TIPOS_OPCION_F,0)),TRUE,LEN(TRIM($F45))=0)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6">
      <x:formula1>IF(ISNUMBER(MATCH($A46,TIPOS_OPCION_F,0)),TRUE,LEN(TRIM($F46))=0)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7">
      <x:formula1>IF(ISNUMBER(MATCH($A47,TIPOS_OPCION_F,0)),TRUE,LEN(TRIM($F47))=0)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8">
      <x:formula1>IF(ISNUMBER(MATCH($A48,TIPOS_OPCION_F,0)),TRUE,LEN(TRIM($F48))=0)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49">
      <x:formula1>IF(ISNUMBER(MATCH($A49,TIPOS_OPCION_F,0)),TRUE,LEN(TRIM($F49))=0)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">
      <x:formula1>IF(ISNUMBER(MATCH($A5,TIPOS_OPCION_F,0)),TRUE,LEN(TRIM($F5))=0)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0">
      <x:formula1>IF(ISNUMBER(MATCH($A50,TIPOS_OPCION_F,0)),TRUE,LEN(TRIM($F50))=0)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1">
      <x:formula1>IF(ISNUMBER(MATCH($A51,TIPOS_OPCION_F,0)),TRUE,LEN(TRIM($F51))=0)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2">
      <x:formula1>IF(ISNUMBER(MATCH($A52,TIPOS_OPCION_F,0)),TRUE,LEN(TRIM($F52))=0)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3">
      <x:formula1>IF(ISNUMBER(MATCH($A53,TIPOS_OPCION_F,0)),TRUE,LEN(TRIM($F53))=0)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4">
      <x:formula1>IF(ISNUMBER(MATCH($A54,TIPOS_OPCION_F,0)),TRUE,LEN(TRIM($F54))=0)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5">
      <x:formula1>IF(ISNUMBER(MATCH($A55,TIPOS_OPCION_F,0)),TRUE,LEN(TRIM($F55))=0)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6">
      <x:formula1>IF(ISNUMBER(MATCH($A56,TIPOS_OPCION_F,0)),TRUE,LEN(TRIM($F56))=0)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7">
      <x:formula1>IF(ISNUMBER(MATCH($A57,TIPOS_OPCION_F,0)),TRUE,LEN(TRIM($F57))=0)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8">
      <x:formula1>IF(ISNUMBER(MATCH($A58,TIPOS_OPCION_F,0)),TRUE,LEN(TRIM($F58))=0)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59">
      <x:formula1>IF(ISNUMBER(MATCH($A59,TIPOS_OPCION_F,0)),TRUE,LEN(TRIM($F59))=0)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">
      <x:formula1>IF(ISNUMBER(MATCH($A6,TIPOS_OPCION_F,0)),TRUE,LEN(TRIM($F6))=0)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0">
      <x:formula1>IF(ISNUMBER(MATCH($A60,TIPOS_OPCION_F,0)),TRUE,LEN(TRIM($F60))=0)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1">
      <x:formula1>IF(ISNUMBER(MATCH($A61,TIPOS_OPCION_F,0)),TRUE,LEN(TRIM($F61))=0)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2">
      <x:formula1>IF(ISNUMBER(MATCH($A62,TIPOS_OPCION_F,0)),TRUE,LEN(TRIM($F62))=0)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3">
      <x:formula1>IF(ISNUMBER(MATCH($A63,TIPOS_OPCION_F,0)),TRUE,LEN(TRIM($F63))=0)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4">
      <x:formula1>IF(ISNUMBER(MATCH($A64,TIPOS_OPCION_F,0)),TRUE,LEN(TRIM($F64))=0)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5">
      <x:formula1>IF(ISNUMBER(MATCH($A65,TIPOS_OPCION_F,0)),TRUE,LEN(TRIM($F65))=0)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6">
      <x:formula1>IF(ISNUMBER(MATCH($A66,TIPOS_OPCION_F,0)),TRUE,LEN(TRIM($F66))=0)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7">
      <x:formula1>IF(ISNUMBER(MATCH($A67,TIPOS_OPCION_F,0)),TRUE,LEN(TRIM($F67))=0)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8">
      <x:formula1>IF(ISNUMBER(MATCH($A68,TIPOS_OPCION_F,0)),TRUE,LEN(TRIM($F68))=0)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69">
      <x:formula1>IF(ISNUMBER(MATCH($A69,TIPOS_OPCION_F,0)),TRUE,LEN(TRIM($F69))=0)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">
      <x:formula1>IF(ISNUMBER(MATCH($A7,TIPOS_OPCION_F,0)),TRUE,LEN(TRIM($F7))=0)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0">
      <x:formula1>IF(ISNUMBER(MATCH($A70,TIPOS_OPCION_F,0)),TRUE,LEN(TRIM($F70))=0)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1">
      <x:formula1>IF(ISNUMBER(MATCH($A71,TIPOS_OPCION_F,0)),TRUE,LEN(TRIM($F71))=0)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2">
      <x:formula1>IF(ISNUMBER(MATCH($A72,TIPOS_OPCION_F,0)),TRUE,LEN(TRIM($F72))=0)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3">
      <x:formula1>IF(ISNUMBER(MATCH($A73,TIPOS_OPCION_F,0)),TRUE,LEN(TRIM($F73))=0)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4">
      <x:formula1>IF(ISNUMBER(MATCH($A74,TIPOS_OPCION_F,0)),TRUE,LEN(TRIM($F74))=0)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5">
      <x:formula1>IF(ISNUMBER(MATCH($A75,TIPOS_OPCION_F,0)),TRUE,LEN(TRIM($F75))=0)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6">
      <x:formula1>IF(ISNUMBER(MATCH($A76,TIPOS_OPCION_F,0)),TRUE,LEN(TRIM($F76))=0)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7">
      <x:formula1>IF(ISNUMBER(MATCH($A77,TIPOS_OPCION_F,0)),TRUE,LEN(TRIM($F77))=0)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8">
      <x:formula1>IF(ISNUMBER(MATCH($A78,TIPOS_OPCION_F,0)),TRUE,LEN(TRIM($F78))=0)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79">
      <x:formula1>IF(ISNUMBER(MATCH($A79,TIPOS_OPCION_F,0)),TRUE,LEN(TRIM($F79))=0)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">
      <x:formula1>IF(ISNUMBER(MATCH($A8,TIPOS_OPCION_F,0)),TRUE,LEN(TRIM($F8))=0)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0">
      <x:formula1>IF(ISNUMBER(MATCH($A80,TIPOS_OPCION_F,0)),TRUE,LEN(TRIM($F80))=0)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1">
      <x:formula1>IF(ISNUMBER(MATCH($A81,TIPOS_OPCION_F,0)),TRUE,LEN(TRIM($F81))=0)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2">
      <x:formula1>IF(ISNUMBER(MATCH($A82,TIPOS_OPCION_F,0)),TRUE,LEN(TRIM($F82))=0)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3">
      <x:formula1>IF(ISNUMBER(MATCH($A83,TIPOS_OPCION_F,0)),TRUE,LEN(TRIM($F83))=0)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4">
      <x:formula1>IF(ISNUMBER(MATCH($A84,TIPOS_OPCION_F,0)),TRUE,LEN(TRIM($F84))=0)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5">
      <x:formula1>IF(ISNUMBER(MATCH($A85,TIPOS_OPCION_F,0)),TRUE,LEN(TRIM($F85))=0)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6">
      <x:formula1>IF(ISNUMBER(MATCH($A86,TIPOS_OPCION_F,0)),TRUE,LEN(TRIM($F86))=0)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7">
      <x:formula1>IF(ISNUMBER(MATCH($A87,TIPOS_OPCION_F,0)),TRUE,LEN(TRIM($F87))=0)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8">
      <x:formula1>IF(ISNUMBER(MATCH($A88,TIPOS_OPCION_F,0)),TRUE,LEN(TRIM($F88))=0)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89">
      <x:formula1>IF(ISNUMBER(MATCH($A89,TIPOS_OPCION_F,0)),TRUE,LEN(TRIM($F89))=0)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">
      <x:formula1>IF(ISNUMBER(MATCH($A9,TIPOS_OPCION_F,0)),TRUE,LEN(TRIM($F9))=0)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0">
      <x:formula1>IF(ISNUMBER(MATCH($A90,TIPOS_OPCION_F,0)),TRUE,LEN(TRIM($F90))=0)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1">
      <x:formula1>IF(ISNUMBER(MATCH($A91,TIPOS_OPCION_F,0)),TRUE,LEN(TRIM($F91))=0)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2">
      <x:formula1>IF(ISNUMBER(MATCH($A92,TIPOS_OPCION_F,0)),TRUE,LEN(TRIM($F92))=0)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3">
      <x:formula1>IF(ISNUMBER(MATCH($A93,TIPOS_OPCION_F,0)),TRUE,LEN(TRIM($F93))=0)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4">
      <x:formula1>IF(ISNUMBER(MATCH($A94,TIPOS_OPCION_F,0)),TRUE,LEN(TRIM($F94))=0)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5">
      <x:formula1>IF(ISNUMBER(MATCH($A95,TIPOS_OPCION_F,0)),TRUE,LEN(TRIM($F95))=0)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6">
      <x:formula1>IF(ISNUMBER(MATCH($A96,TIPOS_OPCION_F,0)),TRUE,LEN(TRIM($F96))=0)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7">
      <x:formula1>IF(ISNUMBER(MATCH($A97,TIPOS_OPCION_F,0)),TRUE,LEN(TRIM($F97))=0)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8">
      <x:formula1>IF(ISNUMBER(MATCH($A98,TIPOS_OPCION_F,0)),TRUE,LEN(TRIM($F98))=0)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F99">
      <x:formula1>IF(ISNUMBER(MATCH($A99,TIPOS_OPCION_F,0)),TRUE,LEN(TRIM($F99))=0)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">
      <x:formula1>IF(ISNUMBER(MATCH($A10,TIPOS_OPCION_G,0)),TRUE,LEN(TRIM($G10))=0)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0">
      <x:formula1>IF(ISNUMBER(MATCH($A100,TIPOS_OPCION_G,0)),TRUE,LEN(TRIM($G100))=0)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1">
      <x:formula1>IF(ISNUMBER(MATCH($A101,TIPOS_OPCION_G,0)),TRUE,LEN(TRIM($G101))=0)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2">
      <x:formula1>IF(ISNUMBER(MATCH($A102,TIPOS_OPCION_G,0)),TRUE,LEN(TRIM($G102))=0)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3">
      <x:formula1>IF(ISNUMBER(MATCH($A103,TIPOS_OPCION_G,0)),TRUE,LEN(TRIM($G103))=0)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4">
      <x:formula1>IF(ISNUMBER(MATCH($A104,TIPOS_OPCION_G,0)),TRUE,LEN(TRIM($G104))=0)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5">
      <x:formula1>IF(ISNUMBER(MATCH($A105,TIPOS_OPCION_G,0)),TRUE,LEN(TRIM($G105))=0)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6">
      <x:formula1>IF(ISNUMBER(MATCH($A106,TIPOS_OPCION_G,0)),TRUE,LEN(TRIM($G106))=0)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7">
      <x:formula1>IF(ISNUMBER(MATCH($A107,TIPOS_OPCION_G,0)),TRUE,LEN(TRIM($G107))=0)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8">
      <x:formula1>IF(ISNUMBER(MATCH($A108,TIPOS_OPCION_G,0)),TRUE,LEN(TRIM($G108))=0)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09">
      <x:formula1>IF(ISNUMBER(MATCH($A109,TIPOS_OPCION_G,0)),TRUE,LEN(TRIM($G109))=0)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">
      <x:formula1>IF(ISNUMBER(MATCH($A11,TIPOS_OPCION_G,0)),TRUE,LEN(TRIM($G11))=0)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0">
      <x:formula1>IF(ISNUMBER(MATCH($A110,TIPOS_OPCION_G,0)),TRUE,LEN(TRIM($G110))=0)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1">
      <x:formula1>IF(ISNUMBER(MATCH($A111,TIPOS_OPCION_G,0)),TRUE,LEN(TRIM($G111))=0)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2">
      <x:formula1>IF(ISNUMBER(MATCH($A112,TIPOS_OPCION_G,0)),TRUE,LEN(TRIM($G112))=0)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3">
      <x:formula1>IF(ISNUMBER(MATCH($A113,TIPOS_OPCION_G,0)),TRUE,LEN(TRIM($G113))=0)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4">
      <x:formula1>IF(ISNUMBER(MATCH($A114,TIPOS_OPCION_G,0)),TRUE,LEN(TRIM($G114))=0)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5">
      <x:formula1>IF(ISNUMBER(MATCH($A115,TIPOS_OPCION_G,0)),TRUE,LEN(TRIM($G115))=0)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6">
      <x:formula1>IF(ISNUMBER(MATCH($A116,TIPOS_OPCION_G,0)),TRUE,LEN(TRIM($G116))=0)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7">
      <x:formula1>IF(ISNUMBER(MATCH($A117,TIPOS_OPCION_G,0)),TRUE,LEN(TRIM($G117))=0)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8">
      <x:formula1>IF(ISNUMBER(MATCH($A118,TIPOS_OPCION_G,0)),TRUE,LEN(TRIM($G118))=0)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19">
      <x:formula1>IF(ISNUMBER(MATCH($A119,TIPOS_OPCION_G,0)),TRUE,LEN(TRIM($G119))=0)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2">
      <x:formula1>IF(ISNUMBER(MATCH($A12,TIPOS_OPCION_G,0)),TRUE,LEN(TRIM($G12))=0)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20">
      <x:formula1>IF(ISNUMBER(MATCH($A120,TIPOS_OPCION_G,0)),TRUE,LEN(TRIM($G120))=0)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21">
      <x:formula1>IF(ISNUMBER(MATCH($A121,TIPOS_OPCION_G,0)),TRUE,LEN(TRIM($G121))=0)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3">
      <x:formula1>IF(ISNUMBER(MATCH($A13,TIPOS_OPCION_G,0)),TRUE,LEN(TRIM($G13))=0)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4">
      <x:formula1>IF(ISNUMBER(MATCH($A14,TIPOS_OPCION_G,0)),TRUE,LEN(TRIM($G14))=0)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5">
      <x:formula1>IF(ISNUMBER(MATCH($A15,TIPOS_OPCION_G,0)),TRUE,LEN(TRIM($G15))=0)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6">
      <x:formula1>IF(ISNUMBER(MATCH($A16,TIPOS_OPCION_G,0)),TRUE,LEN(TRIM($G16))=0)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7">
      <x:formula1>IF(ISNUMBER(MATCH($A17,TIPOS_OPCION_G,0)),TRUE,LEN(TRIM($G17))=0)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8">
      <x:formula1>IF(ISNUMBER(MATCH($A18,TIPOS_OPCION_G,0)),TRUE,LEN(TRIM($G18))=0)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19">
      <x:formula1>IF(ISNUMBER(MATCH($A19,TIPOS_OPCION_G,0)),TRUE,LEN(TRIM($G19))=0)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">
      <x:formula1>IF(ISNUMBER(MATCH($A2,TIPOS_OPCION_G,0)),TRUE,LEN(TRIM($G2))=0)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0">
      <x:formula1>IF(ISNUMBER(MATCH($A20,TIPOS_OPCION_G,0)),TRUE,LEN(TRIM($G20))=0)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1">
      <x:formula1>IF(ISNUMBER(MATCH($A21,TIPOS_OPCION_G,0)),TRUE,LEN(TRIM($G21))=0)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2">
      <x:formula1>IF(ISNUMBER(MATCH($A22,TIPOS_OPCION_G,0)),TRUE,LEN(TRIM($G22))=0)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3">
      <x:formula1>IF(ISNUMBER(MATCH($A23,TIPOS_OPCION_G,0)),TRUE,LEN(TRIM($G23))=0)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4">
      <x:formula1>IF(ISNUMBER(MATCH($A24,TIPOS_OPCION_G,0)),TRUE,LEN(TRIM($G24))=0)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5">
      <x:formula1>IF(ISNUMBER(MATCH($A25,TIPOS_OPCION_G,0)),TRUE,LEN(TRIM($G25))=0)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6">
      <x:formula1>IF(ISNUMBER(MATCH($A26,TIPOS_OPCION_G,0)),TRUE,LEN(TRIM($G26))=0)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7">
      <x:formula1>IF(ISNUMBER(MATCH($A27,TIPOS_OPCION_G,0)),TRUE,LEN(TRIM($G27))=0)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8">
      <x:formula1>IF(ISNUMBER(MATCH($A28,TIPOS_OPCION_G,0)),TRUE,LEN(TRIM($G28))=0)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29">
      <x:formula1>IF(ISNUMBER(MATCH($A29,TIPOS_OPCION_G,0)),TRUE,LEN(TRIM($G29))=0)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">
      <x:formula1>IF(ISNUMBER(MATCH($A3,TIPOS_OPCION_G,0)),TRUE,LEN(TRIM($G3))=0)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0">
      <x:formula1>IF(ISNUMBER(MATCH($A30,TIPOS_OPCION_G,0)),TRUE,LEN(TRIM($G30))=0)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1">
      <x:formula1>IF(ISNUMBER(MATCH($A31,TIPOS_OPCION_G,0)),TRUE,LEN(TRIM($G31))=0)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2">
      <x:formula1>IF(ISNUMBER(MATCH($A32,TIPOS_OPCION_G,0)),TRUE,LEN(TRIM($G32))=0)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3">
      <x:formula1>IF(ISNUMBER(MATCH($A33,TIPOS_OPCION_G,0)),TRUE,LEN(TRIM($G33))=0)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4">
      <x:formula1>IF(ISNUMBER(MATCH($A34,TIPOS_OPCION_G,0)),TRUE,LEN(TRIM($G34))=0)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5">
      <x:formula1>IF(ISNUMBER(MATCH($A35,TIPOS_OPCION_G,0)),TRUE,LEN(TRIM($G35))=0)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6">
      <x:formula1>IF(ISNUMBER(MATCH($A36,TIPOS_OPCION_G,0)),TRUE,LEN(TRIM($G36))=0)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7">
      <x:formula1>IF(ISNUMBER(MATCH($A37,TIPOS_OPCION_G,0)),TRUE,LEN(TRIM($G37))=0)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8">
      <x:formula1>IF(ISNUMBER(MATCH($A38,TIPOS_OPCION_G,0)),TRUE,LEN(TRIM($G38))=0)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39">
      <x:formula1>IF(ISNUMBER(MATCH($A39,TIPOS_OPCION_G,0)),TRUE,LEN(TRIM($G39))=0)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">
      <x:formula1>IF(ISNUMBER(MATCH($A4,TIPOS_OPCION_G,0)),TRUE,LEN(TRIM($G4))=0)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0">
      <x:formula1>IF(ISNUMBER(MATCH($A40,TIPOS_OPCION_G,0)),TRUE,LEN(TRIM($G40))=0)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1">
      <x:formula1>IF(ISNUMBER(MATCH($A41,TIPOS_OPCION_G,0)),TRUE,LEN(TRIM($G41))=0)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2">
      <x:formula1>IF(ISNUMBER(MATCH($A42,TIPOS_OPCION_G,0)),TRUE,LEN(TRIM($G42))=0)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3">
      <x:formula1>IF(ISNUMBER(MATCH($A43,TIPOS_OPCION_G,0)),TRUE,LEN(TRIM($G43))=0)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4">
      <x:formula1>IF(ISNUMBER(MATCH($A44,TIPOS_OPCION_G,0)),TRUE,LEN(TRIM($G44))=0)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5">
      <x:formula1>IF(ISNUMBER(MATCH($A45,TIPOS_OPCION_G,0)),TRUE,LEN(TRIM($G45))=0)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6">
      <x:formula1>IF(ISNUMBER(MATCH($A46,TIPOS_OPCION_G,0)),TRUE,LEN(TRIM($G46))=0)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7">
      <x:formula1>IF(ISNUMBER(MATCH($A47,TIPOS_OPCION_G,0)),TRUE,LEN(TRIM($G47))=0)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8">
      <x:formula1>IF(ISNUMBER(MATCH($A48,TIPOS_OPCION_G,0)),TRUE,LEN(TRIM($G48))=0)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49">
      <x:formula1>IF(ISNUMBER(MATCH($A49,TIPOS_OPCION_G,0)),TRUE,LEN(TRIM($G49))=0)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">
      <x:formula1>IF(ISNUMBER(MATCH($A5,TIPOS_OPCION_G,0)),TRUE,LEN(TRIM($G5))=0)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0">
      <x:formula1>IF(ISNUMBER(MATCH($A50,TIPOS_OPCION_G,0)),TRUE,LEN(TRIM($G50))=0)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1">
      <x:formula1>IF(ISNUMBER(MATCH($A51,TIPOS_OPCION_G,0)),TRUE,LEN(TRIM($G51))=0)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2">
      <x:formula1>IF(ISNUMBER(MATCH($A52,TIPOS_OPCION_G,0)),TRUE,LEN(TRIM($G52))=0)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3">
      <x:formula1>IF(ISNUMBER(MATCH($A53,TIPOS_OPCION_G,0)),TRUE,LEN(TRIM($G53))=0)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4">
      <x:formula1>IF(ISNUMBER(MATCH($A54,TIPOS_OPCION_G,0)),TRUE,LEN(TRIM($G54))=0)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5">
      <x:formula1>IF(ISNUMBER(MATCH($A55,TIPOS_OPCION_G,0)),TRUE,LEN(TRIM($G55))=0)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6">
      <x:formula1>IF(ISNUMBER(MATCH($A56,TIPOS_OPCION_G,0)),TRUE,LEN(TRIM($G56))=0)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7">
      <x:formula1>IF(ISNUMBER(MATCH($A57,TIPOS_OPCION_G,0)),TRUE,LEN(TRIM($G57))=0)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8">
      <x:formula1>IF(ISNUMBER(MATCH($A58,TIPOS_OPCION_G,0)),TRUE,LEN(TRIM($G58))=0)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59">
      <x:formula1>IF(ISNUMBER(MATCH($A59,TIPOS_OPCION_G,0)),TRUE,LEN(TRIM($G59))=0)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">
      <x:formula1>IF(ISNUMBER(MATCH($A6,TIPOS_OPCION_G,0)),TRUE,LEN(TRIM($G6))=0)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0">
      <x:formula1>IF(ISNUMBER(MATCH($A60,TIPOS_OPCION_G,0)),TRUE,LEN(TRIM($G60))=0)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1">
      <x:formula1>IF(ISNUMBER(MATCH($A61,TIPOS_OPCION_G,0)),TRUE,LEN(TRIM($G61))=0)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2">
      <x:formula1>IF(ISNUMBER(MATCH($A62,TIPOS_OPCION_G,0)),TRUE,LEN(TRIM($G62))=0)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3">
      <x:formula1>IF(ISNUMBER(MATCH($A63,TIPOS_OPCION_G,0)),TRUE,LEN(TRIM($G63))=0)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4">
      <x:formula1>IF(ISNUMBER(MATCH($A64,TIPOS_OPCION_G,0)),TRUE,LEN(TRIM($G64))=0)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5">
      <x:formula1>IF(ISNUMBER(MATCH($A65,TIPOS_OPCION_G,0)),TRUE,LEN(TRIM($G65))=0)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6">
      <x:formula1>IF(ISNUMBER(MATCH($A66,TIPOS_OPCION_G,0)),TRUE,LEN(TRIM($G66))=0)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7">
      <x:formula1>IF(ISNUMBER(MATCH($A67,TIPOS_OPCION_G,0)),TRUE,LEN(TRIM($G67))=0)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8">
      <x:formula1>IF(ISNUMBER(MATCH($A68,TIPOS_OPCION_G,0)),TRUE,LEN(TRIM($G68))=0)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69">
      <x:formula1>IF(ISNUMBER(MATCH($A69,TIPOS_OPCION_G,0)),TRUE,LEN(TRIM($G69))=0)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">
      <x:formula1>IF(ISNUMBER(MATCH($A7,TIPOS_OPCION_G,0)),TRUE,LEN(TRIM($G7))=0)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0">
      <x:formula1>IF(ISNUMBER(MATCH($A70,TIPOS_OPCION_G,0)),TRUE,LEN(TRIM($G70))=0)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1">
      <x:formula1>IF(ISNUMBER(MATCH($A71,TIPOS_OPCION_G,0)),TRUE,LEN(TRIM($G71))=0)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2">
      <x:formula1>IF(ISNUMBER(MATCH($A72,TIPOS_OPCION_G,0)),TRUE,LEN(TRIM($G72))=0)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3">
      <x:formula1>IF(ISNUMBER(MATCH($A73,TIPOS_OPCION_G,0)),TRUE,LEN(TRIM($G73))=0)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4">
      <x:formula1>IF(ISNUMBER(MATCH($A74,TIPOS_OPCION_G,0)),TRUE,LEN(TRIM($G74))=0)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5">
      <x:formula1>IF(ISNUMBER(MATCH($A75,TIPOS_OPCION_G,0)),TRUE,LEN(TRIM($G75))=0)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6">
      <x:formula1>IF(ISNUMBER(MATCH($A76,TIPOS_OPCION_G,0)),TRUE,LEN(TRIM($G76))=0)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7">
      <x:formula1>IF(ISNUMBER(MATCH($A77,TIPOS_OPCION_G,0)),TRUE,LEN(TRIM($G77))=0)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8">
      <x:formula1>IF(ISNUMBER(MATCH($A78,TIPOS_OPCION_G,0)),TRUE,LEN(TRIM($G78))=0)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79">
      <x:formula1>IF(ISNUMBER(MATCH($A79,TIPOS_OPCION_G,0)),TRUE,LEN(TRIM($G79))=0)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">
      <x:formula1>IF(ISNUMBER(MATCH($A8,TIPOS_OPCION_G,0)),TRUE,LEN(TRIM($G8))=0)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0">
      <x:formula1>IF(ISNUMBER(MATCH($A80,TIPOS_OPCION_G,0)),TRUE,LEN(TRIM($G80))=0)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1">
      <x:formula1>IF(ISNUMBER(MATCH($A81,TIPOS_OPCION_G,0)),TRUE,LEN(TRIM($G81))=0)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2">
      <x:formula1>IF(ISNUMBER(MATCH($A82,TIPOS_OPCION_G,0)),TRUE,LEN(TRIM($G82))=0)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3">
      <x:formula1>IF(ISNUMBER(MATCH($A83,TIPOS_OPCION_G,0)),TRUE,LEN(TRIM($G83))=0)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4">
      <x:formula1>IF(ISNUMBER(MATCH($A84,TIPOS_OPCION_G,0)),TRUE,LEN(TRIM($G84))=0)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5">
      <x:formula1>IF(ISNUMBER(MATCH($A85,TIPOS_OPCION_G,0)),TRUE,LEN(TRIM($G85))=0)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6">
      <x:formula1>IF(ISNUMBER(MATCH($A86,TIPOS_OPCION_G,0)),TRUE,LEN(TRIM($G86))=0)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7">
      <x:formula1>IF(ISNUMBER(MATCH($A87,TIPOS_OPCION_G,0)),TRUE,LEN(TRIM($G87))=0)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8">
      <x:formula1>IF(ISNUMBER(MATCH($A88,TIPOS_OPCION_G,0)),TRUE,LEN(TRIM($G88))=0)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89">
      <x:formula1>IF(ISNUMBER(MATCH($A89,TIPOS_OPCION_G,0)),TRUE,LEN(TRIM($G89))=0)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">
      <x:formula1>IF(ISNUMBER(MATCH($A9,TIPOS_OPCION_G,0)),TRUE,LEN(TRIM($G9))=0)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0">
      <x:formula1>IF(ISNUMBER(MATCH($A90,TIPOS_OPCION_G,0)),TRUE,LEN(TRIM($G90))=0)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1">
      <x:formula1>IF(ISNUMBER(MATCH($A91,TIPOS_OPCION_G,0)),TRUE,LEN(TRIM($G91))=0)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2">
      <x:formula1>IF(ISNUMBER(MATCH($A92,TIPOS_OPCION_G,0)),TRUE,LEN(TRIM($G92))=0)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3">
      <x:formula1>IF(ISNUMBER(MATCH($A93,TIPOS_OPCION_G,0)),TRUE,LEN(TRIM($G93))=0)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4">
      <x:formula1>IF(ISNUMBER(MATCH($A94,TIPOS_OPCION_G,0)),TRUE,LEN(TRIM($G94))=0)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5">
      <x:formula1>IF(ISNUMBER(MATCH($A95,TIPOS_OPCION_G,0)),TRUE,LEN(TRIM($G95))=0)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6">
      <x:formula1>IF(ISNUMBER(MATCH($A96,TIPOS_OPCION_G,0)),TRUE,LEN(TRIM($G96))=0)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7">
      <x:formula1>IF(ISNUMBER(MATCH($A97,TIPOS_OPCION_G,0)),TRUE,LEN(TRIM($G97))=0)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8">
      <x:formula1>IF(ISNUMBER(MATCH($A98,TIPOS_OPCION_G,0)),TRUE,LEN(TRIM($G98))=0)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G99">
      <x:formula1>IF(ISNUMBER(MATCH($A99,TIPOS_OPCION_G,0)),TRUE,LEN(TRIM($G99))=0)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">
      <x:formula1>IF(ISNUMBER(MATCH($A10,TIPOS_OPCION_H,0)),TRUE,LEN(TRIM($H10))=0)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0">
      <x:formula1>IF(ISNUMBER(MATCH($A100,TIPOS_OPCION_H,0)),TRUE,LEN(TRIM($H100))=0)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1">
      <x:formula1>IF(ISNUMBER(MATCH($A101,TIPOS_OPCION_H,0)),TRUE,LEN(TRIM($H101))=0)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2">
      <x:formula1>IF(ISNUMBER(MATCH($A102,TIPOS_OPCION_H,0)),TRUE,LEN(TRIM($H102))=0)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3">
      <x:formula1>IF(ISNUMBER(MATCH($A103,TIPOS_OPCION_H,0)),TRUE,LEN(TRIM($H103))=0)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4">
      <x:formula1>IF(ISNUMBER(MATCH($A104,TIPOS_OPCION_H,0)),TRUE,LEN(TRIM($H104))=0)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5">
      <x:formula1>IF(ISNUMBER(MATCH($A105,TIPOS_OPCION_H,0)),TRUE,LEN(TRIM($H105))=0)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6">
      <x:formula1>IF(ISNUMBER(MATCH($A106,TIPOS_OPCION_H,0)),TRUE,LEN(TRIM($H106))=0)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7">
      <x:formula1>IF(ISNUMBER(MATCH($A107,TIPOS_OPCION_H,0)),TRUE,LEN(TRIM($H107))=0)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8">
      <x:formula1>IF(ISNUMBER(MATCH($A108,TIPOS_OPCION_H,0)),TRUE,LEN(TRIM($H108))=0)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09">
      <x:formula1>IF(ISNUMBER(MATCH($A109,TIPOS_OPCION_H,0)),TRUE,LEN(TRIM($H109))=0)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">
      <x:formula1>IF(ISNUMBER(MATCH($A11,TIPOS_OPCION_H,0)),TRUE,LEN(TRIM($H11))=0)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0">
      <x:formula1>IF(ISNUMBER(MATCH($A110,TIPOS_OPCION_H,0)),TRUE,LEN(TRIM($H110))=0)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1">
      <x:formula1>IF(ISNUMBER(MATCH($A111,TIPOS_OPCION_H,0)),TRUE,LEN(TRIM($H111))=0)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2">
      <x:formula1>IF(ISNUMBER(MATCH($A112,TIPOS_OPCION_H,0)),TRUE,LEN(TRIM($H112))=0)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3">
      <x:formula1>IF(ISNUMBER(MATCH($A113,TIPOS_OPCION_H,0)),TRUE,LEN(TRIM($H113))=0)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4">
      <x:formula1>IF(ISNUMBER(MATCH($A114,TIPOS_OPCION_H,0)),TRUE,LEN(TRIM($H114))=0)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5">
      <x:formula1>IF(ISNUMBER(MATCH($A115,TIPOS_OPCION_H,0)),TRUE,LEN(TRIM($H115))=0)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6">
      <x:formula1>IF(ISNUMBER(MATCH($A116,TIPOS_OPCION_H,0)),TRUE,LEN(TRIM($H116))=0)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7">
      <x:formula1>IF(ISNUMBER(MATCH($A117,TIPOS_OPCION_H,0)),TRUE,LEN(TRIM($H117))=0)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8">
      <x:formula1>IF(ISNUMBER(MATCH($A118,TIPOS_OPCION_H,0)),TRUE,LEN(TRIM($H118))=0)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19">
      <x:formula1>IF(ISNUMBER(MATCH($A119,TIPOS_OPCION_H,0)),TRUE,LEN(TRIM($H119))=0)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2">
      <x:formula1>IF(ISNUMBER(MATCH($A12,TIPOS_OPCION_H,0)),TRUE,LEN(TRIM($H12))=0)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20">
      <x:formula1>IF(ISNUMBER(MATCH($A120,TIPOS_OPCION_H,0)),TRUE,LEN(TRIM($H120))=0)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21">
      <x:formula1>IF(ISNUMBER(MATCH($A121,TIPOS_OPCION_H,0)),TRUE,LEN(TRIM($H121))=0)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3">
      <x:formula1>IF(ISNUMBER(MATCH($A13,TIPOS_OPCION_H,0)),TRUE,LEN(TRIM($H13))=0)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4">
      <x:formula1>IF(ISNUMBER(MATCH($A14,TIPOS_OPCION_H,0)),TRUE,LEN(TRIM($H14))=0)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5">
      <x:formula1>IF(ISNUMBER(MATCH($A15,TIPOS_OPCION_H,0)),TRUE,LEN(TRIM($H15))=0)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6">
      <x:formula1>IF(ISNUMBER(MATCH($A16,TIPOS_OPCION_H,0)),TRUE,LEN(TRIM($H16))=0)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7">
      <x:formula1>IF(ISNUMBER(MATCH($A17,TIPOS_OPCION_H,0)),TRUE,LEN(TRIM($H17))=0)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8">
      <x:formula1>IF(ISNUMBER(MATCH($A18,TIPOS_OPCION_H,0)),TRUE,LEN(TRIM($H18))=0)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19">
      <x:formula1>IF(ISNUMBER(MATCH($A19,TIPOS_OPCION_H,0)),TRUE,LEN(TRIM($H19))=0)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">
      <x:formula1>IF(ISNUMBER(MATCH($A2,TIPOS_OPCION_H,0)),TRUE,LEN(TRIM($H2))=0)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0">
      <x:formula1>IF(ISNUMBER(MATCH($A20,TIPOS_OPCION_H,0)),TRUE,LEN(TRIM($H20))=0)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1">
      <x:formula1>IF(ISNUMBER(MATCH($A21,TIPOS_OPCION_H,0)),TRUE,LEN(TRIM($H21))=0)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2">
      <x:formula1>IF(ISNUMBER(MATCH($A22,TIPOS_OPCION_H,0)),TRUE,LEN(TRIM($H22))=0)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3">
      <x:formula1>IF(ISNUMBER(MATCH($A23,TIPOS_OPCION_H,0)),TRUE,LEN(TRIM($H23))=0)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4">
      <x:formula1>IF(ISNUMBER(MATCH($A24,TIPOS_OPCION_H,0)),TRUE,LEN(TRIM($H24))=0)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5">
      <x:formula1>IF(ISNUMBER(MATCH($A25,TIPOS_OPCION_H,0)),TRUE,LEN(TRIM($H25))=0)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6">
      <x:formula1>IF(ISNUMBER(MATCH($A26,TIPOS_OPCION_H,0)),TRUE,LEN(TRIM($H26))=0)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7">
      <x:formula1>IF(ISNUMBER(MATCH($A27,TIPOS_OPCION_H,0)),TRUE,LEN(TRIM($H27))=0)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8">
      <x:formula1>IF(ISNUMBER(MATCH($A28,TIPOS_OPCION_H,0)),TRUE,LEN(TRIM($H28))=0)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29">
      <x:formula1>IF(ISNUMBER(MATCH($A29,TIPOS_OPCION_H,0)),TRUE,LEN(TRIM($H29))=0)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">
      <x:formula1>IF(ISNUMBER(MATCH($A3,TIPOS_OPCION_H,0)),TRUE,LEN(TRIM($H3))=0)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0">
      <x:formula1>IF(ISNUMBER(MATCH($A30,TIPOS_OPCION_H,0)),TRUE,LEN(TRIM($H30))=0)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1">
      <x:formula1>IF(ISNUMBER(MATCH($A31,TIPOS_OPCION_H,0)),TRUE,LEN(TRIM($H31))=0)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2">
      <x:formula1>IF(ISNUMBER(MATCH($A32,TIPOS_OPCION_H,0)),TRUE,LEN(TRIM($H32))=0)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3">
      <x:formula1>IF(ISNUMBER(MATCH($A33,TIPOS_OPCION_H,0)),TRUE,LEN(TRIM($H33))=0)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4">
      <x:formula1>IF(ISNUMBER(MATCH($A34,TIPOS_OPCION_H,0)),TRUE,LEN(TRIM($H34))=0)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5">
      <x:formula1>IF(ISNUMBER(MATCH($A35,TIPOS_OPCION_H,0)),TRUE,LEN(TRIM($H35))=0)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6">
      <x:formula1>IF(ISNUMBER(MATCH($A36,TIPOS_OPCION_H,0)),TRUE,LEN(TRIM($H36))=0)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7">
      <x:formula1>IF(ISNUMBER(MATCH($A37,TIPOS_OPCION_H,0)),TRUE,LEN(TRIM($H37))=0)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8">
      <x:formula1>IF(ISNUMBER(MATCH($A38,TIPOS_OPCION_H,0)),TRUE,LEN(TRIM($H38))=0)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39">
      <x:formula1>IF(ISNUMBER(MATCH($A39,TIPOS_OPCION_H,0)),TRUE,LEN(TRIM($H39))=0)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">
      <x:formula1>IF(ISNUMBER(MATCH($A4,TIPOS_OPCION_H,0)),TRUE,LEN(TRIM($H4))=0)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0">
      <x:formula1>IF(ISNUMBER(MATCH($A40,TIPOS_OPCION_H,0)),TRUE,LEN(TRIM($H40))=0)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1">
      <x:formula1>IF(ISNUMBER(MATCH($A41,TIPOS_OPCION_H,0)),TRUE,LEN(TRIM($H41))=0)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2">
      <x:formula1>IF(ISNUMBER(MATCH($A42,TIPOS_OPCION_H,0)),TRUE,LEN(TRIM($H42))=0)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3">
      <x:formula1>IF(ISNUMBER(MATCH($A43,TIPOS_OPCION_H,0)),TRUE,LEN(TRIM($H43))=0)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4">
      <x:formula1>IF(ISNUMBER(MATCH($A44,TIPOS_OPCION_H,0)),TRUE,LEN(TRIM($H44))=0)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5">
      <x:formula1>IF(ISNUMBER(MATCH($A45,TIPOS_OPCION_H,0)),TRUE,LEN(TRIM($H45))=0)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6">
      <x:formula1>IF(ISNUMBER(MATCH($A46,TIPOS_OPCION_H,0)),TRUE,LEN(TRIM($H46))=0)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7">
      <x:formula1>IF(ISNUMBER(MATCH($A47,TIPOS_OPCION_H,0)),TRUE,LEN(TRIM($H47))=0)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8">
      <x:formula1>IF(ISNUMBER(MATCH($A48,TIPOS_OPCION_H,0)),TRUE,LEN(TRIM($H48))=0)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49">
      <x:formula1>IF(ISNUMBER(MATCH($A49,TIPOS_OPCION_H,0)),TRUE,LEN(TRIM($H49))=0)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">
      <x:formula1>IF(ISNUMBER(MATCH($A5,TIPOS_OPCION_H,0)),TRUE,LEN(TRIM($H5))=0)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0">
      <x:formula1>IF(ISNUMBER(MATCH($A50,TIPOS_OPCION_H,0)),TRUE,LEN(TRIM($H50))=0)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1">
      <x:formula1>IF(ISNUMBER(MATCH($A51,TIPOS_OPCION_H,0)),TRUE,LEN(TRIM($H51))=0)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2">
      <x:formula1>IF(ISNUMBER(MATCH($A52,TIPOS_OPCION_H,0)),TRUE,LEN(TRIM($H52))=0)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3">
      <x:formula1>IF(ISNUMBER(MATCH($A53,TIPOS_OPCION_H,0)),TRUE,LEN(TRIM($H53))=0)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4">
      <x:formula1>IF(ISNUMBER(MATCH($A54,TIPOS_OPCION_H,0)),TRUE,LEN(TRIM($H54))=0)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5">
      <x:formula1>IF(ISNUMBER(MATCH($A55,TIPOS_OPCION_H,0)),TRUE,LEN(TRIM($H55))=0)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6">
      <x:formula1>IF(ISNUMBER(MATCH($A56,TIPOS_OPCION_H,0)),TRUE,LEN(TRIM($H56))=0)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7">
      <x:formula1>IF(ISNUMBER(MATCH($A57,TIPOS_OPCION_H,0)),TRUE,LEN(TRIM($H57))=0)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8">
      <x:formula1>IF(ISNUMBER(MATCH($A58,TIPOS_OPCION_H,0)),TRUE,LEN(TRIM($H58))=0)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59">
      <x:formula1>IF(ISNUMBER(MATCH($A59,TIPOS_OPCION_H,0)),TRUE,LEN(TRIM($H59))=0)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">
      <x:formula1>IF(ISNUMBER(MATCH($A6,TIPOS_OPCION_H,0)),TRUE,LEN(TRIM($H6))=0)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0">
      <x:formula1>IF(ISNUMBER(MATCH($A60,TIPOS_OPCION_H,0)),TRUE,LEN(TRIM($H60))=0)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1">
      <x:formula1>IF(ISNUMBER(MATCH($A61,TIPOS_OPCION_H,0)),TRUE,LEN(TRIM($H61))=0)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2">
      <x:formula1>IF(ISNUMBER(MATCH($A62,TIPOS_OPCION_H,0)),TRUE,LEN(TRIM($H62))=0)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3">
      <x:formula1>IF(ISNUMBER(MATCH($A63,TIPOS_OPCION_H,0)),TRUE,LEN(TRIM($H63))=0)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4">
      <x:formula1>IF(ISNUMBER(MATCH($A64,TIPOS_OPCION_H,0)),TRUE,LEN(TRIM($H64))=0)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5">
      <x:formula1>IF(ISNUMBER(MATCH($A65,TIPOS_OPCION_H,0)),TRUE,LEN(TRIM($H65))=0)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6">
      <x:formula1>IF(ISNUMBER(MATCH($A66,TIPOS_OPCION_H,0)),TRUE,LEN(TRIM($H66))=0)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7">
      <x:formula1>IF(ISNUMBER(MATCH($A67,TIPOS_OPCION_H,0)),TRUE,LEN(TRIM($H67))=0)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8">
      <x:formula1>IF(ISNUMBER(MATCH($A68,TIPOS_OPCION_H,0)),TRUE,LEN(TRIM($H68))=0)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69">
      <x:formula1>IF(ISNUMBER(MATCH($A69,TIPOS_OPCION_H,0)),TRUE,LEN(TRIM($H69))=0)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">
      <x:formula1>IF(ISNUMBER(MATCH($A7,TIPOS_OPCION_H,0)),TRUE,LEN(TRIM($H7))=0)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0">
      <x:formula1>IF(ISNUMBER(MATCH($A70,TIPOS_OPCION_H,0)),TRUE,LEN(TRIM($H70))=0)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1">
      <x:formula1>IF(ISNUMBER(MATCH($A71,TIPOS_OPCION_H,0)),TRUE,LEN(TRIM($H71))=0)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2">
      <x:formula1>IF(ISNUMBER(MATCH($A72,TIPOS_OPCION_H,0)),TRUE,LEN(TRIM($H72))=0)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3">
      <x:formula1>IF(ISNUMBER(MATCH($A73,TIPOS_OPCION_H,0)),TRUE,LEN(TRIM($H73))=0)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4">
      <x:formula1>IF(ISNUMBER(MATCH($A74,TIPOS_OPCION_H,0)),TRUE,LEN(TRIM($H74))=0)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5">
      <x:formula1>IF(ISNUMBER(MATCH($A75,TIPOS_OPCION_H,0)),TRUE,LEN(TRIM($H75))=0)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6">
      <x:formula1>IF(ISNUMBER(MATCH($A76,TIPOS_OPCION_H,0)),TRUE,LEN(TRIM($H76))=0)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7">
      <x:formula1>IF(ISNUMBER(MATCH($A77,TIPOS_OPCION_H,0)),TRUE,LEN(TRIM($H77))=0)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8">
      <x:formula1>IF(ISNUMBER(MATCH($A78,TIPOS_OPCION_H,0)),TRUE,LEN(TRIM($H78))=0)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79">
      <x:formula1>IF(ISNUMBER(MATCH($A79,TIPOS_OPCION_H,0)),TRUE,LEN(TRIM($H79))=0)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">
      <x:formula1>IF(ISNUMBER(MATCH($A8,TIPOS_OPCION_H,0)),TRUE,LEN(TRIM($H8))=0)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0">
      <x:formula1>IF(ISNUMBER(MATCH($A80,TIPOS_OPCION_H,0)),TRUE,LEN(TRIM($H80))=0)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1">
      <x:formula1>IF(ISNUMBER(MATCH($A81,TIPOS_OPCION_H,0)),TRUE,LEN(TRIM($H81))=0)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2">
      <x:formula1>IF(ISNUMBER(MATCH($A82,TIPOS_OPCION_H,0)),TRUE,LEN(TRIM($H82))=0)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3">
      <x:formula1>IF(ISNUMBER(MATCH($A83,TIPOS_OPCION_H,0)),TRUE,LEN(TRIM($H83))=0)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4">
      <x:formula1>IF(ISNUMBER(MATCH($A84,TIPOS_OPCION_H,0)),TRUE,LEN(TRIM($H84))=0)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5">
      <x:formula1>IF(ISNUMBER(MATCH($A85,TIPOS_OPCION_H,0)),TRUE,LEN(TRIM($H85))=0)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6">
      <x:formula1>IF(ISNUMBER(MATCH($A86,TIPOS_OPCION_H,0)),TRUE,LEN(TRIM($H86))=0)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7">
      <x:formula1>IF(ISNUMBER(MATCH($A87,TIPOS_OPCION_H,0)),TRUE,LEN(TRIM($H87))=0)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8">
      <x:formula1>IF(ISNUMBER(MATCH($A88,TIPOS_OPCION_H,0)),TRUE,LEN(TRIM($H88))=0)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89">
      <x:formula1>IF(ISNUMBER(MATCH($A89,TIPOS_OPCION_H,0)),TRUE,LEN(TRIM($H89))=0)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">
      <x:formula1>IF(ISNUMBER(MATCH($A9,TIPOS_OPCION_H,0)),TRUE,LEN(TRIM($H9))=0)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0">
      <x:formula1>IF(ISNUMBER(MATCH($A90,TIPOS_OPCION_H,0)),TRUE,LEN(TRIM($H90))=0)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1">
      <x:formula1>IF(ISNUMBER(MATCH($A91,TIPOS_OPCION_H,0)),TRUE,LEN(TRIM($H91))=0)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2">
      <x:formula1>IF(ISNUMBER(MATCH($A92,TIPOS_OPCION_H,0)),TRUE,LEN(TRIM($H92))=0)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3">
      <x:formula1>IF(ISNUMBER(MATCH($A93,TIPOS_OPCION_H,0)),TRUE,LEN(TRIM($H93))=0)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4">
      <x:formula1>IF(ISNUMBER(MATCH($A94,TIPOS_OPCION_H,0)),TRUE,LEN(TRIM($H94))=0)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5">
      <x:formula1>IF(ISNUMBER(MATCH($A95,TIPOS_OPCION_H,0)),TRUE,LEN(TRIM($H95))=0)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6">
      <x:formula1>IF(ISNUMBER(MATCH($A96,TIPOS_OPCION_H,0)),TRUE,LEN(TRIM($H96))=0)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7">
      <x:formula1>IF(ISNUMBER(MATCH($A97,TIPOS_OPCION_H,0)),TRUE,LEN(TRIM($H97))=0)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8">
      <x:formula1>IF(ISNUMBER(MATCH($A98,TIPOS_OPCION_H,0)),TRUE,LEN(TRIM($H98))=0)</x:formula1>
    </x:dataValidation>
    <x:dataValidation type="custom" allowBlank="1" showInputMessage="1" showErrorMessage="1" errorTitle="Inciso no permitido" error="Ese inciso no corresponde al tipo seleccionado. Revise la columna L para ver que falta o sobra." promptTitle="Ayuda para incisos" prompt="VF simple y Respuesta A/B/Ambas/Ninguna se preparan automaticamente. VF complejas usa 1. a 4. Mejor respuesta y subitem usan A-E." sqref="H99">
      <x:formula1>IF(ISNUMBER(MATCH($A99,TIPOS_OPCION_H,0)),TRUE,LEN(TRIM($H99))=0)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">
      <x:formula1>INDIRECT(IFERROR(VLOOKUP($A10,MAPA_RESPUESTA_TIPO,2,FALSE),"RESP_VACIA"))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0">
      <x:formula1>INDIRECT(IFERROR(VLOOKUP($A100,MAPA_RESPUESTA_TIPO,2,FALSE),"RESP_VACIA"))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1">
      <x:formula1>INDIRECT(IFERROR(VLOOKUP($A101,MAPA_RESPUESTA_TIPO,2,FALSE),"RESP_VACIA"))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2">
      <x:formula1>INDIRECT(IFERROR(VLOOKUP($A102,MAPA_RESPUESTA_TIPO,2,FALSE),"RESP_VACIA"))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3">
      <x:formula1>INDIRECT(IFERROR(VLOOKUP($A103,MAPA_RESPUESTA_TIPO,2,FALSE),"RESP_VACIA"))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4">
      <x:formula1>INDIRECT(IFERROR(VLOOKUP($A104,MAPA_RESPUESTA_TIPO,2,FALSE),"RESP_VACIA"))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5">
      <x:formula1>INDIRECT(IFERROR(VLOOKUP($A105,MAPA_RESPUESTA_TIPO,2,FALSE),"RESP_VACIA"))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6">
      <x:formula1>INDIRECT(IFERROR(VLOOKUP($A106,MAPA_RESPUESTA_TIPO,2,FALSE),"RESP_VACIA"))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7">
      <x:formula1>INDIRECT(IFERROR(VLOOKUP($A107,MAPA_RESPUESTA_TIPO,2,FALSE),"RESP_VACIA"))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8">
      <x:formula1>INDIRECT(IFERROR(VLOOKUP($A108,MAPA_RESPUESTA_TIPO,2,FALSE),"RESP_VACIA"))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09">
      <x:formula1>INDIRECT(IFERROR(VLOOKUP($A109,MAPA_RESPUESTA_TIPO,2,FALSE),"RESP_VACIA"))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">
      <x:formula1>INDIRECT(IFERROR(VLOOKUP($A11,MAPA_RESPUESTA_TIPO,2,FALSE),"RESP_VACIA"))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0">
      <x:formula1>INDIRECT(IFERROR(VLOOKUP($A110,MAPA_RESPUESTA_TIPO,2,FALSE),"RESP_VACIA"))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1">
      <x:formula1>INDIRECT(IFERROR(VLOOKUP($A111,MAPA_RESPUESTA_TIPO,2,FALSE),"RESP_VACIA"))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2">
      <x:formula1>INDIRECT(IFERROR(VLOOKUP($A112,MAPA_RESPUESTA_TIPO,2,FALSE),"RESP_VACIA"))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3">
      <x:formula1>INDIRECT(IFERROR(VLOOKUP($A113,MAPA_RESPUESTA_TIPO,2,FALSE),"RESP_VACIA"))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4">
      <x:formula1>INDIRECT(IFERROR(VLOOKUP($A114,MAPA_RESPUESTA_TIPO,2,FALSE),"RESP_VACIA"))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5">
      <x:formula1>INDIRECT(IFERROR(VLOOKUP($A115,MAPA_RESPUESTA_TIPO,2,FALSE),"RESP_VACIA"))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6">
      <x:formula1>INDIRECT(IFERROR(VLOOKUP($A116,MAPA_RESPUESTA_TIPO,2,FALSE),"RESP_VACIA"))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7">
      <x:formula1>INDIRECT(IFERROR(VLOOKUP($A117,MAPA_RESPUESTA_TIPO,2,FALSE),"RESP_VACIA"))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8">
      <x:formula1>INDIRECT(IFERROR(VLOOKUP($A118,MAPA_RESPUESTA_TIPO,2,FALSE),"RESP_VACIA"))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19">
      <x:formula1>INDIRECT(IFERROR(VLOOKUP($A119,MAPA_RESPUESTA_TIPO,2,FALSE),"RESP_VACIA"))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2">
      <x:formula1>INDIRECT(IFERROR(VLOOKUP($A12,MAPA_RESPUESTA_TIPO,2,FALSE),"RESP_VACIA"))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20">
      <x:formula1>INDIRECT(IFERROR(VLOOKUP($A120,MAPA_RESPUESTA_TIPO,2,FALSE),"RESP_VACIA"))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21">
      <x:formula1>INDIRECT(IFERROR(VLOOKUP($A121,MAPA_RESPUESTA_TIPO,2,FALSE),"RESP_VACIA"))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3">
      <x:formula1>INDIRECT(IFERROR(VLOOKUP($A13,MAPA_RESPUESTA_TIPO,2,FALSE),"RESP_VACIA"))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4">
      <x:formula1>INDIRECT(IFERROR(VLOOKUP($A14,MAPA_RESPUESTA_TIPO,2,FALSE),"RESP_VACIA"))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5">
      <x:formula1>INDIRECT(IFERROR(VLOOKUP($A15,MAPA_RESPUESTA_TIPO,2,FALSE),"RESP_VACIA"))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6">
      <x:formula1>INDIRECT(IFERROR(VLOOKUP($A16,MAPA_RESPUESTA_TIPO,2,FALSE),"RESP_VACIA"))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7">
      <x:formula1>INDIRECT(IFERROR(VLOOKUP($A17,MAPA_RESPUESTA_TIPO,2,FALSE),"RESP_VACIA"))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8">
      <x:formula1>INDIRECT(IFERROR(VLOOKUP($A18,MAPA_RESPUESTA_TIPO,2,FALSE),"RESP_VACIA"))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19">
      <x:formula1>INDIRECT(IFERROR(VLOOKUP($A19,MAPA_RESPUESTA_TIPO,2,FALSE),"RESP_VACIA"))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">
      <x:formula1>INDIRECT(IFERROR(VLOOKUP($A2,MAPA_RESPUESTA_TIPO,2,FALSE),"RESP_VACIA"))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0">
      <x:formula1>INDIRECT(IFERROR(VLOOKUP($A20,MAPA_RESPUESTA_TIPO,2,FALSE),"RESP_VACIA"))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1">
      <x:formula1>INDIRECT(IFERROR(VLOOKUP($A21,MAPA_RESPUESTA_TIPO,2,FALSE),"RESP_VACIA"))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2">
      <x:formula1>INDIRECT(IFERROR(VLOOKUP($A22,MAPA_RESPUESTA_TIPO,2,FALSE),"RESP_VACIA"))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3">
      <x:formula1>INDIRECT(IFERROR(VLOOKUP($A23,MAPA_RESPUESTA_TIPO,2,FALSE),"RESP_VACIA"))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4">
      <x:formula1>INDIRECT(IFERROR(VLOOKUP($A24,MAPA_RESPUESTA_TIPO,2,FALSE),"RESP_VACIA"))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5">
      <x:formula1>INDIRECT(IFERROR(VLOOKUP($A25,MAPA_RESPUESTA_TIPO,2,FALSE),"RESP_VACIA"))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6">
      <x:formula1>INDIRECT(IFERROR(VLOOKUP($A26,MAPA_RESPUESTA_TIPO,2,FALSE),"RESP_VACIA"))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7">
      <x:formula1>INDIRECT(IFERROR(VLOOKUP($A27,MAPA_RESPUESTA_TIPO,2,FALSE),"RESP_VACIA"))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8">
      <x:formula1>INDIRECT(IFERROR(VLOOKUP($A28,MAPA_RESPUESTA_TIPO,2,FALSE),"RESP_VACIA"))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29">
      <x:formula1>INDIRECT(IFERROR(VLOOKUP($A29,MAPA_RESPUESTA_TIPO,2,FALSE),"RESP_VACIA"))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">
      <x:formula1>INDIRECT(IFERROR(VLOOKUP($A3,MAPA_RESPUESTA_TIPO,2,FALSE),"RESP_VACIA"))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0">
      <x:formula1>INDIRECT(IFERROR(VLOOKUP($A30,MAPA_RESPUESTA_TIPO,2,FALSE),"RESP_VACIA"))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1">
      <x:formula1>INDIRECT(IFERROR(VLOOKUP($A31,MAPA_RESPUESTA_TIPO,2,FALSE),"RESP_VACIA"))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2">
      <x:formula1>INDIRECT(IFERROR(VLOOKUP($A32,MAPA_RESPUESTA_TIPO,2,FALSE),"RESP_VACIA"))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3">
      <x:formula1>INDIRECT(IFERROR(VLOOKUP($A33,MAPA_RESPUESTA_TIPO,2,FALSE),"RESP_VACIA"))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4">
      <x:formula1>INDIRECT(IFERROR(VLOOKUP($A34,MAPA_RESPUESTA_TIPO,2,FALSE),"RESP_VACIA"))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5">
      <x:formula1>INDIRECT(IFERROR(VLOOKUP($A35,MAPA_RESPUESTA_TIPO,2,FALSE),"RESP_VACIA"))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6">
      <x:formula1>INDIRECT(IFERROR(VLOOKUP($A36,MAPA_RESPUESTA_TIPO,2,FALSE),"RESP_VACIA"))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7">
      <x:formula1>INDIRECT(IFERROR(VLOOKUP($A37,MAPA_RESPUESTA_TIPO,2,FALSE),"RESP_VACIA"))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8">
      <x:formula1>INDIRECT(IFERROR(VLOOKUP($A38,MAPA_RESPUESTA_TIPO,2,FALSE),"RESP_VACIA"))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39">
      <x:formula1>INDIRECT(IFERROR(VLOOKUP($A39,MAPA_RESPUESTA_TIPO,2,FALSE),"RESP_VACIA"))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">
      <x:formula1>INDIRECT(IFERROR(VLOOKUP($A4,MAPA_RESPUESTA_TIPO,2,FALSE),"RESP_VACIA"))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0">
      <x:formula1>INDIRECT(IFERROR(VLOOKUP($A40,MAPA_RESPUESTA_TIPO,2,FALSE),"RESP_VACIA"))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1">
      <x:formula1>INDIRECT(IFERROR(VLOOKUP($A41,MAPA_RESPUESTA_TIPO,2,FALSE),"RESP_VACIA"))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2">
      <x:formula1>INDIRECT(IFERROR(VLOOKUP($A42,MAPA_RESPUESTA_TIPO,2,FALSE),"RESP_VACIA"))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3">
      <x:formula1>INDIRECT(IFERROR(VLOOKUP($A43,MAPA_RESPUESTA_TIPO,2,FALSE),"RESP_VACIA"))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4">
      <x:formula1>INDIRECT(IFERROR(VLOOKUP($A44,MAPA_RESPUESTA_TIPO,2,FALSE),"RESP_VACIA"))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5">
      <x:formula1>INDIRECT(IFERROR(VLOOKUP($A45,MAPA_RESPUESTA_TIPO,2,FALSE),"RESP_VACIA"))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6">
      <x:formula1>INDIRECT(IFERROR(VLOOKUP($A46,MAPA_RESPUESTA_TIPO,2,FALSE),"RESP_VACIA"))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7">
      <x:formula1>INDIRECT(IFERROR(VLOOKUP($A47,MAPA_RESPUESTA_TIPO,2,FALSE),"RESP_VACIA"))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8">
      <x:formula1>INDIRECT(IFERROR(VLOOKUP($A48,MAPA_RESPUESTA_TIPO,2,FALSE),"RESP_VACIA"))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49">
      <x:formula1>INDIRECT(IFERROR(VLOOKUP($A49,MAPA_RESPUESTA_TIPO,2,FALSE),"RESP_VACIA"))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">
      <x:formula1>INDIRECT(IFERROR(VLOOKUP($A5,MAPA_RESPUESTA_TIPO,2,FALSE),"RESP_VACIA"))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0">
      <x:formula1>INDIRECT(IFERROR(VLOOKUP($A50,MAPA_RESPUESTA_TIPO,2,FALSE),"RESP_VACIA"))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1">
      <x:formula1>INDIRECT(IFERROR(VLOOKUP($A51,MAPA_RESPUESTA_TIPO,2,FALSE),"RESP_VACIA"))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2">
      <x:formula1>INDIRECT(IFERROR(VLOOKUP($A52,MAPA_RESPUESTA_TIPO,2,FALSE),"RESP_VACIA"))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3">
      <x:formula1>INDIRECT(IFERROR(VLOOKUP($A53,MAPA_RESPUESTA_TIPO,2,FALSE),"RESP_VACIA"))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4">
      <x:formula1>INDIRECT(IFERROR(VLOOKUP($A54,MAPA_RESPUESTA_TIPO,2,FALSE),"RESP_VACIA"))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5">
      <x:formula1>INDIRECT(IFERROR(VLOOKUP($A55,MAPA_RESPUESTA_TIPO,2,FALSE),"RESP_VACIA"))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6">
      <x:formula1>INDIRECT(IFERROR(VLOOKUP($A56,MAPA_RESPUESTA_TIPO,2,FALSE),"RESP_VACIA"))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7">
      <x:formula1>INDIRECT(IFERROR(VLOOKUP($A57,MAPA_RESPUESTA_TIPO,2,FALSE),"RESP_VACIA"))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8">
      <x:formula1>INDIRECT(IFERROR(VLOOKUP($A58,MAPA_RESPUESTA_TIPO,2,FALSE),"RESP_VACIA"))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59">
      <x:formula1>INDIRECT(IFERROR(VLOOKUP($A59,MAPA_RESPUESTA_TIPO,2,FALSE),"RESP_VACIA"))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">
      <x:formula1>INDIRECT(IFERROR(VLOOKUP($A6,MAPA_RESPUESTA_TIPO,2,FALSE),"RESP_VACIA"))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0">
      <x:formula1>INDIRECT(IFERROR(VLOOKUP($A60,MAPA_RESPUESTA_TIPO,2,FALSE),"RESP_VACIA"))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1">
      <x:formula1>INDIRECT(IFERROR(VLOOKUP($A61,MAPA_RESPUESTA_TIPO,2,FALSE),"RESP_VACIA"))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2">
      <x:formula1>INDIRECT(IFERROR(VLOOKUP($A62,MAPA_RESPUESTA_TIPO,2,FALSE),"RESP_VACIA"))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3">
      <x:formula1>INDIRECT(IFERROR(VLOOKUP($A63,MAPA_RESPUESTA_TIPO,2,FALSE),"RESP_VACIA"))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4">
      <x:formula1>INDIRECT(IFERROR(VLOOKUP($A64,MAPA_RESPUESTA_TIPO,2,FALSE),"RESP_VACIA"))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5">
      <x:formula1>INDIRECT(IFERROR(VLOOKUP($A65,MAPA_RESPUESTA_TIPO,2,FALSE),"RESP_VACIA"))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6">
      <x:formula1>INDIRECT(IFERROR(VLOOKUP($A66,MAPA_RESPUESTA_TIPO,2,FALSE),"RESP_VACIA"))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7">
      <x:formula1>INDIRECT(IFERROR(VLOOKUP($A67,MAPA_RESPUESTA_TIPO,2,FALSE),"RESP_VACIA"))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8">
      <x:formula1>INDIRECT(IFERROR(VLOOKUP($A68,MAPA_RESPUESTA_TIPO,2,FALSE),"RESP_VACIA"))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69">
      <x:formula1>INDIRECT(IFERROR(VLOOKUP($A69,MAPA_RESPUESTA_TIPO,2,FALSE),"RESP_VACIA"))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">
      <x:formula1>INDIRECT(IFERROR(VLOOKUP($A7,MAPA_RESPUESTA_TIPO,2,FALSE),"RESP_VACIA"))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0">
      <x:formula1>INDIRECT(IFERROR(VLOOKUP($A70,MAPA_RESPUESTA_TIPO,2,FALSE),"RESP_VACIA"))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1">
      <x:formula1>INDIRECT(IFERROR(VLOOKUP($A71,MAPA_RESPUESTA_TIPO,2,FALSE),"RESP_VACIA"))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2">
      <x:formula1>INDIRECT(IFERROR(VLOOKUP($A72,MAPA_RESPUESTA_TIPO,2,FALSE),"RESP_VACIA"))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3">
      <x:formula1>INDIRECT(IFERROR(VLOOKUP($A73,MAPA_RESPUESTA_TIPO,2,FALSE),"RESP_VACIA"))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4">
      <x:formula1>INDIRECT(IFERROR(VLOOKUP($A74,MAPA_RESPUESTA_TIPO,2,FALSE),"RESP_VACIA"))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5">
      <x:formula1>INDIRECT(IFERROR(VLOOKUP($A75,MAPA_RESPUESTA_TIPO,2,FALSE),"RESP_VACIA"))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6">
      <x:formula1>INDIRECT(IFERROR(VLOOKUP($A76,MAPA_RESPUESTA_TIPO,2,FALSE),"RESP_VACIA"))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7">
      <x:formula1>INDIRECT(IFERROR(VLOOKUP($A77,MAPA_RESPUESTA_TIPO,2,FALSE),"RESP_VACIA"))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8">
      <x:formula1>INDIRECT(IFERROR(VLOOKUP($A78,MAPA_RESPUESTA_TIPO,2,FALSE),"RESP_VACIA"))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79">
      <x:formula1>INDIRECT(IFERROR(VLOOKUP($A79,MAPA_RESPUESTA_TIPO,2,FALSE),"RESP_VACIA"))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">
      <x:formula1>INDIRECT(IFERROR(VLOOKUP($A8,MAPA_RESPUESTA_TIPO,2,FALSE),"RESP_VACIA"))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0">
      <x:formula1>INDIRECT(IFERROR(VLOOKUP($A80,MAPA_RESPUESTA_TIPO,2,FALSE),"RESP_VACIA"))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1">
      <x:formula1>INDIRECT(IFERROR(VLOOKUP($A81,MAPA_RESPUESTA_TIPO,2,FALSE),"RESP_VACIA"))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2">
      <x:formula1>INDIRECT(IFERROR(VLOOKUP($A82,MAPA_RESPUESTA_TIPO,2,FALSE),"RESP_VACIA"))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3">
      <x:formula1>INDIRECT(IFERROR(VLOOKUP($A83,MAPA_RESPUESTA_TIPO,2,FALSE),"RESP_VACIA"))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4">
      <x:formula1>INDIRECT(IFERROR(VLOOKUP($A84,MAPA_RESPUESTA_TIPO,2,FALSE),"RESP_VACIA"))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5">
      <x:formula1>INDIRECT(IFERROR(VLOOKUP($A85,MAPA_RESPUESTA_TIPO,2,FALSE),"RESP_VACIA"))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6">
      <x:formula1>INDIRECT(IFERROR(VLOOKUP($A86,MAPA_RESPUESTA_TIPO,2,FALSE),"RESP_VACIA"))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7">
      <x:formula1>INDIRECT(IFERROR(VLOOKUP($A87,MAPA_RESPUESTA_TIPO,2,FALSE),"RESP_VACIA"))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8">
      <x:formula1>INDIRECT(IFERROR(VLOOKUP($A88,MAPA_RESPUESTA_TIPO,2,FALSE),"RESP_VACIA"))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89">
      <x:formula1>INDIRECT(IFERROR(VLOOKUP($A89,MAPA_RESPUESTA_TIPO,2,FALSE),"RESP_VACIA"))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">
      <x:formula1>INDIRECT(IFERROR(VLOOKUP($A9,MAPA_RESPUESTA_TIPO,2,FALSE),"RESP_VACIA"))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0">
      <x:formula1>INDIRECT(IFERROR(VLOOKUP($A90,MAPA_RESPUESTA_TIPO,2,FALSE),"RESP_VACIA"))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1">
      <x:formula1>INDIRECT(IFERROR(VLOOKUP($A91,MAPA_RESPUESTA_TIPO,2,FALSE),"RESP_VACIA"))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2">
      <x:formula1>INDIRECT(IFERROR(VLOOKUP($A92,MAPA_RESPUESTA_TIPO,2,FALSE),"RESP_VACIA"))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3">
      <x:formula1>INDIRECT(IFERROR(VLOOKUP($A93,MAPA_RESPUESTA_TIPO,2,FALSE),"RESP_VACIA"))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4">
      <x:formula1>INDIRECT(IFERROR(VLOOKUP($A94,MAPA_RESPUESTA_TIPO,2,FALSE),"RESP_VACIA"))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5">
      <x:formula1>INDIRECT(IFERROR(VLOOKUP($A95,MAPA_RESPUESTA_TIPO,2,FALSE),"RESP_VACIA"))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6">
      <x:formula1>INDIRECT(IFERROR(VLOOKUP($A96,MAPA_RESPUESTA_TIPO,2,FALSE),"RESP_VACIA"))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7">
      <x:formula1>INDIRECT(IFERROR(VLOOKUP($A97,MAPA_RESPUESTA_TIPO,2,FALSE),"RESP_VACIA"))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8">
      <x:formula1>INDIRECT(IFERROR(VLOOKUP($A98,MAPA_RESPUESTA_TIPO,2,FALSE),"RESP_VACIA"))</x:formula1>
    </x:dataValidation>
    <x:dataValidation type="list" allowBlank="1" showInputMessage="1" showErrorMessage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sqref="I99">
      <x:formula1>INDIRECT(IFERROR(VLOOKUP($A99,MAPA_RESPUESTA_TIPO,2,FALSE),"RESP_VACIA"))</x:formula1>
    </x:dataValidation>
    <x:dataValidation type="list" allowBlank="1" showErrorMessage="1" errorTitle="Dificultad invalida" error="Use 1, 2 o 3. Casos/problemas y Emparejamiento Ampliado no llevan dificultad." sqref="J10">
      <x:formula1>INDIRECT(IF(ISNUMBER(MATCH($A10,TIPOS_SIN_DIFICULTAD,0)),"RESP_VACIA","DIFICULTADES_123"))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0">
      <x:formula1>INDIRECT(IF(ISNUMBER(MATCH($A100,TIPOS_SIN_DIFICULTAD,0)),"RESP_VACIA","DIFICULTADES_123"))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1">
      <x:formula1>INDIRECT(IF(ISNUMBER(MATCH($A101,TIPOS_SIN_DIFICULTAD,0)),"RESP_VACIA","DIFICULTADES_123"))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2">
      <x:formula1>INDIRECT(IF(ISNUMBER(MATCH($A102,TIPOS_SIN_DIFICULTAD,0)),"RESP_VACIA","DIFICULTADES_123"))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3">
      <x:formula1>INDIRECT(IF(ISNUMBER(MATCH($A103,TIPOS_SIN_DIFICULTAD,0)),"RESP_VACIA","DIFICULTADES_123"))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4">
      <x:formula1>INDIRECT(IF(ISNUMBER(MATCH($A104,TIPOS_SIN_DIFICULTAD,0)),"RESP_VACIA","DIFICULTADES_123"))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5">
      <x:formula1>INDIRECT(IF(ISNUMBER(MATCH($A105,TIPOS_SIN_DIFICULTAD,0)),"RESP_VACIA","DIFICULTADES_123"))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6">
      <x:formula1>INDIRECT(IF(ISNUMBER(MATCH($A106,TIPOS_SIN_DIFICULTAD,0)),"RESP_VACIA","DIFICULTADES_123"))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7">
      <x:formula1>INDIRECT(IF(ISNUMBER(MATCH($A107,TIPOS_SIN_DIFICULTAD,0)),"RESP_VACIA","DIFICULTADES_123"))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8">
      <x:formula1>INDIRECT(IF(ISNUMBER(MATCH($A108,TIPOS_SIN_DIFICULTAD,0)),"RESP_VACIA","DIFICULTADES_123"))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09">
      <x:formula1>INDIRECT(IF(ISNUMBER(MATCH($A109,TIPOS_SIN_DIFICULTAD,0)),"RESP_VACIA","DIFICULTADES_123"))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">
      <x:formula1>INDIRECT(IF(ISNUMBER(MATCH($A11,TIPOS_SIN_DIFICULTAD,0)),"RESP_VACIA","DIFICULTADES_123"))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0">
      <x:formula1>INDIRECT(IF(ISNUMBER(MATCH($A110,TIPOS_SIN_DIFICULTAD,0)),"RESP_VACIA","DIFICULTADES_123"))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1">
      <x:formula1>INDIRECT(IF(ISNUMBER(MATCH($A111,TIPOS_SIN_DIFICULTAD,0)),"RESP_VACIA","DIFICULTADES_123"))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2">
      <x:formula1>INDIRECT(IF(ISNUMBER(MATCH($A112,TIPOS_SIN_DIFICULTAD,0)),"RESP_VACIA","DIFICULTADES_123"))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3">
      <x:formula1>INDIRECT(IF(ISNUMBER(MATCH($A113,TIPOS_SIN_DIFICULTAD,0)),"RESP_VACIA","DIFICULTADES_123"))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4">
      <x:formula1>INDIRECT(IF(ISNUMBER(MATCH($A114,TIPOS_SIN_DIFICULTAD,0)),"RESP_VACIA","DIFICULTADES_123"))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5">
      <x:formula1>INDIRECT(IF(ISNUMBER(MATCH($A115,TIPOS_SIN_DIFICULTAD,0)),"RESP_VACIA","DIFICULTADES_123"))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6">
      <x:formula1>INDIRECT(IF(ISNUMBER(MATCH($A116,TIPOS_SIN_DIFICULTAD,0)),"RESP_VACIA","DIFICULTADES_123"))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7">
      <x:formula1>INDIRECT(IF(ISNUMBER(MATCH($A117,TIPOS_SIN_DIFICULTAD,0)),"RESP_VACIA","DIFICULTADES_123"))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8">
      <x:formula1>INDIRECT(IF(ISNUMBER(MATCH($A118,TIPOS_SIN_DIFICULTAD,0)),"RESP_VACIA","DIFICULTADES_123"))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19">
      <x:formula1>INDIRECT(IF(ISNUMBER(MATCH($A119,TIPOS_SIN_DIFICULTAD,0)),"RESP_VACIA","DIFICULTADES_123"))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2">
      <x:formula1>INDIRECT(IF(ISNUMBER(MATCH($A12,TIPOS_SIN_DIFICULTAD,0)),"RESP_VACIA","DIFICULTADES_123"))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20">
      <x:formula1>INDIRECT(IF(ISNUMBER(MATCH($A120,TIPOS_SIN_DIFICULTAD,0)),"RESP_VACIA","DIFICULTADES_123"))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21">
      <x:formula1>INDIRECT(IF(ISNUMBER(MATCH($A121,TIPOS_SIN_DIFICULTAD,0)),"RESP_VACIA","DIFICULTADES_123"))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3">
      <x:formula1>INDIRECT(IF(ISNUMBER(MATCH($A13,TIPOS_SIN_DIFICULTAD,0)),"RESP_VACIA","DIFICULTADES_123"))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4">
      <x:formula1>INDIRECT(IF(ISNUMBER(MATCH($A14,TIPOS_SIN_DIFICULTAD,0)),"RESP_VACIA","DIFICULTADES_123"))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5">
      <x:formula1>INDIRECT(IF(ISNUMBER(MATCH($A15,TIPOS_SIN_DIFICULTAD,0)),"RESP_VACIA","DIFICULTADES_123"))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6">
      <x:formula1>INDIRECT(IF(ISNUMBER(MATCH($A16,TIPOS_SIN_DIFICULTAD,0)),"RESP_VACIA","DIFICULTADES_123"))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7">
      <x:formula1>INDIRECT(IF(ISNUMBER(MATCH($A17,TIPOS_SIN_DIFICULTAD,0)),"RESP_VACIA","DIFICULTADES_123"))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8">
      <x:formula1>INDIRECT(IF(ISNUMBER(MATCH($A18,TIPOS_SIN_DIFICULTAD,0)),"RESP_VACIA","DIFICULTADES_123"))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19">
      <x:formula1>INDIRECT(IF(ISNUMBER(MATCH($A19,TIPOS_SIN_DIFICULTAD,0)),"RESP_VACIA","DIFICULTADES_123"))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">
      <x:formula1>INDIRECT(IF(ISNUMBER(MATCH($A2,TIPOS_SIN_DIFICULTAD,0)),"RESP_VACIA","DIFICULTADES_123"))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0">
      <x:formula1>INDIRECT(IF(ISNUMBER(MATCH($A20,TIPOS_SIN_DIFICULTAD,0)),"RESP_VACIA","DIFICULTADES_123"))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1">
      <x:formula1>INDIRECT(IF(ISNUMBER(MATCH($A21,TIPOS_SIN_DIFICULTAD,0)),"RESP_VACIA","DIFICULTADES_123"))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2">
      <x:formula1>INDIRECT(IF(ISNUMBER(MATCH($A22,TIPOS_SIN_DIFICULTAD,0)),"RESP_VACIA","DIFICULTADES_123"))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3">
      <x:formula1>INDIRECT(IF(ISNUMBER(MATCH($A23,TIPOS_SIN_DIFICULTAD,0)),"RESP_VACIA","DIFICULTADES_123"))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4">
      <x:formula1>INDIRECT(IF(ISNUMBER(MATCH($A24,TIPOS_SIN_DIFICULTAD,0)),"RESP_VACIA","DIFICULTADES_123"))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5">
      <x:formula1>INDIRECT(IF(ISNUMBER(MATCH($A25,TIPOS_SIN_DIFICULTAD,0)),"RESP_VACIA","DIFICULTADES_123"))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6">
      <x:formula1>INDIRECT(IF(ISNUMBER(MATCH($A26,TIPOS_SIN_DIFICULTAD,0)),"RESP_VACIA","DIFICULTADES_123"))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7">
      <x:formula1>INDIRECT(IF(ISNUMBER(MATCH($A27,TIPOS_SIN_DIFICULTAD,0)),"RESP_VACIA","DIFICULTADES_123"))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8">
      <x:formula1>INDIRECT(IF(ISNUMBER(MATCH($A28,TIPOS_SIN_DIFICULTAD,0)),"RESP_VACIA","DIFICULTADES_123"))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29">
      <x:formula1>INDIRECT(IF(ISNUMBER(MATCH($A29,TIPOS_SIN_DIFICULTAD,0)),"RESP_VACIA","DIFICULTADES_123"))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">
      <x:formula1>INDIRECT(IF(ISNUMBER(MATCH($A3,TIPOS_SIN_DIFICULTAD,0)),"RESP_VACIA","DIFICULTADES_123"))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0">
      <x:formula1>INDIRECT(IF(ISNUMBER(MATCH($A30,TIPOS_SIN_DIFICULTAD,0)),"RESP_VACIA","DIFICULTADES_123"))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1">
      <x:formula1>INDIRECT(IF(ISNUMBER(MATCH($A31,TIPOS_SIN_DIFICULTAD,0)),"RESP_VACIA","DIFICULTADES_123"))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2">
      <x:formula1>INDIRECT(IF(ISNUMBER(MATCH($A32,TIPOS_SIN_DIFICULTAD,0)),"RESP_VACIA","DIFICULTADES_123"))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3">
      <x:formula1>INDIRECT(IF(ISNUMBER(MATCH($A33,TIPOS_SIN_DIFICULTAD,0)),"RESP_VACIA","DIFICULTADES_123"))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4">
      <x:formula1>INDIRECT(IF(ISNUMBER(MATCH($A34,TIPOS_SIN_DIFICULTAD,0)),"RESP_VACIA","DIFICULTADES_123"))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5">
      <x:formula1>INDIRECT(IF(ISNUMBER(MATCH($A35,TIPOS_SIN_DIFICULTAD,0)),"RESP_VACIA","DIFICULTADES_123"))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6">
      <x:formula1>INDIRECT(IF(ISNUMBER(MATCH($A36,TIPOS_SIN_DIFICULTAD,0)),"RESP_VACIA","DIFICULTADES_123"))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7">
      <x:formula1>INDIRECT(IF(ISNUMBER(MATCH($A37,TIPOS_SIN_DIFICULTAD,0)),"RESP_VACIA","DIFICULTADES_123"))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8">
      <x:formula1>INDIRECT(IF(ISNUMBER(MATCH($A38,TIPOS_SIN_DIFICULTAD,0)),"RESP_VACIA","DIFICULTADES_123"))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39">
      <x:formula1>INDIRECT(IF(ISNUMBER(MATCH($A39,TIPOS_SIN_DIFICULTAD,0)),"RESP_VACIA","DIFICULTADES_123"))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">
      <x:formula1>INDIRECT(IF(ISNUMBER(MATCH($A4,TIPOS_SIN_DIFICULTAD,0)),"RESP_VACIA","DIFICULTADES_123"))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0">
      <x:formula1>INDIRECT(IF(ISNUMBER(MATCH($A40,TIPOS_SIN_DIFICULTAD,0)),"RESP_VACIA","DIFICULTADES_123"))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1">
      <x:formula1>INDIRECT(IF(ISNUMBER(MATCH($A41,TIPOS_SIN_DIFICULTAD,0)),"RESP_VACIA","DIFICULTADES_123"))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2">
      <x:formula1>INDIRECT(IF(ISNUMBER(MATCH($A42,TIPOS_SIN_DIFICULTAD,0)),"RESP_VACIA","DIFICULTADES_123"))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3">
      <x:formula1>INDIRECT(IF(ISNUMBER(MATCH($A43,TIPOS_SIN_DIFICULTAD,0)),"RESP_VACIA","DIFICULTADES_123"))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4">
      <x:formula1>INDIRECT(IF(ISNUMBER(MATCH($A44,TIPOS_SIN_DIFICULTAD,0)),"RESP_VACIA","DIFICULTADES_123"))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5">
      <x:formula1>INDIRECT(IF(ISNUMBER(MATCH($A45,TIPOS_SIN_DIFICULTAD,0)),"RESP_VACIA","DIFICULTADES_123"))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6">
      <x:formula1>INDIRECT(IF(ISNUMBER(MATCH($A46,TIPOS_SIN_DIFICULTAD,0)),"RESP_VACIA","DIFICULTADES_123"))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7">
      <x:formula1>INDIRECT(IF(ISNUMBER(MATCH($A47,TIPOS_SIN_DIFICULTAD,0)),"RESP_VACIA","DIFICULTADES_123"))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8">
      <x:formula1>INDIRECT(IF(ISNUMBER(MATCH($A48,TIPOS_SIN_DIFICULTAD,0)),"RESP_VACIA","DIFICULTADES_123"))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49">
      <x:formula1>INDIRECT(IF(ISNUMBER(MATCH($A49,TIPOS_SIN_DIFICULTAD,0)),"RESP_VACIA","DIFICULTADES_123"))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">
      <x:formula1>INDIRECT(IF(ISNUMBER(MATCH($A5,TIPOS_SIN_DIFICULTAD,0)),"RESP_VACIA","DIFICULTADES_123"))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0">
      <x:formula1>INDIRECT(IF(ISNUMBER(MATCH($A50,TIPOS_SIN_DIFICULTAD,0)),"RESP_VACIA","DIFICULTADES_123"))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1">
      <x:formula1>INDIRECT(IF(ISNUMBER(MATCH($A51,TIPOS_SIN_DIFICULTAD,0)),"RESP_VACIA","DIFICULTADES_123"))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2">
      <x:formula1>INDIRECT(IF(ISNUMBER(MATCH($A52,TIPOS_SIN_DIFICULTAD,0)),"RESP_VACIA","DIFICULTADES_123"))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3">
      <x:formula1>INDIRECT(IF(ISNUMBER(MATCH($A53,TIPOS_SIN_DIFICULTAD,0)),"RESP_VACIA","DIFICULTADES_123"))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4">
      <x:formula1>INDIRECT(IF(ISNUMBER(MATCH($A54,TIPOS_SIN_DIFICULTAD,0)),"RESP_VACIA","DIFICULTADES_123"))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5">
      <x:formula1>INDIRECT(IF(ISNUMBER(MATCH($A55,TIPOS_SIN_DIFICULTAD,0)),"RESP_VACIA","DIFICULTADES_123"))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6">
      <x:formula1>INDIRECT(IF(ISNUMBER(MATCH($A56,TIPOS_SIN_DIFICULTAD,0)),"RESP_VACIA","DIFICULTADES_123"))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7">
      <x:formula1>INDIRECT(IF(ISNUMBER(MATCH($A57,TIPOS_SIN_DIFICULTAD,0)),"RESP_VACIA","DIFICULTADES_123"))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8">
      <x:formula1>INDIRECT(IF(ISNUMBER(MATCH($A58,TIPOS_SIN_DIFICULTAD,0)),"RESP_VACIA","DIFICULTADES_123"))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59">
      <x:formula1>INDIRECT(IF(ISNUMBER(MATCH($A59,TIPOS_SIN_DIFICULTAD,0)),"RESP_VACIA","DIFICULTADES_123"))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">
      <x:formula1>INDIRECT(IF(ISNUMBER(MATCH($A6,TIPOS_SIN_DIFICULTAD,0)),"RESP_VACIA","DIFICULTADES_123"))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0">
      <x:formula1>INDIRECT(IF(ISNUMBER(MATCH($A60,TIPOS_SIN_DIFICULTAD,0)),"RESP_VACIA","DIFICULTADES_123"))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1">
      <x:formula1>INDIRECT(IF(ISNUMBER(MATCH($A61,TIPOS_SIN_DIFICULTAD,0)),"RESP_VACIA","DIFICULTADES_123"))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2">
      <x:formula1>INDIRECT(IF(ISNUMBER(MATCH($A62,TIPOS_SIN_DIFICULTAD,0)),"RESP_VACIA","DIFICULTADES_123"))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3">
      <x:formula1>INDIRECT(IF(ISNUMBER(MATCH($A63,TIPOS_SIN_DIFICULTAD,0)),"RESP_VACIA","DIFICULTADES_123"))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4">
      <x:formula1>INDIRECT(IF(ISNUMBER(MATCH($A64,TIPOS_SIN_DIFICULTAD,0)),"RESP_VACIA","DIFICULTADES_123"))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5">
      <x:formula1>INDIRECT(IF(ISNUMBER(MATCH($A65,TIPOS_SIN_DIFICULTAD,0)),"RESP_VACIA","DIFICULTADES_123"))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6">
      <x:formula1>INDIRECT(IF(ISNUMBER(MATCH($A66,TIPOS_SIN_DIFICULTAD,0)),"RESP_VACIA","DIFICULTADES_123"))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7">
      <x:formula1>INDIRECT(IF(ISNUMBER(MATCH($A67,TIPOS_SIN_DIFICULTAD,0)),"RESP_VACIA","DIFICULTADES_123"))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8">
      <x:formula1>INDIRECT(IF(ISNUMBER(MATCH($A68,TIPOS_SIN_DIFICULTAD,0)),"RESP_VACIA","DIFICULTADES_123"))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69">
      <x:formula1>INDIRECT(IF(ISNUMBER(MATCH($A69,TIPOS_SIN_DIFICULTAD,0)),"RESP_VACIA","DIFICULTADES_123"))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">
      <x:formula1>INDIRECT(IF(ISNUMBER(MATCH($A7,TIPOS_SIN_DIFICULTAD,0)),"RESP_VACIA","DIFICULTADES_123"))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0">
      <x:formula1>INDIRECT(IF(ISNUMBER(MATCH($A70,TIPOS_SIN_DIFICULTAD,0)),"RESP_VACIA","DIFICULTADES_123"))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1">
      <x:formula1>INDIRECT(IF(ISNUMBER(MATCH($A71,TIPOS_SIN_DIFICULTAD,0)),"RESP_VACIA","DIFICULTADES_123"))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2">
      <x:formula1>INDIRECT(IF(ISNUMBER(MATCH($A72,TIPOS_SIN_DIFICULTAD,0)),"RESP_VACIA","DIFICULTADES_123"))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3">
      <x:formula1>INDIRECT(IF(ISNUMBER(MATCH($A73,TIPOS_SIN_DIFICULTAD,0)),"RESP_VACIA","DIFICULTADES_123"))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4">
      <x:formula1>INDIRECT(IF(ISNUMBER(MATCH($A74,TIPOS_SIN_DIFICULTAD,0)),"RESP_VACIA","DIFICULTADES_123"))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5">
      <x:formula1>INDIRECT(IF(ISNUMBER(MATCH($A75,TIPOS_SIN_DIFICULTAD,0)),"RESP_VACIA","DIFICULTADES_123"))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6">
      <x:formula1>INDIRECT(IF(ISNUMBER(MATCH($A76,TIPOS_SIN_DIFICULTAD,0)),"RESP_VACIA","DIFICULTADES_123"))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7">
      <x:formula1>INDIRECT(IF(ISNUMBER(MATCH($A77,TIPOS_SIN_DIFICULTAD,0)),"RESP_VACIA","DIFICULTADES_123"))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8">
      <x:formula1>INDIRECT(IF(ISNUMBER(MATCH($A78,TIPOS_SIN_DIFICULTAD,0)),"RESP_VACIA","DIFICULTADES_123"))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79">
      <x:formula1>INDIRECT(IF(ISNUMBER(MATCH($A79,TIPOS_SIN_DIFICULTAD,0)),"RESP_VACIA","DIFICULTADES_123"))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">
      <x:formula1>INDIRECT(IF(ISNUMBER(MATCH($A8,TIPOS_SIN_DIFICULTAD,0)),"RESP_VACIA","DIFICULTADES_123"))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0">
      <x:formula1>INDIRECT(IF(ISNUMBER(MATCH($A80,TIPOS_SIN_DIFICULTAD,0)),"RESP_VACIA","DIFICULTADES_123"))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1">
      <x:formula1>INDIRECT(IF(ISNUMBER(MATCH($A81,TIPOS_SIN_DIFICULTAD,0)),"RESP_VACIA","DIFICULTADES_123"))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2">
      <x:formula1>INDIRECT(IF(ISNUMBER(MATCH($A82,TIPOS_SIN_DIFICULTAD,0)),"RESP_VACIA","DIFICULTADES_123"))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3">
      <x:formula1>INDIRECT(IF(ISNUMBER(MATCH($A83,TIPOS_SIN_DIFICULTAD,0)),"RESP_VACIA","DIFICULTADES_123"))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4">
      <x:formula1>INDIRECT(IF(ISNUMBER(MATCH($A84,TIPOS_SIN_DIFICULTAD,0)),"RESP_VACIA","DIFICULTADES_123"))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5">
      <x:formula1>INDIRECT(IF(ISNUMBER(MATCH($A85,TIPOS_SIN_DIFICULTAD,0)),"RESP_VACIA","DIFICULTADES_123"))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6">
      <x:formula1>INDIRECT(IF(ISNUMBER(MATCH($A86,TIPOS_SIN_DIFICULTAD,0)),"RESP_VACIA","DIFICULTADES_123"))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7">
      <x:formula1>INDIRECT(IF(ISNUMBER(MATCH($A87,TIPOS_SIN_DIFICULTAD,0)),"RESP_VACIA","DIFICULTADES_123"))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8">
      <x:formula1>INDIRECT(IF(ISNUMBER(MATCH($A88,TIPOS_SIN_DIFICULTAD,0)),"RESP_VACIA","DIFICULTADES_123"))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89">
      <x:formula1>INDIRECT(IF(ISNUMBER(MATCH($A89,TIPOS_SIN_DIFICULTAD,0)),"RESP_VACIA","DIFICULTADES_123"))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">
      <x:formula1>INDIRECT(IF(ISNUMBER(MATCH($A9,TIPOS_SIN_DIFICULTAD,0)),"RESP_VACIA","DIFICULTADES_123"))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0">
      <x:formula1>INDIRECT(IF(ISNUMBER(MATCH($A90,TIPOS_SIN_DIFICULTAD,0)),"RESP_VACIA","DIFICULTADES_123"))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1">
      <x:formula1>INDIRECT(IF(ISNUMBER(MATCH($A91,TIPOS_SIN_DIFICULTAD,0)),"RESP_VACIA","DIFICULTADES_123"))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2">
      <x:formula1>INDIRECT(IF(ISNUMBER(MATCH($A92,TIPOS_SIN_DIFICULTAD,0)),"RESP_VACIA","DIFICULTADES_123"))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3">
      <x:formula1>INDIRECT(IF(ISNUMBER(MATCH($A93,TIPOS_SIN_DIFICULTAD,0)),"RESP_VACIA","DIFICULTADES_123"))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4">
      <x:formula1>INDIRECT(IF(ISNUMBER(MATCH($A94,TIPOS_SIN_DIFICULTAD,0)),"RESP_VACIA","DIFICULTADES_123"))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5">
      <x:formula1>INDIRECT(IF(ISNUMBER(MATCH($A95,TIPOS_SIN_DIFICULTAD,0)),"RESP_VACIA","DIFICULTADES_123"))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6">
      <x:formula1>INDIRECT(IF(ISNUMBER(MATCH($A96,TIPOS_SIN_DIFICULTAD,0)),"RESP_VACIA","DIFICULTADES_123"))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7">
      <x:formula1>INDIRECT(IF(ISNUMBER(MATCH($A97,TIPOS_SIN_DIFICULTAD,0)),"RESP_VACIA","DIFICULTADES_123"))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8">
      <x:formula1>INDIRECT(IF(ISNUMBER(MATCH($A98,TIPOS_SIN_DIFICULTAD,0)),"RESP_VACIA","DIFICULTADES_123"))</x:formula1>
    </x:dataValidation>
    <x:dataValidation type="list" allowBlank="1" showErrorMessage="1" errorTitle="Dificultad invalida" error="Use 1, 2 o 3. Casos/problemas y Emparejamiento Ampliado no llevan dificultad." sqref="J99">
      <x:formula1>INDIRECT(IF(ISNUMBER(MATCH($A99,TIPOS_SIN_DIFICULTAD,0)),"RESP_VACIA","DIFICULTADES_123"))</x:formula1>
    </x:dataValidation>
    <x:dataValidation type="list" allowBlank="1" showErrorMessage="1" errorTitle="Parcial invalido" error="Use unicamente EF para este formato." sqref="K10:K121">
      <x:formula1>PARCIAL_ACTIVO_BANCO</x:formula1>
    </x:dataValidation>
    <x:dataValidation type="list" allowBlank="1" showErrorMessage="1" errorTitle="Parcial invalido" error="Use unicamente EF para este formato." sqref="K2:K121">
      <x:formula1>PARCIAL_ACTIVO_BANCO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customWidth="1"/>
    <x:col min="2" max="2" width="18" customWidth="1"/>
    <x:col min="3" max="3" width="60" style="6" customWidth="1"/>
    <x:col min="4" max="8" width="25" style="6" customWidth="1"/>
    <x:col min="9" max="9" width="20" customWidth="1"/>
    <x:col min="10" max="11" width="12" customWidth="1"/>
    <x:col min="12" max="12" width="46" style="6" customWidth="1"/>
    <x:col min="13" max="36" width="3" hidden="1" customWidth="1"/>
  </x:cols>
  <x:sheetData>
    <x:row r="1">
      <x:c r="A1" s="18" t="s">
        <x:v>63</x:v>
      </x:c>
      <x:c r="B1" s="18" t="s">
        <x:v>64</x:v>
      </x:c>
      <x:c r="C1" s="18" t="s">
        <x:v>65</x:v>
      </x:c>
      <x:c r="D1" s="18" t="s">
        <x:v>66</x:v>
      </x:c>
      <x:c r="E1" s="18" t="s">
        <x:v>67</x:v>
      </x:c>
      <x:c r="F1" s="18" t="s">
        <x:v>68</x:v>
      </x:c>
      <x:c r="G1" s="18" t="s">
        <x:v>69</x:v>
      </x:c>
      <x:c r="H1" s="18" t="s">
        <x:v>70</x:v>
      </x:c>
      <x:c r="I1" s="18" t="s">
        <x:v>71</x:v>
      </x:c>
      <x:c r="J1" s="18" t="s">
        <x:v>72</x:v>
      </x:c>
      <x:c r="K1" s="18" t="s">
        <x:v>73</x:v>
      </x:c>
      <x:c r="L1" s="18" t="s">
        <x:v>74</x:v>
      </x:c>
    </x:row>
    <x:row r="2">
      <x:c r="A2" s="17" t="s">
        <x:v>0</x:v>
      </x:c>
      <x:c r="B2" t="s">
        <x:v>2</x:v>
      </x:c>
      <x:c r="C2" s="6" t="s">
        <x:v>115</x:v>
      </x:c>
      <x:c r="D2" t="s">
        <x:v>116</x:v>
      </x:c>
      <x:c r="E2" t="s">
        <x:v>117</x:v>
      </x:c>
      <x:c r="F2" t="s">
        <x:v>2</x:v>
      </x:c>
      <x:c r="G2" t="s">
        <x:v>2</x:v>
      </x:c>
      <x:c r="H2" t="s">
        <x:v>2</x:v>
      </x:c>
      <x:c r="I2" t="s">
        <x:v>1</x:v>
      </x:c>
      <x:c r="J2" t="s">
        <x:v>3</x:v>
      </x:c>
      <x:c r="K2" t="s">
        <x:v>4</x:v>
      </x:c>
      <x:c r="L2" t="s">
        <x:v>118</x:v>
      </x:c>
    </x:row>
    <x:row r="3">
      <x:c r="A3" s="17" t="s">
        <x:v>0</x:v>
      </x:c>
      <x:c r="B3" t="s">
        <x:v>2</x:v>
      </x:c>
      <x:c r="C3" s="6" t="s">
        <x:v>119</x:v>
      </x:c>
      <x:c r="D3" t="s">
        <x:v>116</x:v>
      </x:c>
      <x:c r="E3" t="s">
        <x:v>117</x:v>
      </x:c>
      <x:c r="F3" t="s">
        <x:v>2</x:v>
      </x:c>
      <x:c r="G3" t="s">
        <x:v>2</x:v>
      </x:c>
      <x:c r="H3" t="s">
        <x:v>2</x:v>
      </x:c>
      <x:c r="I3" t="s">
        <x:v>11</x:v>
      </x:c>
      <x:c r="J3" t="s">
        <x:v>3</x:v>
      </x:c>
      <x:c r="K3" t="s">
        <x:v>4</x:v>
      </x:c>
      <x:c r="L3" t="s">
        <x:v>118</x:v>
      </x:c>
    </x:row>
    <x:row r="4">
      <x:c r="A4" s="17" t="s">
        <x:v>16</x:v>
      </x:c>
      <x:c r="B4" t="s">
        <x:v>2</x:v>
      </x:c>
      <x:c r="C4" s="6" t="s">
        <x:v>120</x:v>
      </x:c>
      <x:c r="D4" t="s">
        <x:v>121</x:v>
      </x:c>
      <x:c r="E4" t="s">
        <x:v>122</x:v>
      </x:c>
      <x:c r="F4" t="s">
        <x:v>123</x:v>
      </x:c>
      <x:c r="G4" t="s">
        <x:v>124</x:v>
      </x:c>
      <x:c r="H4" t="s">
        <x:v>2</x:v>
      </x:c>
      <x:c r="I4" t="s">
        <x:v>5</x:v>
      </x:c>
      <x:c r="J4" t="s">
        <x:v>2</x:v>
      </x:c>
      <x:c r="K4" t="s">
        <x:v>4</x:v>
      </x:c>
      <x:c r="L4" t="s">
        <x:v>118</x:v>
      </x:c>
    </x:row>
    <x:row r="5">
      <x:c r="A5" s="17" t="s">
        <x:v>16</x:v>
      </x:c>
      <x:c r="B5" t="s">
        <x:v>2</x:v>
      </x:c>
      <x:c r="C5" s="6" t="s">
        <x:v>125</x:v>
      </x:c>
      <x:c r="D5" t="s">
        <x:v>126</x:v>
      </x:c>
      <x:c r="E5" t="s">
        <x:v>127</x:v>
      </x:c>
      <x:c r="F5" t="s">
        <x:v>128</x:v>
      </x:c>
      <x:c r="G5" t="s">
        <x:v>129</x:v>
      </x:c>
      <x:c r="H5" t="s">
        <x:v>2</x:v>
      </x:c>
      <x:c r="I5" t="s">
        <x:v>19</x:v>
      </x:c>
      <x:c r="J5" t="s">
        <x:v>2</x:v>
      </x:c>
      <x:c r="K5" t="s">
        <x:v>4</x:v>
      </x:c>
      <x:c r="L5" t="s">
        <x:v>118</x:v>
      </x:c>
    </x:row>
    <x:row r="6">
      <x:c r="A6" s="17" t="s">
        <x:v>10</x:v>
      </x:c>
      <x:c r="B6" t="s">
        <x:v>2</x:v>
      </x:c>
      <x:c r="C6" s="6" t="s">
        <x:v>130</x:v>
      </x:c>
      <x:c r="D6" t="s">
        <x:v>131</x:v>
      </x:c>
      <x:c r="E6" t="s">
        <x:v>132</x:v>
      </x:c>
      <x:c r="F6" t="s">
        <x:v>133</x:v>
      </x:c>
      <x:c r="G6" t="s">
        <x:v>134</x:v>
      </x:c>
      <x:c r="H6" t="s">
        <x:v>135</x:v>
      </x:c>
      <x:c r="I6" t="s">
        <x:v>11</x:v>
      </x:c>
      <x:c r="J6" t="s">
        <x:v>2</x:v>
      </x:c>
      <x:c r="K6" t="s">
        <x:v>4</x:v>
      </x:c>
      <x:c r="L6" t="s">
        <x:v>118</x:v>
      </x:c>
    </x:row>
    <x:row r="7">
      <x:c r="A7" s="17" t="s">
        <x:v>10</x:v>
      </x:c>
      <x:c r="B7" t="s">
        <x:v>2</x:v>
      </x:c>
      <x:c r="C7" s="6" t="s">
        <x:v>136</x:v>
      </x:c>
      <x:c r="D7" t="s">
        <x:v>137</x:v>
      </x:c>
      <x:c r="E7" t="s">
        <x:v>138</x:v>
      </x:c>
      <x:c r="F7" t="s">
        <x:v>139</x:v>
      </x:c>
      <x:c r="G7" t="s">
        <x:v>140</x:v>
      </x:c>
      <x:c r="H7" t="s">
        <x:v>141</x:v>
      </x:c>
      <x:c r="I7" t="s">
        <x:v>17</x:v>
      </x:c>
      <x:c r="J7" t="s">
        <x:v>2</x:v>
      </x:c>
      <x:c r="K7" t="s">
        <x:v>4</x:v>
      </x:c>
      <x:c r="L7" t="s">
        <x:v>118</x:v>
      </x:c>
    </x:row>
    <x:row r="8" ht="36" customHeight="1">
      <x:c r="A8" s="17" t="s">
        <x:v>9</x:v>
      </x:c>
      <x:c r="B8" t="s">
        <x:v>2</x:v>
      </x:c>
      <x:c r="C8" s="6" t="s">
        <x:v>142</x:v>
      </x:c>
      <x:c r="D8" t="s">
        <x:v>143</x:v>
      </x:c>
      <x:c r="E8" t="s">
        <x:v>144</x:v>
      </x:c>
      <x:c r="F8" t="s">
        <x:v>145</x:v>
      </x:c>
      <x:c r="G8" t="s">
        <x:v>146</x:v>
      </x:c>
      <x:c r="H8" t="s">
        <x:v>2</x:v>
      </x:c>
      <x:c r="I8" t="s">
        <x:v>17</x:v>
      </x:c>
      <x:c r="J8" t="s">
        <x:v>18</x:v>
      </x:c>
      <x:c r="K8" t="s">
        <x:v>4</x:v>
      </x:c>
      <x:c r="L8" t="s">
        <x:v>118</x:v>
      </x:c>
    </x:row>
    <x:row r="9" ht="36" customHeight="1">
      <x:c r="A9" s="17" t="s">
        <x:v>9</x:v>
      </x:c>
      <x:c r="B9" t="s">
        <x:v>2</x:v>
      </x:c>
      <x:c r="C9" s="6" t="s">
        <x:v>147</x:v>
      </x:c>
      <x:c r="D9" t="s">
        <x:v>143</x:v>
      </x:c>
      <x:c r="E9" t="s">
        <x:v>144</x:v>
      </x:c>
      <x:c r="F9" t="s">
        <x:v>145</x:v>
      </x:c>
      <x:c r="G9" t="s">
        <x:v>146</x:v>
      </x:c>
      <x:c r="H9" t="s">
        <x:v>2</x:v>
      </x:c>
      <x:c r="I9" t="s">
        <x:v>1</x:v>
      </x:c>
      <x:c r="J9" t="s">
        <x:v>18</x:v>
      </x:c>
      <x:c r="K9" t="s">
        <x:v>4</x:v>
      </x:c>
      <x:c r="L9" t="s">
        <x:v>118</x:v>
      </x:c>
    </x:row>
    <x:row r="10">
      <x:c r="A10" s="17" t="s">
        <x:v>8</x:v>
      </x:c>
      <x:c r="B10" t="s">
        <x:v>148</x:v>
      </x:c>
      <x:c r="C10" s="6" t="s">
        <x:v>149</x:v>
      </x:c>
      <x:c r="D10" t="s">
        <x:v>2</x:v>
      </x:c>
      <x:c r="E10" t="s">
        <x:v>2</x:v>
      </x:c>
      <x:c r="F10" t="s">
        <x:v>2</x:v>
      </x:c>
      <x:c r="G10" t="s">
        <x:v>2</x:v>
      </x:c>
      <x:c r="H10" t="s">
        <x:v>2</x:v>
      </x:c>
      <x:c r="I10" t="s">
        <x:v>2</x:v>
      </x:c>
      <x:c r="J10" t="s">
        <x:v>2</x:v>
      </x:c>
      <x:c r="K10" t="s">
        <x:v>4</x:v>
      </x:c>
      <x:c r="L10" t="s">
        <x:v>118</x:v>
      </x:c>
    </x:row>
    <x:row r="11">
      <x:c r="A11" s="17" t="s">
        <x:v>14</x:v>
      </x:c>
      <x:c r="B11" t="s">
        <x:v>148</x:v>
      </x:c>
      <x:c r="C11" s="6" t="s">
        <x:v>150</x:v>
      </x:c>
      <x:c r="D11" t="s">
        <x:v>151</x:v>
      </x:c>
      <x:c r="E11" t="s">
        <x:v>152</x:v>
      </x:c>
      <x:c r="F11" t="s">
        <x:v>153</x:v>
      </x:c>
      <x:c r="G11" t="s">
        <x:v>154</x:v>
      </x:c>
      <x:c r="H11" t="s">
        <x:v>155</x:v>
      </x:c>
      <x:c r="I11" t="s">
        <x:v>1</x:v>
      </x:c>
      <x:c r="J11" t="s">
        <x:v>2</x:v>
      </x:c>
      <x:c r="K11" t="s">
        <x:v>4</x:v>
      </x:c>
      <x:c r="L11" t="s">
        <x:v>118</x:v>
      </x:c>
    </x:row>
    <x:row r="12">
      <x:c r="A12" s="17" t="s">
        <x:v>14</x:v>
      </x:c>
      <x:c r="B12" t="s">
        <x:v>148</x:v>
      </x:c>
      <x:c r="C12" s="6" t="s">
        <x:v>156</x:v>
      </x:c>
      <x:c r="D12" t="s">
        <x:v>157</x:v>
      </x:c>
      <x:c r="E12" t="s">
        <x:v>158</x:v>
      </x:c>
      <x:c r="F12" t="s">
        <x:v>159</x:v>
      </x:c>
      <x:c r="G12" t="s">
        <x:v>160</x:v>
      </x:c>
      <x:c r="H12" t="s">
        <x:v>161</x:v>
      </x:c>
      <x:c r="I12" t="s">
        <x:v>17</x:v>
      </x:c>
      <x:c r="J12" t="s">
        <x:v>2</x:v>
      </x:c>
      <x:c r="K12" t="s">
        <x:v>4</x:v>
      </x:c>
      <x:c r="L12" t="s">
        <x:v>118</x:v>
      </x:c>
    </x:row>
    <x:row r="13">
      <x:c r="A13" s="17" t="s">
        <x:v>15</x:v>
      </x:c>
      <x:c r="B13" t="s">
        <x:v>162</x:v>
      </x:c>
      <x:c r="C13" s="6" t="s">
        <x:v>6</x:v>
      </x:c>
      <x:c r="D13" t="s">
        <x:v>163</x:v>
      </x:c>
      <x:c r="E13" t="s">
        <x:v>164</x:v>
      </x:c>
      <x:c r="F13" t="s">
        <x:v>2</x:v>
      </x:c>
      <x:c r="G13" t="s">
        <x:v>2</x:v>
      </x:c>
      <x:c r="H13" t="s">
        <x:v>2</x:v>
      </x:c>
      <x:c r="I13" t="s">
        <x:v>2</x:v>
      </x:c>
      <x:c r="J13" t="s">
        <x:v>2</x:v>
      </x:c>
      <x:c r="K13" t="s">
        <x:v>4</x:v>
      </x:c>
      <x:c r="L13" t="s">
        <x:v>118</x:v>
      </x:c>
    </x:row>
    <x:row r="14">
      <x:c r="A14" s="17" t="s">
        <x:v>24</x:v>
      </x:c>
      <x:c r="B14" t="s">
        <x:v>162</x:v>
      </x:c>
      <x:c r="C14" s="6" t="s">
        <x:v>165</x:v>
      </x:c>
      <x:c r="D14" t="s">
        <x:v>2</x:v>
      </x:c>
      <x:c r="E14" t="s">
        <x:v>2</x:v>
      </x:c>
      <x:c r="F14" t="s">
        <x:v>2</x:v>
      </x:c>
      <x:c r="G14" t="s">
        <x:v>2</x:v>
      </x:c>
      <x:c r="H14" t="s">
        <x:v>2</x:v>
      </x:c>
      <x:c r="I14" t="s">
        <x:v>1</x:v>
      </x:c>
      <x:c r="J14" t="s">
        <x:v>3</x:v>
      </x:c>
      <x:c r="K14" t="s">
        <x:v>4</x:v>
      </x:c>
      <x:c r="L14" t="s">
        <x:v>118</x:v>
      </x:c>
    </x:row>
    <x:row r="15">
      <x:c r="A15" s="17" t="s">
        <x:v>24</x:v>
      </x:c>
      <x:c r="B15" t="s">
        <x:v>162</x:v>
      </x:c>
      <x:c r="C15" s="6" t="s">
        <x:v>166</x:v>
      </x:c>
      <x:c r="D15" t="s">
        <x:v>2</x:v>
      </x:c>
      <x:c r="E15" t="s">
        <x:v>2</x:v>
      </x:c>
      <x:c r="F15" t="s">
        <x:v>2</x:v>
      </x:c>
      <x:c r="G15" t="s">
        <x:v>2</x:v>
      </x:c>
      <x:c r="H15" t="s">
        <x:v>2</x:v>
      </x:c>
      <x:c r="I15" t="s">
        <x:v>11</x:v>
      </x:c>
      <x:c r="J15" t="s">
        <x:v>3</x:v>
      </x:c>
      <x:c r="K15" t="s">
        <x:v>4</x:v>
      </x:c>
      <x:c r="L15" t="s">
        <x:v>118</x:v>
      </x:c>
    </x:row>
    <x:row r="16">
      <x:c r="A16" s="17" t="s">
        <x:v>15</x:v>
      </x:c>
      <x:c r="B16" t="s">
        <x:v>167</x:v>
      </x:c>
      <x:c r="C16" s="6" t="s">
        <x:v>6</x:v>
      </x:c>
      <x:c r="D16" t="s">
        <x:v>168</x:v>
      </x:c>
      <x:c r="E16" t="s">
        <x:v>169</x:v>
      </x:c>
      <x:c r="F16" t="s">
        <x:v>170</x:v>
      </x:c>
      <x:c r="G16" t="s">
        <x:v>171</x:v>
      </x:c>
      <x:c r="H16" t="s">
        <x:v>2</x:v>
      </x:c>
      <x:c r="I16" t="s">
        <x:v>2</x:v>
      </x:c>
      <x:c r="J16" t="s">
        <x:v>2</x:v>
      </x:c>
      <x:c r="K16" t="s">
        <x:v>4</x:v>
      </x:c>
      <x:c r="L16" t="s">
        <x:v>118</x:v>
      </x:c>
    </x:row>
    <x:row r="17">
      <x:c r="A17" s="17" t="s">
        <x:v>24</x:v>
      </x:c>
      <x:c r="B17" t="s">
        <x:v>167</x:v>
      </x:c>
      <x:c r="C17" s="6" t="s">
        <x:v>172</x:v>
      </x:c>
      <x:c r="D17" t="s">
        <x:v>2</x:v>
      </x:c>
      <x:c r="E17" t="s">
        <x:v>2</x:v>
      </x:c>
      <x:c r="F17" t="s">
        <x:v>2</x:v>
      </x:c>
      <x:c r="G17" t="s">
        <x:v>2</x:v>
      </x:c>
      <x:c r="H17" t="s">
        <x:v>2</x:v>
      </x:c>
      <x:c r="I17" t="s">
        <x:v>11</x:v>
      </x:c>
      <x:c r="J17" t="s">
        <x:v>2</x:v>
      </x:c>
      <x:c r="K17" t="s">
        <x:v>4</x:v>
      </x:c>
      <x:c r="L17" t="s">
        <x:v>118</x:v>
      </x:c>
    </x:row>
    <x:row r="18">
      <x:c r="A18" s="17" t="s">
        <x:v>24</x:v>
      </x:c>
      <x:c r="B18" t="s">
        <x:v>167</x:v>
      </x:c>
      <x:c r="C18" s="6" t="s">
        <x:v>173</x:v>
      </x:c>
      <x:c r="D18" t="s">
        <x:v>2</x:v>
      </x:c>
      <x:c r="E18" t="s">
        <x:v>2</x:v>
      </x:c>
      <x:c r="F18" t="s">
        <x:v>2</x:v>
      </x:c>
      <x:c r="G18" t="s">
        <x:v>2</x:v>
      </x:c>
      <x:c r="H18" t="s">
        <x:v>2</x:v>
      </x:c>
      <x:c r="I18" t="s">
        <x:v>17</x:v>
      </x:c>
      <x:c r="J18" t="s">
        <x:v>2</x:v>
      </x:c>
      <x:c r="K18" t="s">
        <x:v>4</x:v>
      </x:c>
      <x:c r="L18" t="s">
        <x:v>118</x:v>
      </x:c>
    </x:row>
  </x:sheetData>
  <x:pageMargins left="0.7" right="0.7" top="0.75" bottom="0.75" header="0.3" footer="0.3"/>
</x:worksheet>
</file>